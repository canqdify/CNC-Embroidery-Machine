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laire\Local Git Code\Embroidery Machine\CNC-Embroidery-Machine\"/>
    </mc:Choice>
  </mc:AlternateContent>
  <xr:revisionPtr revIDLastSave="0" documentId="13_ncr:1_{04C91DCB-EDF5-439A-86F7-E2714BE086B0}" xr6:coauthVersionLast="47" xr6:coauthVersionMax="47" xr10:uidLastSave="{00000000-0000-0000-0000-000000000000}"/>
  <bookViews>
    <workbookView xWindow="-28920" yWindow="-1290" windowWidth="29040" windowHeight="15720" activeTab="2" xr2:uid="{ACDFC889-B2AC-4DD9-89C7-9C66E4575298}"/>
  </bookViews>
  <sheets>
    <sheet name="PW to Freq" sheetId="1" r:id="rId1"/>
    <sheet name="Accel and Vmax" sheetId="2" r:id="rId2"/>
    <sheet name="Stitch Period" sheetId="3" r:id="rId3"/>
    <sheet name="Sheet5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3" l="1"/>
  <c r="C2" i="3"/>
  <c r="D2" i="3"/>
  <c r="B3" i="3"/>
  <c r="C3" i="3"/>
  <c r="D3" i="3"/>
  <c r="B4" i="3"/>
  <c r="C4" i="3"/>
  <c r="D4" i="3"/>
  <c r="B5" i="3"/>
  <c r="C5" i="3"/>
  <c r="D5" i="3"/>
  <c r="B6" i="3"/>
  <c r="C6" i="3"/>
  <c r="D6" i="3"/>
  <c r="B7" i="3"/>
  <c r="C7" i="3"/>
  <c r="D7" i="3"/>
  <c r="B8" i="3"/>
  <c r="C8" i="3" s="1"/>
  <c r="D8" i="3" s="1"/>
  <c r="B9" i="3"/>
  <c r="C9" i="3"/>
  <c r="D9" i="3" s="1"/>
  <c r="B10" i="3"/>
  <c r="C10" i="3"/>
  <c r="D10" i="3"/>
  <c r="B11" i="3"/>
  <c r="C11" i="3"/>
  <c r="D11" i="3"/>
  <c r="F3" i="3"/>
  <c r="F4" i="3"/>
  <c r="F2" i="3"/>
  <c r="G2" i="3" s="1"/>
  <c r="H2" i="3" s="1"/>
  <c r="F3" i="2"/>
  <c r="F4" i="2"/>
  <c r="F5" i="2"/>
  <c r="F6" i="2"/>
  <c r="F7" i="2"/>
  <c r="F8" i="2"/>
  <c r="F9" i="2"/>
  <c r="F10" i="2"/>
  <c r="F11" i="2"/>
  <c r="F2" i="2"/>
  <c r="E3" i="2"/>
  <c r="E4" i="2"/>
  <c r="E5" i="2"/>
  <c r="E6" i="2"/>
  <c r="E7" i="2"/>
  <c r="E8" i="2"/>
  <c r="E9" i="2"/>
  <c r="E10" i="2"/>
  <c r="E11" i="2"/>
  <c r="E2" i="2"/>
  <c r="D3" i="2"/>
  <c r="D4" i="2"/>
  <c r="D5" i="2"/>
  <c r="D6" i="2"/>
  <c r="D7" i="2"/>
  <c r="D8" i="2"/>
  <c r="D9" i="2"/>
  <c r="D10" i="2"/>
  <c r="D11" i="2"/>
  <c r="D2" i="2"/>
  <c r="C6" i="2"/>
  <c r="C3" i="2"/>
  <c r="C4" i="2"/>
  <c r="C5" i="2"/>
  <c r="C7" i="2"/>
  <c r="C8" i="2"/>
  <c r="C9" i="2"/>
  <c r="C10" i="2"/>
  <c r="C11" i="2"/>
  <c r="C2" i="2"/>
  <c r="D3" i="1"/>
  <c r="B11" i="2"/>
  <c r="B3" i="2"/>
  <c r="B4" i="2"/>
  <c r="B5" i="2"/>
  <c r="B6" i="2"/>
  <c r="B7" i="2"/>
  <c r="B8" i="2"/>
  <c r="B9" i="2"/>
  <c r="B10" i="2"/>
  <c r="B2" i="2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" i="1"/>
  <c r="F11" i="3" l="1"/>
  <c r="G11" i="3" s="1"/>
  <c r="H11" i="3" s="1"/>
  <c r="F10" i="3"/>
  <c r="G10" i="3" s="1"/>
  <c r="H10" i="3" s="1"/>
  <c r="F9" i="3"/>
  <c r="G9" i="3" s="1"/>
  <c r="H9" i="3" s="1"/>
  <c r="F8" i="3"/>
  <c r="G8" i="3" s="1"/>
  <c r="H8" i="3" s="1"/>
  <c r="F7" i="3"/>
  <c r="G7" i="3" s="1"/>
  <c r="H7" i="3" s="1"/>
  <c r="F6" i="3"/>
  <c r="G6" i="3" s="1"/>
  <c r="H6" i="3" s="1"/>
  <c r="F5" i="3"/>
  <c r="G5" i="3" s="1"/>
  <c r="H5" i="3" s="1"/>
  <c r="G4" i="3"/>
  <c r="H4" i="3" s="1"/>
  <c r="G3" i="3"/>
  <c r="H3" i="3" s="1"/>
</calcChain>
</file>

<file path=xl/sharedStrings.xml><?xml version="1.0" encoding="utf-8"?>
<sst xmlns="http://schemas.openxmlformats.org/spreadsheetml/2006/main" count="18" uniqueCount="15">
  <si>
    <t>Period (s)</t>
  </si>
  <si>
    <t xml:space="preserve">Additional Delays </t>
  </si>
  <si>
    <t>Frequency (Hz)</t>
  </si>
  <si>
    <t>Num Pulse Widths</t>
  </si>
  <si>
    <t>stitches/s</t>
  </si>
  <si>
    <r>
      <t>t</t>
    </r>
    <r>
      <rPr>
        <vertAlign val="subscript"/>
        <sz val="11"/>
        <color theme="1"/>
        <rFont val="Aptos Narrow"/>
        <family val="2"/>
        <scheme val="minor"/>
      </rPr>
      <t>t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</si>
  <si>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max</t>
    </r>
    <r>
      <rPr>
        <sz val="11"/>
        <color theme="1"/>
        <rFont val="Aptos Narrow"/>
        <family val="2"/>
        <scheme val="minor"/>
      </rPr>
      <t xml:space="preserve"> (m/s)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</si>
  <si>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max</t>
    </r>
    <r>
      <rPr>
        <sz val="11"/>
        <color theme="1"/>
        <rFont val="Aptos Narrow"/>
        <family val="2"/>
        <scheme val="minor"/>
      </rPr>
      <t xml:space="preserve"> (steps/s)</t>
    </r>
  </si>
  <si>
    <r>
      <t>a</t>
    </r>
    <r>
      <rPr>
        <vertAlign val="subscript"/>
        <sz val="11"/>
        <color theme="1"/>
        <rFont val="Aptos Narrow"/>
        <family val="2"/>
        <scheme val="minor"/>
      </rPr>
      <t>a</t>
    </r>
    <r>
      <rPr>
        <sz val="11"/>
        <color theme="1"/>
        <rFont val="Aptos Narrow"/>
        <family val="2"/>
        <scheme val="minor"/>
      </rPr>
      <t xml:space="preserve"> or a</t>
    </r>
    <r>
      <rPr>
        <vertAlign val="subscript"/>
        <sz val="11"/>
        <color theme="1"/>
        <rFont val="Aptos Narrow"/>
        <family val="2"/>
        <scheme val="minor"/>
      </rPr>
      <t>c</t>
    </r>
    <r>
      <rPr>
        <sz val="11"/>
        <color theme="1"/>
        <rFont val="Aptos Narrow"/>
        <family val="2"/>
        <scheme val="minor"/>
      </rPr>
      <t xml:space="preserve"> (m/s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>)</t>
    </r>
  </si>
  <si>
    <r>
      <t>a</t>
    </r>
    <r>
      <rPr>
        <vertAlign val="subscript"/>
        <sz val="11"/>
        <color theme="1"/>
        <rFont val="Aptos Narrow"/>
        <family val="2"/>
        <scheme val="minor"/>
      </rPr>
      <t>a</t>
    </r>
    <r>
      <rPr>
        <sz val="11"/>
        <color theme="1"/>
        <rFont val="Aptos Narrow"/>
        <family val="2"/>
        <scheme val="minor"/>
      </rPr>
      <t xml:space="preserve"> or a</t>
    </r>
    <r>
      <rPr>
        <vertAlign val="subscript"/>
        <sz val="11"/>
        <color theme="1"/>
        <rFont val="Aptos Narrow"/>
        <family val="2"/>
        <scheme val="minor"/>
      </rPr>
      <t>c</t>
    </r>
    <r>
      <rPr>
        <sz val="11"/>
        <color theme="1"/>
        <rFont val="Aptos Narrow"/>
        <family val="2"/>
        <scheme val="minor"/>
      </rPr>
      <t xml:space="preserve"> (steps/s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>)</t>
    </r>
  </si>
  <si>
    <t>Period (pw)</t>
  </si>
  <si>
    <t xml:space="preserve">Period (pw), rounded </t>
  </si>
  <si>
    <t>Period (s), result</t>
  </si>
  <si>
    <t>Frequency (Hz), result</t>
  </si>
  <si>
    <t xml:space="preserve">Formulas and image: https://www.linearmotiontips.com/how-to-calculate-velocity/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</si>
</sst>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#0.000E+0"/>
    <numFmt numFmtId="165" formatCode="##0E+0"/>
    <numFmt numFmtId="166" formatCode="##0.0000E+0"/>
    <numFmt numFmtId="167" formatCode="0.0"/>
  </numFmts>
  <fonts count="3" x14ac:knownFonts="1">
    <font>
      <sz val="11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vertAlign val="superscript"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4" fontId="0" fillId="0" borderId="0" xfId="0" applyNumberFormat="1" applyAlignment="1">
      <alignment wrapText="1"/>
    </xf>
    <xf numFmtId="1" fontId="0" fillId="0" borderId="0" xfId="0" applyNumberFormat="1"/>
    <xf numFmtId="167" fontId="0" fillId="0" borderId="0" xfId="0" applyNumberFormat="1" applyAlignment="1">
      <alignment wrapText="1"/>
    </xf>
    <xf numFmtId="167" fontId="0" fillId="0" borderId="0" xfId="0" applyNumberFormat="1"/>
  </cellXfs>
  <cellStyles count="1">
    <cellStyle name="Normal" xfId="0" builtinId="0"/>
  </cellStyles>
  <dxfs count="6">
    <dxf>
      <numFmt numFmtId="164" formatCode="##0.000E+0"/>
    </dxf>
    <dxf>
      <numFmt numFmtId="164" formatCode="##0.000E+0"/>
    </dxf>
    <dxf>
      <numFmt numFmtId="1" formatCode="0"/>
    </dxf>
    <dxf>
      <numFmt numFmtId="167" formatCode="0.0"/>
    </dxf>
    <dxf>
      <numFmt numFmtId="164" formatCode="##0.000E+0"/>
    </dxf>
    <dxf>
      <numFmt numFmtId="164" formatCode="##0.000E+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400050</xdr:colOff>
      <xdr:row>1</xdr:row>
      <xdr:rowOff>9525</xdr:rowOff>
    </xdr:from>
    <xdr:to>
      <xdr:col>18</xdr:col>
      <xdr:colOff>342900</xdr:colOff>
      <xdr:row>12</xdr:row>
      <xdr:rowOff>95250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2B04373-6C6B-0332-04BE-26D6440AED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238125"/>
          <a:ext cx="3600450" cy="2181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7</xdr:col>
      <xdr:colOff>47625</xdr:colOff>
      <xdr:row>5</xdr:row>
      <xdr:rowOff>166687</xdr:rowOff>
    </xdr:from>
    <xdr:ext cx="1721882" cy="6363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56EAF8AA-3D88-62B9-73E6-B93C1F0C4E69}"/>
                </a:ext>
              </a:extLst>
            </xdr:cNvPr>
            <xdr:cNvSpPr txBox="1"/>
          </xdr:nvSpPr>
          <xdr:spPr>
            <a:xfrm>
              <a:off x="5819775" y="1157287"/>
              <a:ext cx="1721882" cy="6363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CA" sz="20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CA" sz="2000" b="0" i="1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a:rPr lang="en-CA" sz="2000" b="0" i="1">
                            <a:latin typeface="Cambria Math" panose="02040503050406030204" pitchFamily="18" charset="0"/>
                          </a:rPr>
                          <m:t>𝑚𝑎𝑥</m:t>
                        </m:r>
                      </m:sub>
                    </m:sSub>
                    <m:r>
                      <a:rPr lang="en-CA" sz="2000" b="0" i="1">
                        <a:latin typeface="Cambria Math" panose="02040503050406030204" pitchFamily="18" charset="0"/>
                      </a:rPr>
                      <m:t>=1.5∗</m:t>
                    </m:r>
                    <m:f>
                      <m:fPr>
                        <m:ctrlPr>
                          <a:rPr lang="en-CA" sz="20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CA" sz="20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CA" sz="20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e>
                          <m:sub>
                            <m:r>
                              <a:rPr lang="en-CA" sz="20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CA" sz="20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CA" sz="20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b>
                            <m:r>
                              <a:rPr lang="en-CA" sz="20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CA" sz="20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56EAF8AA-3D88-62B9-73E6-B93C1F0C4E69}"/>
                </a:ext>
              </a:extLst>
            </xdr:cNvPr>
            <xdr:cNvSpPr txBox="1"/>
          </xdr:nvSpPr>
          <xdr:spPr>
            <a:xfrm>
              <a:off x="5819775" y="1157287"/>
              <a:ext cx="1721882" cy="6363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CA" sz="2000" b="0" i="0">
                  <a:latin typeface="Cambria Math" panose="02040503050406030204" pitchFamily="18" charset="0"/>
                </a:rPr>
                <a:t>𝑉_𝑚𝑎𝑥=1.5∗𝑑_𝑡/𝑡_𝑡 </a:t>
              </a:r>
              <a:endParaRPr lang="en-CA" sz="2000"/>
            </a:p>
          </xdr:txBody>
        </xdr:sp>
      </mc:Fallback>
    </mc:AlternateContent>
    <xdr:clientData/>
  </xdr:oneCellAnchor>
  <xdr:oneCellAnchor>
    <xdr:from>
      <xdr:col>7</xdr:col>
      <xdr:colOff>123825</xdr:colOff>
      <xdr:row>9</xdr:row>
      <xdr:rowOff>4762</xdr:rowOff>
    </xdr:from>
    <xdr:ext cx="1352486" cy="6363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85E3B0D5-19A2-E3BF-08DE-E7712C936B5D}"/>
                </a:ext>
              </a:extLst>
            </xdr:cNvPr>
            <xdr:cNvSpPr txBox="1"/>
          </xdr:nvSpPr>
          <xdr:spPr>
            <a:xfrm>
              <a:off x="5895975" y="1757362"/>
              <a:ext cx="1352486" cy="6363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CA" sz="2000" b="0" i="1">
                        <a:latin typeface="Cambria Math" panose="02040503050406030204" pitchFamily="18" charset="0"/>
                      </a:rPr>
                      <m:t>𝑎</m:t>
                    </m:r>
                    <m:r>
                      <a:rPr lang="en-CA" sz="2000" b="0" i="1">
                        <a:latin typeface="Cambria Math" panose="02040503050406030204" pitchFamily="18" charset="0"/>
                      </a:rPr>
                      <m:t>=4.5∗</m:t>
                    </m:r>
                    <m:f>
                      <m:fPr>
                        <m:ctrlPr>
                          <a:rPr lang="en-CA" sz="20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CA" sz="20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CA" sz="20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e>
                          <m:sub>
                            <m:r>
                              <a:rPr lang="en-CA" sz="20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CA" sz="20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CA" sz="20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b>
                            <m:r>
                              <a:rPr lang="en-CA" sz="20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CA" sz="20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85E3B0D5-19A2-E3BF-08DE-E7712C936B5D}"/>
                </a:ext>
              </a:extLst>
            </xdr:cNvPr>
            <xdr:cNvSpPr txBox="1"/>
          </xdr:nvSpPr>
          <xdr:spPr>
            <a:xfrm>
              <a:off x="5895975" y="1757362"/>
              <a:ext cx="1352486" cy="6363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CA" sz="2000" b="0" i="0">
                  <a:latin typeface="Cambria Math" panose="02040503050406030204" pitchFamily="18" charset="0"/>
                </a:rPr>
                <a:t>𝑎=4.5∗𝑑_𝑡/𝑡_𝑡 </a:t>
              </a:r>
              <a:endParaRPr lang="en-CA" sz="2000"/>
            </a:p>
          </xdr:txBody>
        </xdr:sp>
      </mc:Fallback>
    </mc:AlternateContent>
    <xdr:clientData/>
  </xdr:oneCellAnchor>
  <xdr:oneCellAnchor>
    <xdr:from>
      <xdr:col>7</xdr:col>
      <xdr:colOff>38100</xdr:colOff>
      <xdr:row>0</xdr:row>
      <xdr:rowOff>219075</xdr:rowOff>
    </xdr:from>
    <xdr:ext cx="2678682" cy="31592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65064B8-B615-417B-B664-87B7225B7EF0}"/>
                </a:ext>
              </a:extLst>
            </xdr:cNvPr>
            <xdr:cNvSpPr txBox="1"/>
          </xdr:nvSpPr>
          <xdr:spPr>
            <a:xfrm>
              <a:off x="5810250" y="219075"/>
              <a:ext cx="2678682" cy="31592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CA" sz="20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CA" sz="2000" b="0" i="1">
                            <a:latin typeface="Cambria Math" panose="02040503050406030204" pitchFamily="18" charset="0"/>
                          </a:rPr>
                          <m:t>𝑑</m:t>
                        </m:r>
                      </m:e>
                      <m:sub>
                        <m:r>
                          <a:rPr lang="en-CA" sz="20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en-CA" sz="2000" b="0" i="1">
                        <a:latin typeface="Cambria Math" panose="02040503050406030204" pitchFamily="18" charset="0"/>
                      </a:rPr>
                      <m:t>=3</m:t>
                    </m:r>
                    <m:r>
                      <a:rPr lang="en-CA" sz="2000" b="0" i="1">
                        <a:latin typeface="Cambria Math" panose="02040503050406030204" pitchFamily="18" charset="0"/>
                      </a:rPr>
                      <m:t>𝑚𝑚</m:t>
                    </m:r>
                    <m:r>
                      <a:rPr lang="en-CA" sz="20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CA" sz="2000" b="0" i="1">
                        <a:latin typeface="Cambria Math" panose="02040503050406030204" pitchFamily="18" charset="0"/>
                      </a:rPr>
                      <m:t>𝑜𝑟</m:t>
                    </m:r>
                    <m:r>
                      <a:rPr lang="en-CA" sz="2000" b="0" i="1">
                        <a:latin typeface="Cambria Math" panose="02040503050406030204" pitchFamily="18" charset="0"/>
                      </a:rPr>
                      <m:t> 300 </m:t>
                    </m:r>
                    <m:r>
                      <a:rPr lang="en-CA" sz="2000" b="0" i="1">
                        <a:latin typeface="Cambria Math" panose="02040503050406030204" pitchFamily="18" charset="0"/>
                      </a:rPr>
                      <m:t>𝑠𝑡𝑒𝑝𝑠</m:t>
                    </m:r>
                  </m:oMath>
                </m:oMathPara>
              </a14:m>
              <a:endParaRPr lang="en-CA" sz="20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65064B8-B615-417B-B664-87B7225B7EF0}"/>
                </a:ext>
              </a:extLst>
            </xdr:cNvPr>
            <xdr:cNvSpPr txBox="1"/>
          </xdr:nvSpPr>
          <xdr:spPr>
            <a:xfrm>
              <a:off x="5810250" y="219075"/>
              <a:ext cx="2678682" cy="31592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CA" sz="2000" b="0" i="0">
                  <a:latin typeface="Cambria Math" panose="02040503050406030204" pitchFamily="18" charset="0"/>
                </a:rPr>
                <a:t>𝑑_𝑡=3𝑚𝑚 𝑜𝑟 300 𝑠𝑡𝑒𝑝𝑠</a:t>
              </a:r>
              <a:endParaRPr lang="en-CA" sz="2000"/>
            </a:p>
          </xdr:txBody>
        </xdr:sp>
      </mc:Fallback>
    </mc:AlternateContent>
    <xdr:clientData/>
  </xdr:oneCellAnchor>
  <xdr:oneCellAnchor>
    <xdr:from>
      <xdr:col>7</xdr:col>
      <xdr:colOff>95250</xdr:colOff>
      <xdr:row>3</xdr:row>
      <xdr:rowOff>76200</xdr:rowOff>
    </xdr:from>
    <xdr:ext cx="1379288" cy="31592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43D6627E-73CD-44C1-BD19-43DB7DF212EB}"/>
                </a:ext>
              </a:extLst>
            </xdr:cNvPr>
            <xdr:cNvSpPr txBox="1"/>
          </xdr:nvSpPr>
          <xdr:spPr>
            <a:xfrm>
              <a:off x="5867400" y="685800"/>
              <a:ext cx="1379288" cy="31592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CA" sz="20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CA" sz="20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en-CA" sz="2000" b="0" i="1">
                            <a:latin typeface="Cambria Math" panose="02040503050406030204" pitchFamily="18" charset="0"/>
                          </a:rPr>
                          <m:t>𝑎</m:t>
                        </m:r>
                      </m:sub>
                    </m:sSub>
                    <m:r>
                      <a:rPr lang="en-CA" sz="20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CA" sz="20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CA" sz="20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en-CA" sz="2000" b="0" i="1">
                            <a:latin typeface="Cambria Math" panose="02040503050406030204" pitchFamily="18" charset="0"/>
                          </a:rPr>
                          <m:t>𝑏</m:t>
                        </m:r>
                      </m:sub>
                    </m:sSub>
                    <m:r>
                      <a:rPr lang="en-CA" sz="20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CA" sz="20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CA" sz="20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en-CA" sz="20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</m:oMath>
                </m:oMathPara>
              </a14:m>
              <a:endParaRPr lang="en-CA" sz="20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43D6627E-73CD-44C1-BD19-43DB7DF212EB}"/>
                </a:ext>
              </a:extLst>
            </xdr:cNvPr>
            <xdr:cNvSpPr txBox="1"/>
          </xdr:nvSpPr>
          <xdr:spPr>
            <a:xfrm>
              <a:off x="5867400" y="685800"/>
              <a:ext cx="1379288" cy="31592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CA" sz="2000" b="0" i="0">
                  <a:latin typeface="Cambria Math" panose="02040503050406030204" pitchFamily="18" charset="0"/>
                </a:rPr>
                <a:t>𝑡_𝑎=𝑡_𝑏=𝑡_𝑐</a:t>
              </a:r>
              <a:endParaRPr lang="en-CA" sz="2000"/>
            </a:p>
          </xdr:txBody>
        </xdr:sp>
      </mc:Fallback>
    </mc:AlternateContent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F0C6F8F-B324-4861-84EE-91AF5FE25959}" name="Period_Calc" displayName="Period_Calc" ref="A1:D11" totalsRowShown="0">
  <autoFilter ref="A1:D11" xr:uid="{DF0C6F8F-B324-4861-84EE-91AF5FE25959}"/>
  <tableColumns count="4">
    <tableColumn id="1" xr3:uid="{B2CA0776-0FBE-4304-AD1F-9A48CE5AEC17}" name="stitches/s"/>
    <tableColumn id="2" xr3:uid="{9CEAFCA0-3559-4BA7-A313-8207B308B3A1}" name="Vmax (steps/s)" dataDxfId="5">
      <calculatedColumnFormula>(1.5*300/POWER(A2,-1))</calculatedColumnFormula>
    </tableColumn>
    <tableColumn id="3" xr3:uid="{B4BAC59C-566F-48F7-9E4B-59F5E49DE2A9}" name="Period (s)" dataDxfId="4">
      <calculatedColumnFormula>POWER(B2,-1)</calculatedColumnFormula>
    </tableColumn>
    <tableColumn id="4" xr3:uid="{015E9145-75CD-46D6-8C9F-1DD7D1895599}" name="Period (pw)" dataDxfId="3">
      <calculatedColumnFormula>(C2/0.00005)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1110F8D-88C5-47D7-BDDA-CE20FE290976}" name="Period_Int" displayName="Period_Int" ref="F1:H11" totalsRowShown="0">
  <autoFilter ref="F1:H11" xr:uid="{41110F8D-88C5-47D7-BDDA-CE20FE290976}"/>
  <tableColumns count="3">
    <tableColumn id="1" xr3:uid="{0B0F9E31-DAC5-487D-83D3-95874FC1C05D}" name="Period (pw), rounded " dataDxfId="2">
      <calculatedColumnFormula>ROUND(D2,0)</calculatedColumnFormula>
    </tableColumn>
    <tableColumn id="2" xr3:uid="{E751B1AC-3927-4ACC-868B-504948CA9EB3}" name="Period (s), result" dataDxfId="1">
      <calculatedColumnFormula>F2*0.00005</calculatedColumnFormula>
    </tableColumn>
    <tableColumn id="3" xr3:uid="{96D9C5E5-E7D3-4FD0-B2A4-9D5FCB420160}" name="Frequency (Hz), result" dataDxfId="0">
      <calculatedColumnFormula>POWER(G2,-1)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D1144-84D1-45CB-8552-718985CB2B4F}">
  <dimension ref="A1:D20"/>
  <sheetViews>
    <sheetView workbookViewId="0">
      <selection activeCell="N9" sqref="N9"/>
    </sheetView>
  </sheetViews>
  <sheetFormatPr defaultRowHeight="15" x14ac:dyDescent="0.25"/>
  <cols>
    <col min="1" max="1" width="17.42578125" bestFit="1" customWidth="1"/>
    <col min="2" max="2" width="10.7109375" style="2" customWidth="1"/>
    <col min="3" max="3" width="17" bestFit="1" customWidth="1"/>
    <col min="4" max="4" width="14.5703125" style="3" customWidth="1"/>
  </cols>
  <sheetData>
    <row r="1" spans="1:4" x14ac:dyDescent="0.25">
      <c r="A1" t="s">
        <v>3</v>
      </c>
      <c r="B1" s="2" t="s">
        <v>0</v>
      </c>
      <c r="C1" t="s">
        <v>1</v>
      </c>
      <c r="D1" s="3" t="s">
        <v>2</v>
      </c>
    </row>
    <row r="2" spans="1:4" x14ac:dyDescent="0.25">
      <c r="A2">
        <v>2</v>
      </c>
      <c r="B2" s="2">
        <f>PRODUCT(A2,0.00005)</f>
        <v>1E-4</v>
      </c>
      <c r="C2">
        <v>0</v>
      </c>
      <c r="D2" s="3">
        <f>POWER(B2,-1)</f>
        <v>10000</v>
      </c>
    </row>
    <row r="3" spans="1:4" x14ac:dyDescent="0.25">
      <c r="A3">
        <v>3</v>
      </c>
      <c r="B3" s="2">
        <f t="shared" ref="B3:B20" si="0">PRODUCT(A3,0.00005)</f>
        <v>1.5000000000000001E-4</v>
      </c>
      <c r="C3">
        <v>1</v>
      </c>
      <c r="D3" s="3">
        <f>POWER(B3,-1)</f>
        <v>6666.6666666666661</v>
      </c>
    </row>
    <row r="4" spans="1:4" x14ac:dyDescent="0.25">
      <c r="A4">
        <v>4</v>
      </c>
      <c r="B4" s="2">
        <f t="shared" si="0"/>
        <v>2.0000000000000001E-4</v>
      </c>
      <c r="C4">
        <v>2</v>
      </c>
      <c r="D4" s="3">
        <f t="shared" ref="D4:D20" si="1">POWER(B4,-1)</f>
        <v>5000</v>
      </c>
    </row>
    <row r="5" spans="1:4" x14ac:dyDescent="0.25">
      <c r="A5">
        <v>5</v>
      </c>
      <c r="B5" s="2">
        <f t="shared" si="0"/>
        <v>2.5000000000000001E-4</v>
      </c>
      <c r="C5">
        <v>3</v>
      </c>
      <c r="D5" s="3">
        <f t="shared" si="1"/>
        <v>4000</v>
      </c>
    </row>
    <row r="6" spans="1:4" x14ac:dyDescent="0.25">
      <c r="A6">
        <v>6</v>
      </c>
      <c r="B6" s="2">
        <f t="shared" si="0"/>
        <v>3.0000000000000003E-4</v>
      </c>
      <c r="C6">
        <v>4</v>
      </c>
      <c r="D6" s="3">
        <f t="shared" si="1"/>
        <v>3333.333333333333</v>
      </c>
    </row>
    <row r="7" spans="1:4" x14ac:dyDescent="0.25">
      <c r="A7">
        <v>7</v>
      </c>
      <c r="B7" s="2">
        <f t="shared" si="0"/>
        <v>3.5E-4</v>
      </c>
      <c r="C7">
        <v>5</v>
      </c>
      <c r="D7" s="3">
        <f t="shared" si="1"/>
        <v>2857.1428571428573</v>
      </c>
    </row>
    <row r="8" spans="1:4" x14ac:dyDescent="0.25">
      <c r="A8">
        <v>8</v>
      </c>
      <c r="B8" s="2">
        <f t="shared" si="0"/>
        <v>4.0000000000000002E-4</v>
      </c>
      <c r="C8">
        <v>6</v>
      </c>
      <c r="D8" s="3">
        <f t="shared" si="1"/>
        <v>2500</v>
      </c>
    </row>
    <row r="9" spans="1:4" x14ac:dyDescent="0.25">
      <c r="A9">
        <v>9</v>
      </c>
      <c r="B9" s="2">
        <f t="shared" si="0"/>
        <v>4.5000000000000004E-4</v>
      </c>
      <c r="C9">
        <v>7</v>
      </c>
      <c r="D9" s="3">
        <f t="shared" si="1"/>
        <v>2222.2222222222222</v>
      </c>
    </row>
    <row r="10" spans="1:4" x14ac:dyDescent="0.25">
      <c r="A10">
        <v>10</v>
      </c>
      <c r="B10" s="2">
        <f t="shared" si="0"/>
        <v>5.0000000000000001E-4</v>
      </c>
      <c r="C10">
        <v>8</v>
      </c>
      <c r="D10" s="3">
        <f t="shared" si="1"/>
        <v>2000</v>
      </c>
    </row>
    <row r="11" spans="1:4" x14ac:dyDescent="0.25">
      <c r="A11">
        <v>11</v>
      </c>
      <c r="B11" s="2">
        <f t="shared" si="0"/>
        <v>5.5000000000000003E-4</v>
      </c>
      <c r="C11">
        <v>9</v>
      </c>
      <c r="D11" s="3">
        <f t="shared" si="1"/>
        <v>1818.181818181818</v>
      </c>
    </row>
    <row r="12" spans="1:4" x14ac:dyDescent="0.25">
      <c r="A12">
        <v>12</v>
      </c>
      <c r="B12" s="2">
        <f t="shared" si="0"/>
        <v>6.0000000000000006E-4</v>
      </c>
      <c r="C12">
        <v>10</v>
      </c>
      <c r="D12" s="3">
        <f t="shared" si="1"/>
        <v>1666.6666666666665</v>
      </c>
    </row>
    <row r="13" spans="1:4" x14ac:dyDescent="0.25">
      <c r="A13">
        <v>13</v>
      </c>
      <c r="B13" s="2">
        <f t="shared" si="0"/>
        <v>6.5000000000000008E-4</v>
      </c>
      <c r="C13">
        <v>11</v>
      </c>
      <c r="D13" s="3">
        <f t="shared" si="1"/>
        <v>1538.4615384615383</v>
      </c>
    </row>
    <row r="14" spans="1:4" x14ac:dyDescent="0.25">
      <c r="A14">
        <v>14</v>
      </c>
      <c r="B14" s="2">
        <f t="shared" si="0"/>
        <v>6.9999999999999999E-4</v>
      </c>
      <c r="C14">
        <v>12</v>
      </c>
      <c r="D14" s="3">
        <f t="shared" si="1"/>
        <v>1428.5714285714287</v>
      </c>
    </row>
    <row r="15" spans="1:4" x14ac:dyDescent="0.25">
      <c r="A15">
        <v>15</v>
      </c>
      <c r="B15" s="2">
        <f t="shared" si="0"/>
        <v>7.5000000000000002E-4</v>
      </c>
      <c r="C15">
        <v>13</v>
      </c>
      <c r="D15" s="3">
        <f t="shared" si="1"/>
        <v>1333.3333333333333</v>
      </c>
    </row>
    <row r="16" spans="1:4" x14ac:dyDescent="0.25">
      <c r="A16">
        <v>16</v>
      </c>
      <c r="B16" s="2">
        <f t="shared" si="0"/>
        <v>8.0000000000000004E-4</v>
      </c>
      <c r="C16">
        <v>14</v>
      </c>
      <c r="D16" s="3">
        <f t="shared" si="1"/>
        <v>1250</v>
      </c>
    </row>
    <row r="17" spans="1:4" x14ac:dyDescent="0.25">
      <c r="A17">
        <v>17</v>
      </c>
      <c r="B17" s="2">
        <f t="shared" si="0"/>
        <v>8.5000000000000006E-4</v>
      </c>
      <c r="C17">
        <v>15</v>
      </c>
      <c r="D17" s="3">
        <f t="shared" si="1"/>
        <v>1176.4705882352941</v>
      </c>
    </row>
    <row r="18" spans="1:4" x14ac:dyDescent="0.25">
      <c r="A18">
        <v>18</v>
      </c>
      <c r="B18" s="2">
        <f t="shared" si="0"/>
        <v>9.0000000000000008E-4</v>
      </c>
      <c r="C18">
        <v>16</v>
      </c>
      <c r="D18" s="3">
        <f t="shared" si="1"/>
        <v>1111.1111111111111</v>
      </c>
    </row>
    <row r="19" spans="1:4" x14ac:dyDescent="0.25">
      <c r="A19">
        <v>19</v>
      </c>
      <c r="B19" s="2">
        <f t="shared" si="0"/>
        <v>9.5E-4</v>
      </c>
      <c r="C19">
        <v>17</v>
      </c>
      <c r="D19" s="3">
        <f t="shared" si="1"/>
        <v>1052.6315789473683</v>
      </c>
    </row>
    <row r="20" spans="1:4" x14ac:dyDescent="0.25">
      <c r="A20">
        <v>20</v>
      </c>
      <c r="B20" s="2">
        <f t="shared" si="0"/>
        <v>1E-3</v>
      </c>
      <c r="C20">
        <v>18</v>
      </c>
      <c r="D20" s="3">
        <f t="shared" si="1"/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3F6D-FDE6-4301-A559-D11D304F6825}">
  <dimension ref="A1:H14"/>
  <sheetViews>
    <sheetView workbookViewId="0">
      <selection activeCell="K27" sqref="K27"/>
    </sheetView>
  </sheetViews>
  <sheetFormatPr defaultRowHeight="15" x14ac:dyDescent="0.25"/>
  <cols>
    <col min="1" max="1" width="9.5703125" bestFit="1" customWidth="1"/>
    <col min="2" max="2" width="12" style="1" bestFit="1" customWidth="1"/>
    <col min="3" max="3" width="12.85546875" style="1" customWidth="1"/>
    <col min="4" max="4" width="12.85546875" style="1" bestFit="1" customWidth="1"/>
    <col min="5" max="5" width="13.5703125" style="1" bestFit="1" customWidth="1"/>
    <col min="6" max="6" width="16.5703125" style="1" bestFit="1" customWidth="1"/>
  </cols>
  <sheetData>
    <row r="1" spans="1:8" ht="18" x14ac:dyDescent="0.35">
      <c r="A1" t="s">
        <v>4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9</v>
      </c>
    </row>
    <row r="2" spans="1:8" x14ac:dyDescent="0.25">
      <c r="A2">
        <v>1</v>
      </c>
      <c r="B2" s="1">
        <f>POWER(A2,-1)</f>
        <v>1</v>
      </c>
      <c r="C2" s="1">
        <f>(1.5*0.003/B2)</f>
        <v>4.5000000000000005E-3</v>
      </c>
      <c r="D2" s="1">
        <f>(1.5 * 300 /B2)</f>
        <v>450</v>
      </c>
      <c r="E2" s="1">
        <f>(4.5 * 0.003/POWER(B2,2))</f>
        <v>1.35E-2</v>
      </c>
      <c r="F2" s="1">
        <f>(4.5*300/POWER(B2,2))</f>
        <v>1350</v>
      </c>
    </row>
    <row r="3" spans="1:8" x14ac:dyDescent="0.25">
      <c r="A3">
        <v>2</v>
      </c>
      <c r="B3" s="1">
        <f t="shared" ref="B3:B11" si="0">POWER(A3,-1)</f>
        <v>0.5</v>
      </c>
      <c r="C3" s="1">
        <f t="shared" ref="C3:C11" si="1">(1.5*0.003/B3)</f>
        <v>9.0000000000000011E-3</v>
      </c>
      <c r="D3" s="1">
        <f t="shared" ref="D3:D11" si="2">(1.5 * 300 /B3)</f>
        <v>900</v>
      </c>
      <c r="E3" s="1">
        <f t="shared" ref="E3:E11" si="3">(4.5 * 0.003/POWER(B3,2))</f>
        <v>5.3999999999999999E-2</v>
      </c>
      <c r="F3" s="1">
        <f t="shared" ref="F3:F11" si="4">(4.5*300/POWER(B3,2))</f>
        <v>5400</v>
      </c>
    </row>
    <row r="4" spans="1:8" x14ac:dyDescent="0.25">
      <c r="A4">
        <v>3</v>
      </c>
      <c r="B4" s="1">
        <f t="shared" si="0"/>
        <v>0.33333333333333331</v>
      </c>
      <c r="C4" s="1">
        <f t="shared" si="1"/>
        <v>1.3500000000000002E-2</v>
      </c>
      <c r="D4" s="1">
        <f t="shared" si="2"/>
        <v>1350</v>
      </c>
      <c r="E4" s="1">
        <f t="shared" si="3"/>
        <v>0.12150000000000001</v>
      </c>
      <c r="F4" s="1">
        <f t="shared" si="4"/>
        <v>12150</v>
      </c>
    </row>
    <row r="5" spans="1:8" x14ac:dyDescent="0.25">
      <c r="A5">
        <v>4</v>
      </c>
      <c r="B5" s="1">
        <f t="shared" si="0"/>
        <v>0.25</v>
      </c>
      <c r="C5" s="1">
        <f t="shared" si="1"/>
        <v>1.8000000000000002E-2</v>
      </c>
      <c r="D5" s="1">
        <f t="shared" si="2"/>
        <v>1800</v>
      </c>
      <c r="E5" s="1">
        <f t="shared" si="3"/>
        <v>0.216</v>
      </c>
      <c r="F5" s="1">
        <f t="shared" si="4"/>
        <v>21600</v>
      </c>
    </row>
    <row r="6" spans="1:8" x14ac:dyDescent="0.25">
      <c r="A6">
        <v>5</v>
      </c>
      <c r="B6" s="1">
        <f t="shared" si="0"/>
        <v>0.2</v>
      </c>
      <c r="C6" s="1">
        <f>(1.5*0.003/B6)</f>
        <v>2.2500000000000003E-2</v>
      </c>
      <c r="D6" s="1">
        <f t="shared" si="2"/>
        <v>2250</v>
      </c>
      <c r="E6" s="1">
        <f t="shared" si="3"/>
        <v>0.33749999999999991</v>
      </c>
      <c r="F6" s="1">
        <f t="shared" si="4"/>
        <v>33749.999999999993</v>
      </c>
    </row>
    <row r="7" spans="1:8" x14ac:dyDescent="0.25">
      <c r="A7">
        <v>6</v>
      </c>
      <c r="B7" s="1">
        <f t="shared" si="0"/>
        <v>0.16666666666666666</v>
      </c>
      <c r="C7" s="1">
        <f t="shared" si="1"/>
        <v>2.7000000000000003E-2</v>
      </c>
      <c r="D7" s="1">
        <f t="shared" si="2"/>
        <v>2700</v>
      </c>
      <c r="E7" s="1">
        <f t="shared" si="3"/>
        <v>0.48600000000000004</v>
      </c>
      <c r="F7" s="1">
        <f t="shared" si="4"/>
        <v>48600</v>
      </c>
    </row>
    <row r="8" spans="1:8" x14ac:dyDescent="0.25">
      <c r="A8">
        <v>7</v>
      </c>
      <c r="B8" s="1">
        <f t="shared" si="0"/>
        <v>0.14285714285714285</v>
      </c>
      <c r="C8" s="1">
        <f t="shared" si="1"/>
        <v>3.1500000000000007E-2</v>
      </c>
      <c r="D8" s="1">
        <f t="shared" si="2"/>
        <v>3150</v>
      </c>
      <c r="E8" s="1">
        <f t="shared" si="3"/>
        <v>0.66150000000000009</v>
      </c>
      <c r="F8" s="1">
        <f t="shared" si="4"/>
        <v>66150</v>
      </c>
    </row>
    <row r="9" spans="1:8" x14ac:dyDescent="0.25">
      <c r="A9">
        <v>8</v>
      </c>
      <c r="B9" s="1">
        <f t="shared" si="0"/>
        <v>0.125</v>
      </c>
      <c r="C9" s="1">
        <f t="shared" si="1"/>
        <v>3.6000000000000004E-2</v>
      </c>
      <c r="D9" s="1">
        <f t="shared" si="2"/>
        <v>3600</v>
      </c>
      <c r="E9" s="1">
        <f t="shared" si="3"/>
        <v>0.86399999999999999</v>
      </c>
      <c r="F9" s="1">
        <f t="shared" si="4"/>
        <v>86400</v>
      </c>
    </row>
    <row r="10" spans="1:8" x14ac:dyDescent="0.25">
      <c r="A10">
        <v>9</v>
      </c>
      <c r="B10" s="1">
        <f t="shared" si="0"/>
        <v>0.1111111111111111</v>
      </c>
      <c r="C10" s="1">
        <f t="shared" si="1"/>
        <v>4.0500000000000008E-2</v>
      </c>
      <c r="D10" s="1">
        <f t="shared" si="2"/>
        <v>4050</v>
      </c>
      <c r="E10" s="1">
        <f t="shared" si="3"/>
        <v>1.0935000000000001</v>
      </c>
      <c r="F10" s="1">
        <f t="shared" si="4"/>
        <v>109350</v>
      </c>
    </row>
    <row r="11" spans="1:8" x14ac:dyDescent="0.25">
      <c r="A11">
        <v>10</v>
      </c>
      <c r="B11" s="1">
        <f t="shared" si="0"/>
        <v>0.1</v>
      </c>
      <c r="C11" s="1">
        <f t="shared" si="1"/>
        <v>4.5000000000000005E-2</v>
      </c>
      <c r="D11" s="1">
        <f t="shared" si="2"/>
        <v>4500</v>
      </c>
      <c r="E11" s="1">
        <f t="shared" si="3"/>
        <v>1.3499999999999996</v>
      </c>
      <c r="F11" s="1">
        <f t="shared" si="4"/>
        <v>134999.99999999997</v>
      </c>
    </row>
    <row r="14" spans="1:8" x14ac:dyDescent="0.25">
      <c r="H14" t="s">
        <v>14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BB5E9-8FB7-45F6-ABE1-EDC3636E8964}">
  <dimension ref="A1:L20"/>
  <sheetViews>
    <sheetView tabSelected="1" workbookViewId="0">
      <selection activeCell="L12" sqref="L12"/>
    </sheetView>
  </sheetViews>
  <sheetFormatPr defaultRowHeight="15" x14ac:dyDescent="0.25"/>
  <cols>
    <col min="1" max="1" width="12.140625" customWidth="1"/>
    <col min="2" max="2" width="15" style="1" customWidth="1"/>
    <col min="3" max="3" width="12.85546875" style="1" customWidth="1"/>
    <col min="4" max="4" width="13.42578125" style="7" customWidth="1"/>
    <col min="5" max="5" width="11.140625" style="7" customWidth="1"/>
    <col min="6" max="6" width="22.42578125" style="5" customWidth="1"/>
    <col min="7" max="7" width="18.85546875" customWidth="1"/>
    <col min="8" max="8" width="23" customWidth="1"/>
    <col min="9" max="9" width="16.5703125" bestFit="1" customWidth="1"/>
  </cols>
  <sheetData>
    <row r="1" spans="1:12" ht="18" x14ac:dyDescent="0.35">
      <c r="A1" t="s">
        <v>4</v>
      </c>
      <c r="B1" s="1" t="s">
        <v>7</v>
      </c>
      <c r="C1" s="1" t="s">
        <v>0</v>
      </c>
      <c r="D1" s="6" t="s">
        <v>10</v>
      </c>
      <c r="E1" s="6"/>
      <c r="F1" s="5" t="s">
        <v>11</v>
      </c>
      <c r="G1" s="4" t="s">
        <v>12</v>
      </c>
      <c r="H1" s="1" t="s">
        <v>13</v>
      </c>
      <c r="I1" s="1"/>
    </row>
    <row r="2" spans="1:12" x14ac:dyDescent="0.25">
      <c r="A2">
        <v>1</v>
      </c>
      <c r="B2" s="1">
        <f>(1.5*300/POWER(A2,-1))</f>
        <v>450</v>
      </c>
      <c r="C2" s="1">
        <f>POWER(B2,-1)</f>
        <v>2.2222222222222222E-3</v>
      </c>
      <c r="D2" s="7">
        <f>(C2/0.00005)</f>
        <v>44.444444444444443</v>
      </c>
      <c r="F2" s="5">
        <f t="shared" ref="F2:F11" si="0">ROUND(D2,0)</f>
        <v>44</v>
      </c>
      <c r="G2" s="1">
        <f>F2*0.00005</f>
        <v>2.2000000000000001E-3</v>
      </c>
      <c r="H2" s="1">
        <f>POWER(G2,-1)</f>
        <v>454.5454545454545</v>
      </c>
      <c r="I2" s="1"/>
    </row>
    <row r="3" spans="1:12" x14ac:dyDescent="0.25">
      <c r="A3">
        <v>2</v>
      </c>
      <c r="B3" s="1">
        <f t="shared" ref="B3:B11" si="1">(1.5*300/POWER(A3,-1))</f>
        <v>900</v>
      </c>
      <c r="C3" s="1">
        <f t="shared" ref="C3:C11" si="2">POWER(B3,-1)</f>
        <v>1.1111111111111111E-3</v>
      </c>
      <c r="D3" s="7">
        <f t="shared" ref="D3:D11" si="3">(C3/0.00005)</f>
        <v>22.222222222222221</v>
      </c>
      <c r="F3" s="5">
        <f t="shared" si="0"/>
        <v>22</v>
      </c>
      <c r="G3" s="1">
        <f t="shared" ref="G3:G11" si="4">F3*0.00005</f>
        <v>1.1000000000000001E-3</v>
      </c>
      <c r="H3" s="1">
        <f t="shared" ref="H3:H11" si="5">POWER(G3,-1)</f>
        <v>909.09090909090901</v>
      </c>
      <c r="I3" s="1"/>
    </row>
    <row r="4" spans="1:12" x14ac:dyDescent="0.25">
      <c r="A4">
        <v>3</v>
      </c>
      <c r="B4" s="1">
        <f t="shared" si="1"/>
        <v>1350</v>
      </c>
      <c r="C4" s="1">
        <f t="shared" si="2"/>
        <v>7.407407407407407E-4</v>
      </c>
      <c r="D4" s="7">
        <f t="shared" si="3"/>
        <v>14.814814814814813</v>
      </c>
      <c r="F4" s="5">
        <f t="shared" si="0"/>
        <v>15</v>
      </c>
      <c r="G4" s="1">
        <f t="shared" si="4"/>
        <v>7.5000000000000002E-4</v>
      </c>
      <c r="H4" s="1">
        <f t="shared" si="5"/>
        <v>1333.3333333333333</v>
      </c>
      <c r="I4" s="1"/>
    </row>
    <row r="5" spans="1:12" x14ac:dyDescent="0.25">
      <c r="A5">
        <v>4</v>
      </c>
      <c r="B5" s="1">
        <f t="shared" si="1"/>
        <v>1800</v>
      </c>
      <c r="C5" s="1">
        <f t="shared" si="2"/>
        <v>5.5555555555555556E-4</v>
      </c>
      <c r="D5" s="7">
        <f t="shared" si="3"/>
        <v>11.111111111111111</v>
      </c>
      <c r="F5" s="5">
        <f t="shared" si="0"/>
        <v>11</v>
      </c>
      <c r="G5" s="1">
        <f t="shared" si="4"/>
        <v>5.5000000000000003E-4</v>
      </c>
      <c r="H5" s="1">
        <f t="shared" si="5"/>
        <v>1818.181818181818</v>
      </c>
      <c r="I5" s="1"/>
    </row>
    <row r="6" spans="1:12" x14ac:dyDescent="0.25">
      <c r="A6">
        <v>5</v>
      </c>
      <c r="B6" s="1">
        <f t="shared" si="1"/>
        <v>2250</v>
      </c>
      <c r="C6" s="1">
        <f t="shared" si="2"/>
        <v>4.4444444444444447E-4</v>
      </c>
      <c r="D6" s="7">
        <f t="shared" si="3"/>
        <v>8.8888888888888893</v>
      </c>
      <c r="F6" s="5">
        <f t="shared" si="0"/>
        <v>9</v>
      </c>
      <c r="G6" s="1">
        <f t="shared" si="4"/>
        <v>4.5000000000000004E-4</v>
      </c>
      <c r="H6" s="1">
        <f t="shared" si="5"/>
        <v>2222.2222222222222</v>
      </c>
      <c r="I6" s="1"/>
    </row>
    <row r="7" spans="1:12" x14ac:dyDescent="0.25">
      <c r="A7">
        <v>6</v>
      </c>
      <c r="B7" s="1">
        <f t="shared" si="1"/>
        <v>2700</v>
      </c>
      <c r="C7" s="1">
        <f t="shared" si="2"/>
        <v>3.7037037037037035E-4</v>
      </c>
      <c r="D7" s="7">
        <f t="shared" si="3"/>
        <v>7.4074074074074066</v>
      </c>
      <c r="F7" s="5">
        <f t="shared" si="0"/>
        <v>7</v>
      </c>
      <c r="G7" s="1">
        <f t="shared" si="4"/>
        <v>3.5E-4</v>
      </c>
      <c r="H7" s="1">
        <f t="shared" si="5"/>
        <v>2857.1428571428573</v>
      </c>
      <c r="I7" s="1"/>
    </row>
    <row r="8" spans="1:12" x14ac:dyDescent="0.25">
      <c r="A8">
        <v>7</v>
      </c>
      <c r="B8" s="1">
        <f t="shared" si="1"/>
        <v>3150</v>
      </c>
      <c r="C8" s="1">
        <f t="shared" si="2"/>
        <v>3.1746031746031746E-4</v>
      </c>
      <c r="D8" s="7">
        <f t="shared" si="3"/>
        <v>6.3492063492063489</v>
      </c>
      <c r="F8" s="5">
        <f t="shared" si="0"/>
        <v>6</v>
      </c>
      <c r="G8" s="1">
        <f t="shared" si="4"/>
        <v>3.0000000000000003E-4</v>
      </c>
      <c r="H8" s="1">
        <f t="shared" si="5"/>
        <v>3333.333333333333</v>
      </c>
      <c r="I8" s="1"/>
      <c r="L8" s="1"/>
    </row>
    <row r="9" spans="1:12" x14ac:dyDescent="0.25">
      <c r="A9">
        <v>8</v>
      </c>
      <c r="B9" s="1">
        <f t="shared" si="1"/>
        <v>3600</v>
      </c>
      <c r="C9" s="1">
        <f t="shared" si="2"/>
        <v>2.7777777777777778E-4</v>
      </c>
      <c r="D9" s="7">
        <f t="shared" si="3"/>
        <v>5.5555555555555554</v>
      </c>
      <c r="F9" s="5">
        <f t="shared" si="0"/>
        <v>6</v>
      </c>
      <c r="G9" s="1">
        <f t="shared" si="4"/>
        <v>3.0000000000000003E-4</v>
      </c>
      <c r="H9" s="1">
        <f t="shared" si="5"/>
        <v>3333.333333333333</v>
      </c>
      <c r="I9" s="1"/>
    </row>
    <row r="10" spans="1:12" x14ac:dyDescent="0.25">
      <c r="A10">
        <v>9</v>
      </c>
      <c r="B10" s="1">
        <f t="shared" si="1"/>
        <v>4050</v>
      </c>
      <c r="C10" s="1">
        <f t="shared" si="2"/>
        <v>2.4691358024691359E-4</v>
      </c>
      <c r="D10" s="7">
        <f t="shared" si="3"/>
        <v>4.9382716049382713</v>
      </c>
      <c r="F10" s="5">
        <f t="shared" si="0"/>
        <v>5</v>
      </c>
      <c r="G10" s="1">
        <f t="shared" si="4"/>
        <v>2.5000000000000001E-4</v>
      </c>
      <c r="H10" s="1">
        <f t="shared" si="5"/>
        <v>4000</v>
      </c>
      <c r="I10" s="1"/>
    </row>
    <row r="11" spans="1:12" x14ac:dyDescent="0.25">
      <c r="A11">
        <v>10</v>
      </c>
      <c r="B11" s="1">
        <f t="shared" si="1"/>
        <v>4500</v>
      </c>
      <c r="C11" s="1">
        <f t="shared" si="2"/>
        <v>2.2222222222222223E-4</v>
      </c>
      <c r="D11" s="7">
        <f t="shared" si="3"/>
        <v>4.4444444444444446</v>
      </c>
      <c r="F11" s="5">
        <f t="shared" si="0"/>
        <v>4</v>
      </c>
      <c r="G11" s="1">
        <f t="shared" si="4"/>
        <v>2.0000000000000001E-4</v>
      </c>
      <c r="H11" s="1">
        <f t="shared" si="5"/>
        <v>5000</v>
      </c>
      <c r="I11" s="1"/>
    </row>
    <row r="20" spans="7:8" x14ac:dyDescent="0.25">
      <c r="G20" s="1"/>
      <c r="H20" s="1"/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84B55-B6C4-4432-943A-B67817C8BC8C}">
  <dimension ref="A1"/>
  <sheetViews>
    <sheetView workbookViewId="0">
      <selection activeCell="H26" sqref="H26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PW to Freq</vt:lpstr>
      <vt:lpstr>Accel and Vmax</vt:lpstr>
      <vt:lpstr>Stitch Period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Claire Neilson</dc:creator>
  <cp:lastModifiedBy>Claire Neilson</cp:lastModifiedBy>
  <dcterms:created xsi:type="dcterms:W3CDTF">2026-03-19T00:54:53Z</dcterms:created>
  <dcterms:modified xsi:type="dcterms:W3CDTF">2026-03-19T03:05:16Z</dcterms:modified>
</cp:coreProperties>
</file>
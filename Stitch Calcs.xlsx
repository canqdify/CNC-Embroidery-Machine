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ire\Local Git Code\Embroidery Machine\CNC-Embroidery-Machine\"/>
    </mc:Choice>
  </mc:AlternateContent>
  <xr:revisionPtr revIDLastSave="0" documentId="13_ncr:1_{10492051-BAA1-44D1-A178-49A747677F1B}" xr6:coauthVersionLast="47" xr6:coauthVersionMax="47" xr10:uidLastSave="{00000000-0000-0000-0000-000000000000}"/>
  <bookViews>
    <workbookView xWindow="-28920" yWindow="-1290" windowWidth="29040" windowHeight="15720" activeTab="3" xr2:uid="{ACDFC889-B2AC-4DD9-89C7-9C66E4575298}"/>
  </bookViews>
  <sheets>
    <sheet name="PW to Freq" sheetId="1" r:id="rId1"/>
    <sheet name="Accel and Vmax" sheetId="2" r:id="rId2"/>
    <sheet name="Graphing " sheetId="7" r:id="rId3"/>
    <sheet name="time" sheetId="8" r:id="rId4"/>
    <sheet name="Stitch Period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8" l="1"/>
  <c r="D3" i="8"/>
  <c r="C4" i="8"/>
  <c r="D4" i="8"/>
  <c r="C5" i="8"/>
  <c r="D5" i="8"/>
  <c r="C6" i="8"/>
  <c r="D6" i="8"/>
  <c r="C7" i="8"/>
  <c r="D7" i="8"/>
  <c r="C8" i="8"/>
  <c r="D8" i="8"/>
  <c r="C9" i="8"/>
  <c r="D9" i="8"/>
  <c r="C10" i="8"/>
  <c r="D10" i="8"/>
  <c r="C11" i="8"/>
  <c r="D11" i="8"/>
  <c r="C12" i="8"/>
  <c r="D12" i="8"/>
  <c r="C13" i="8"/>
  <c r="D13" i="8"/>
  <c r="C14" i="8"/>
  <c r="D14" i="8"/>
  <c r="C15" i="8"/>
  <c r="D15" i="8"/>
  <c r="C16" i="8"/>
  <c r="D16" i="8"/>
  <c r="C17" i="8"/>
  <c r="D17" i="8"/>
  <c r="C18" i="8"/>
  <c r="D18" i="8"/>
  <c r="C19" i="8"/>
  <c r="D19" i="8"/>
  <c r="C20" i="8"/>
  <c r="D20" i="8"/>
  <c r="C21" i="8"/>
  <c r="D21" i="8"/>
  <c r="C22" i="8"/>
  <c r="D22" i="8"/>
  <c r="C23" i="8"/>
  <c r="D23" i="8"/>
  <c r="C24" i="8"/>
  <c r="D24" i="8"/>
  <c r="C25" i="8"/>
  <c r="D25" i="8"/>
  <c r="C26" i="8"/>
  <c r="D26" i="8"/>
  <c r="C27" i="8"/>
  <c r="D27" i="8"/>
  <c r="C28" i="8"/>
  <c r="D28" i="8"/>
  <c r="C29" i="8"/>
  <c r="D29" i="8"/>
  <c r="C30" i="8"/>
  <c r="D30" i="8"/>
  <c r="C31" i="8"/>
  <c r="D31" i="8"/>
  <c r="C32" i="8"/>
  <c r="D32" i="8"/>
  <c r="C33" i="8"/>
  <c r="D33" i="8"/>
  <c r="C34" i="8"/>
  <c r="D34" i="8"/>
  <c r="C35" i="8"/>
  <c r="D35" i="8"/>
  <c r="C36" i="8"/>
  <c r="D36" i="8"/>
  <c r="C37" i="8"/>
  <c r="D37" i="8"/>
  <c r="C38" i="8"/>
  <c r="D38" i="8"/>
  <c r="C39" i="8"/>
  <c r="D39" i="8"/>
  <c r="C40" i="8"/>
  <c r="D40" i="8"/>
  <c r="C41" i="8"/>
  <c r="D41" i="8"/>
  <c r="C42" i="8"/>
  <c r="D42" i="8"/>
  <c r="C43" i="8"/>
  <c r="D43" i="8"/>
  <c r="C44" i="8"/>
  <c r="D44" i="8"/>
  <c r="C45" i="8"/>
  <c r="D45" i="8"/>
  <c r="C46" i="8"/>
  <c r="D46" i="8"/>
  <c r="C47" i="8"/>
  <c r="D47" i="8"/>
  <c r="C48" i="8"/>
  <c r="D48" i="8"/>
  <c r="C49" i="8"/>
  <c r="D49" i="8"/>
  <c r="C50" i="8"/>
  <c r="D50" i="8"/>
  <c r="C51" i="8"/>
  <c r="D51" i="8"/>
  <c r="C52" i="8"/>
  <c r="D52" i="8"/>
  <c r="C53" i="8"/>
  <c r="D53" i="8"/>
  <c r="C54" i="8"/>
  <c r="D54" i="8"/>
  <c r="C55" i="8"/>
  <c r="D55" i="8"/>
  <c r="C56" i="8"/>
  <c r="D56" i="8"/>
  <c r="C57" i="8"/>
  <c r="D57" i="8"/>
  <c r="C58" i="8"/>
  <c r="D58" i="8"/>
  <c r="C59" i="8"/>
  <c r="D59" i="8"/>
  <c r="C60" i="8"/>
  <c r="D60" i="8"/>
  <c r="C61" i="8"/>
  <c r="D61" i="8"/>
  <c r="C62" i="8"/>
  <c r="D62" i="8"/>
  <c r="C63" i="8"/>
  <c r="D63" i="8"/>
  <c r="C64" i="8"/>
  <c r="D64" i="8"/>
  <c r="C65" i="8"/>
  <c r="D65" i="8"/>
  <c r="C66" i="8"/>
  <c r="D66" i="8"/>
  <c r="C67" i="8"/>
  <c r="D67" i="8"/>
  <c r="C68" i="8"/>
  <c r="D68" i="8"/>
  <c r="C69" i="8"/>
  <c r="D69" i="8"/>
  <c r="C70" i="8"/>
  <c r="D70" i="8"/>
  <c r="C71" i="8"/>
  <c r="D71" i="8"/>
  <c r="C72" i="8"/>
  <c r="D72" i="8"/>
  <c r="C73" i="8"/>
  <c r="D73" i="8"/>
  <c r="C74" i="8"/>
  <c r="D74" i="8"/>
  <c r="C75" i="8"/>
  <c r="D75" i="8"/>
  <c r="C76" i="8"/>
  <c r="D76" i="8"/>
  <c r="C77" i="8"/>
  <c r="D77" i="8"/>
  <c r="D2" i="8"/>
  <c r="C2" i="8"/>
  <c r="K11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" i="8"/>
  <c r="L2" i="8"/>
  <c r="K2" i="8"/>
  <c r="H2" i="8"/>
  <c r="C2" i="7"/>
  <c r="E4" i="7"/>
  <c r="B9" i="7"/>
  <c r="F9" i="7" s="1"/>
  <c r="B8" i="7"/>
  <c r="F8" i="7" s="1"/>
  <c r="B7" i="7"/>
  <c r="F7" i="7" s="1"/>
  <c r="B6" i="7"/>
  <c r="F6" i="7" s="1"/>
  <c r="B5" i="7"/>
  <c r="C5" i="7" s="1"/>
  <c r="B4" i="7"/>
  <c r="F3" i="7"/>
  <c r="E3" i="7"/>
  <c r="D3" i="7"/>
  <c r="C3" i="7"/>
  <c r="B3" i="7"/>
  <c r="B2" i="7"/>
  <c r="F2" i="7" s="1"/>
  <c r="B2" i="3"/>
  <c r="C2" i="3"/>
  <c r="D2" i="3"/>
  <c r="B3" i="3"/>
  <c r="C3" i="3"/>
  <c r="D3" i="3"/>
  <c r="B4" i="3"/>
  <c r="C4" i="3"/>
  <c r="D4" i="3"/>
  <c r="B5" i="3"/>
  <c r="C5" i="3"/>
  <c r="D5" i="3"/>
  <c r="B6" i="3"/>
  <c r="C6" i="3"/>
  <c r="D6" i="3"/>
  <c r="B7" i="3"/>
  <c r="C7" i="3"/>
  <c r="D7" i="3"/>
  <c r="B8" i="3"/>
  <c r="C8" i="3" s="1"/>
  <c r="D8" i="3" s="1"/>
  <c r="B9" i="3"/>
  <c r="C9" i="3"/>
  <c r="D9" i="3" s="1"/>
  <c r="B10" i="3"/>
  <c r="C10" i="3"/>
  <c r="D10" i="3"/>
  <c r="B11" i="3"/>
  <c r="C11" i="3"/>
  <c r="D11" i="3"/>
  <c r="F3" i="3"/>
  <c r="F4" i="3"/>
  <c r="F2" i="3"/>
  <c r="G2" i="3" s="1"/>
  <c r="H2" i="3" s="1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D3" i="2"/>
  <c r="D4" i="2"/>
  <c r="D5" i="2"/>
  <c r="D6" i="2"/>
  <c r="D7" i="2"/>
  <c r="D8" i="2"/>
  <c r="D9" i="2"/>
  <c r="D10" i="2"/>
  <c r="D11" i="2"/>
  <c r="D2" i="2"/>
  <c r="C6" i="2"/>
  <c r="C3" i="2"/>
  <c r="C4" i="2"/>
  <c r="C5" i="2"/>
  <c r="C7" i="2"/>
  <c r="C8" i="2"/>
  <c r="C9" i="2"/>
  <c r="C10" i="2"/>
  <c r="C11" i="2"/>
  <c r="C2" i="2"/>
  <c r="D3" i="1"/>
  <c r="B11" i="2"/>
  <c r="B3" i="2"/>
  <c r="B4" i="2"/>
  <c r="B5" i="2"/>
  <c r="B6" i="2"/>
  <c r="B7" i="2"/>
  <c r="B8" i="2"/>
  <c r="B9" i="2"/>
  <c r="B10" i="2"/>
  <c r="B2" i="2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" i="1"/>
  <c r="E7" i="7" l="1"/>
  <c r="C4" i="7"/>
  <c r="D5" i="7"/>
  <c r="E5" i="7"/>
  <c r="F5" i="7"/>
  <c r="D2" i="7"/>
  <c r="E2" i="7"/>
  <c r="D4" i="7"/>
  <c r="F4" i="7"/>
  <c r="D9" i="7"/>
  <c r="C6" i="7"/>
  <c r="D6" i="7"/>
  <c r="E6" i="7"/>
  <c r="C7" i="7"/>
  <c r="D7" i="7"/>
  <c r="C8" i="7"/>
  <c r="D8" i="7"/>
  <c r="E8" i="7"/>
  <c r="C9" i="7"/>
  <c r="E9" i="7"/>
  <c r="F11" i="3"/>
  <c r="G11" i="3" s="1"/>
  <c r="H11" i="3" s="1"/>
  <c r="F10" i="3"/>
  <c r="G10" i="3" s="1"/>
  <c r="H10" i="3" s="1"/>
  <c r="F9" i="3"/>
  <c r="G9" i="3" s="1"/>
  <c r="H9" i="3" s="1"/>
  <c r="F8" i="3"/>
  <c r="G8" i="3" s="1"/>
  <c r="H8" i="3" s="1"/>
  <c r="F7" i="3"/>
  <c r="G7" i="3" s="1"/>
  <c r="H7" i="3" s="1"/>
  <c r="F6" i="3"/>
  <c r="G6" i="3" s="1"/>
  <c r="H6" i="3" s="1"/>
  <c r="F5" i="3"/>
  <c r="G5" i="3" s="1"/>
  <c r="H5" i="3" s="1"/>
  <c r="G4" i="3"/>
  <c r="H4" i="3" s="1"/>
  <c r="G3" i="3"/>
  <c r="H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Claire</author>
  </authors>
  <commentList>
    <comment ref="C1" authorId="0" shapeId="0" xr:uid="{F6A07338-C6E4-42DE-A22F-9BCCECAA979D}">
      <text>
        <r>
          <rPr>
            <b/>
            <sz val="9"/>
            <color indexed="81"/>
            <rFont val="Tahoma"/>
            <family val="2"/>
          </rPr>
          <t>Claire:</t>
        </r>
        <r>
          <rPr>
            <sz val="9"/>
            <color indexed="81"/>
            <rFont val="Tahoma"/>
            <family val="2"/>
          </rPr>
          <t xml:space="preserve">
x=(-b+SQRT(b^2-4ac))/2a</t>
        </r>
      </text>
    </comment>
    <comment ref="D1" authorId="0" shapeId="0" xr:uid="{6765EFB1-BDD9-431C-AC6F-8BD6E9E13A60}">
      <text>
        <r>
          <rPr>
            <b/>
            <sz val="9"/>
            <color indexed="81"/>
            <rFont val="Tahoma"/>
            <family val="2"/>
          </rPr>
          <t>Claire:</t>
        </r>
        <r>
          <rPr>
            <sz val="9"/>
            <color indexed="81"/>
            <rFont val="Tahoma"/>
            <family val="2"/>
          </rPr>
          <t xml:space="preserve">
x=(-b-SQRT(b^2-4ac))/2a
out of range</t>
        </r>
      </text>
    </comment>
  </commentList>
</comments>
</file>

<file path=xl/sharedStrings.xml><?xml version="1.0" encoding="utf-8"?>
<sst xmlns="http://schemas.openxmlformats.org/spreadsheetml/2006/main" count="32" uniqueCount="23">
  <si>
    <t>Period (s)</t>
  </si>
  <si>
    <t xml:space="preserve">Additional Delays </t>
  </si>
  <si>
    <t>Frequency (Hz)</t>
  </si>
  <si>
    <t>Num Pulse Widths</t>
  </si>
  <si>
    <t>stitches/s</t>
  </si>
  <si>
    <r>
      <t>t</t>
    </r>
    <r>
      <rPr>
        <vertAlign val="subscript"/>
        <sz val="11"/>
        <color theme="1"/>
        <rFont val="Aptos Narrow"/>
        <family val="2"/>
        <scheme val="minor"/>
      </rPr>
      <t>t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</si>
  <si>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max</t>
    </r>
    <r>
      <rPr>
        <sz val="11"/>
        <color theme="1"/>
        <rFont val="Aptos Narrow"/>
        <family val="2"/>
        <scheme val="minor"/>
      </rPr>
      <t xml:space="preserve"> (m/s)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</si>
  <si>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max</t>
    </r>
    <r>
      <rPr>
        <sz val="11"/>
        <color theme="1"/>
        <rFont val="Aptos Narrow"/>
        <family val="2"/>
        <scheme val="minor"/>
      </rPr>
      <t xml:space="preserve"> (steps/s)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</si>
  <si>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or a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(m/s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</si>
  <si>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or a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(steps/s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</t>
    </r>
  </si>
  <si>
    <t>Period (pw)</t>
  </si>
  <si>
    <t xml:space="preserve">Period (pw), rounded </t>
  </si>
  <si>
    <t>Period (s), result</t>
  </si>
  <si>
    <t>Frequency (Hz), result</t>
  </si>
  <si>
    <t xml:space="preserve">Formulas and image: https://www.linearmotiontips.com/how-to-calculate-velocity/ </t>
  </si>
  <si>
    <t>displacement (s)</t>
  </si>
  <si>
    <t>c</t>
  </si>
  <si>
    <t>t_t</t>
  </si>
  <si>
    <t>s_t</t>
  </si>
  <si>
    <t>a</t>
  </si>
  <si>
    <t>b</t>
  </si>
  <si>
    <t>t+</t>
  </si>
  <si>
    <t>t-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</si>
</sst>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#0.000E+0"/>
    <numFmt numFmtId="165" formatCode="##0E+0"/>
    <numFmt numFmtId="166" formatCode="##0.0000E+0"/>
    <numFmt numFmtId="167" formatCode="0.0"/>
    <numFmt numFmtId="168" formatCode="##0.00E+0"/>
    <numFmt numFmtId="169" formatCode="0.E+00"/>
  </numFmts>
  <fonts count="5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0" fillId="0" borderId="0" xfId="0" applyNumberFormat="1" applyAlignment="1">
      <alignment wrapText="1"/>
    </xf>
    <xf numFmtId="1" fontId="0" fillId="0" borderId="0" xfId="0" applyNumberFormat="1"/>
    <xf numFmtId="167" fontId="0" fillId="0" borderId="0" xfId="0" applyNumberFormat="1" applyAlignment="1">
      <alignment wrapText="1"/>
    </xf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66" fontId="0" fillId="2" borderId="0" xfId="0" applyNumberFormat="1" applyFill="1"/>
    <xf numFmtId="166" fontId="0" fillId="3" borderId="0" xfId="0" applyNumberFormat="1" applyFill="1"/>
  </cellXfs>
  <cellStyles count="1">
    <cellStyle name="Normal" xfId="0" builtinId="0"/>
  </cellStyles>
  <dxfs count="6">
    <dxf>
      <numFmt numFmtId="164" formatCode="##0.000E+0"/>
    </dxf>
    <dxf>
      <numFmt numFmtId="164" formatCode="##0.000E+0"/>
    </dxf>
    <dxf>
      <numFmt numFmtId="1" formatCode="0"/>
    </dxf>
    <dxf>
      <numFmt numFmtId="167" formatCode="0.0"/>
    </dxf>
    <dxf>
      <numFmt numFmtId="164" formatCode="##0.000E+0"/>
    </dxf>
    <dxf>
      <numFmt numFmtId="164" formatCode="##0.000E+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400050</xdr:colOff>
      <xdr:row>1</xdr:row>
      <xdr:rowOff>9525</xdr:rowOff>
    </xdr:from>
    <xdr:to>
      <xdr:col>18</xdr:col>
      <xdr:colOff>342900</xdr:colOff>
      <xdr:row>12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B04373-6C6B-0332-04BE-26D6440AE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238125"/>
          <a:ext cx="3600450" cy="2181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47625</xdr:colOff>
      <xdr:row>5</xdr:row>
      <xdr:rowOff>166687</xdr:rowOff>
    </xdr:from>
    <xdr:ext cx="1721882" cy="6363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6EAF8AA-3D88-62B9-73E6-B93C1F0C4E69}"/>
                </a:ext>
              </a:extLst>
            </xdr:cNvPr>
            <xdr:cNvSpPr txBox="1"/>
          </xdr:nvSpPr>
          <xdr:spPr>
            <a:xfrm>
              <a:off x="5819775" y="1157287"/>
              <a:ext cx="1721882" cy="6363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20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CA" sz="20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  <m:r>
                      <a:rPr lang="en-CA" sz="2000" b="0" i="1">
                        <a:latin typeface="Cambria Math" panose="02040503050406030204" pitchFamily="18" charset="0"/>
                      </a:rPr>
                      <m:t>=1.5∗</m:t>
                    </m:r>
                    <m:f>
                      <m:fPr>
                        <m:ctrlPr>
                          <a:rPr lang="en-CA" sz="2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CA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20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n-CA" sz="20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CA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20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  <m:sub>
                            <m:r>
                              <a:rPr lang="en-CA" sz="20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CA" sz="20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6EAF8AA-3D88-62B9-73E6-B93C1F0C4E69}"/>
                </a:ext>
              </a:extLst>
            </xdr:cNvPr>
            <xdr:cNvSpPr txBox="1"/>
          </xdr:nvSpPr>
          <xdr:spPr>
            <a:xfrm>
              <a:off x="5819775" y="1157287"/>
              <a:ext cx="1721882" cy="6363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CA" sz="2000" b="0" i="0">
                  <a:latin typeface="Cambria Math" panose="02040503050406030204" pitchFamily="18" charset="0"/>
                </a:rPr>
                <a:t>𝑉_𝑚𝑎𝑥=1.5∗𝑑_𝑡/𝑡_𝑡 </a:t>
              </a:r>
              <a:endParaRPr lang="en-CA" sz="2000"/>
            </a:p>
          </xdr:txBody>
        </xdr:sp>
      </mc:Fallback>
    </mc:AlternateContent>
    <xdr:clientData/>
  </xdr:oneCellAnchor>
  <xdr:oneCellAnchor>
    <xdr:from>
      <xdr:col>7</xdr:col>
      <xdr:colOff>123825</xdr:colOff>
      <xdr:row>9</xdr:row>
      <xdr:rowOff>4762</xdr:rowOff>
    </xdr:from>
    <xdr:ext cx="1352486" cy="65800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5E3B0D5-19A2-E3BF-08DE-E7712C936B5D}"/>
                </a:ext>
              </a:extLst>
            </xdr:cNvPr>
            <xdr:cNvSpPr txBox="1"/>
          </xdr:nvSpPr>
          <xdr:spPr>
            <a:xfrm>
              <a:off x="5895975" y="1757362"/>
              <a:ext cx="1352486" cy="6580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20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=4.5∗</m:t>
                    </m:r>
                    <m:f>
                      <m:fPr>
                        <m:ctrlPr>
                          <a:rPr lang="en-CA" sz="2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CA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20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n-CA" sz="20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num>
                      <m:den>
                        <m:sSubSup>
                          <m:sSubSup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CA" sz="20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  <m:sub>
                            <m:r>
                              <a:rPr lang="en-CA" sz="20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  <m:sup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den>
                    </m:f>
                  </m:oMath>
                </m:oMathPara>
              </a14:m>
              <a:endParaRPr lang="en-CA" sz="20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5E3B0D5-19A2-E3BF-08DE-E7712C936B5D}"/>
                </a:ext>
              </a:extLst>
            </xdr:cNvPr>
            <xdr:cNvSpPr txBox="1"/>
          </xdr:nvSpPr>
          <xdr:spPr>
            <a:xfrm>
              <a:off x="5895975" y="1757362"/>
              <a:ext cx="1352486" cy="6580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CA" sz="2000" b="0" i="0">
                  <a:latin typeface="Cambria Math" panose="02040503050406030204" pitchFamily="18" charset="0"/>
                </a:rPr>
                <a:t>𝑎=4.5∗𝑑_𝑡/(𝑡</a:t>
              </a:r>
              <a:r>
                <a:rPr lang="en-US" sz="2000" b="0" i="0">
                  <a:latin typeface="Cambria Math" panose="02040503050406030204" pitchFamily="18" charset="0"/>
                </a:rPr>
                <a:t>_</a:t>
              </a:r>
              <a:r>
                <a:rPr lang="en-CA" sz="2000" b="0" i="0">
                  <a:latin typeface="Cambria Math" panose="02040503050406030204" pitchFamily="18" charset="0"/>
                </a:rPr>
                <a:t>𝑡^</a:t>
              </a:r>
              <a:r>
                <a:rPr lang="en-US" sz="2000" b="0" i="0">
                  <a:latin typeface="Cambria Math" panose="02040503050406030204" pitchFamily="18" charset="0"/>
                </a:rPr>
                <a:t>2</a:t>
              </a:r>
              <a:r>
                <a:rPr lang="en-CA" sz="2000" b="0" i="0">
                  <a:latin typeface="Cambria Math" panose="02040503050406030204" pitchFamily="18" charset="0"/>
                </a:rPr>
                <a:t> )</a:t>
              </a:r>
              <a:endParaRPr lang="en-CA" sz="2000"/>
            </a:p>
          </xdr:txBody>
        </xdr:sp>
      </mc:Fallback>
    </mc:AlternateContent>
    <xdr:clientData/>
  </xdr:oneCellAnchor>
  <xdr:oneCellAnchor>
    <xdr:from>
      <xdr:col>7</xdr:col>
      <xdr:colOff>38100</xdr:colOff>
      <xdr:row>0</xdr:row>
      <xdr:rowOff>219075</xdr:rowOff>
    </xdr:from>
    <xdr:ext cx="2678682" cy="315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65064B8-B615-417B-B664-87B7225B7EF0}"/>
                </a:ext>
              </a:extLst>
            </xdr:cNvPr>
            <xdr:cNvSpPr txBox="1"/>
          </xdr:nvSpPr>
          <xdr:spPr>
            <a:xfrm>
              <a:off x="5810250" y="219075"/>
              <a:ext cx="2678682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20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n-CA" sz="20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CA" sz="2000" b="0" i="1">
                        <a:latin typeface="Cambria Math" panose="02040503050406030204" pitchFamily="18" charset="0"/>
                      </a:rPr>
                      <m:t>=3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𝑚𝑚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𝑜𝑟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 300 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𝑠𝑡𝑒𝑝𝑠</m:t>
                    </m:r>
                  </m:oMath>
                </m:oMathPara>
              </a14:m>
              <a:endParaRPr lang="en-CA" sz="20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65064B8-B615-417B-B664-87B7225B7EF0}"/>
                </a:ext>
              </a:extLst>
            </xdr:cNvPr>
            <xdr:cNvSpPr txBox="1"/>
          </xdr:nvSpPr>
          <xdr:spPr>
            <a:xfrm>
              <a:off x="5810250" y="219075"/>
              <a:ext cx="2678682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CA" sz="2000" b="0" i="0">
                  <a:latin typeface="Cambria Math" panose="02040503050406030204" pitchFamily="18" charset="0"/>
                </a:rPr>
                <a:t>𝑑_𝑡=3𝑚𝑚 𝑜𝑟 300 𝑠𝑡𝑒𝑝𝑠</a:t>
              </a:r>
              <a:endParaRPr lang="en-CA" sz="2000"/>
            </a:p>
          </xdr:txBody>
        </xdr:sp>
      </mc:Fallback>
    </mc:AlternateContent>
    <xdr:clientData/>
  </xdr:oneCellAnchor>
  <xdr:oneCellAnchor>
    <xdr:from>
      <xdr:col>7</xdr:col>
      <xdr:colOff>95250</xdr:colOff>
      <xdr:row>3</xdr:row>
      <xdr:rowOff>76200</xdr:rowOff>
    </xdr:from>
    <xdr:ext cx="1379288" cy="315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3D6627E-73CD-44C1-BD19-43DB7DF212EB}"/>
                </a:ext>
              </a:extLst>
            </xdr:cNvPr>
            <xdr:cNvSpPr txBox="1"/>
          </xdr:nvSpPr>
          <xdr:spPr>
            <a:xfrm>
              <a:off x="5867400" y="685800"/>
              <a:ext cx="1379288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20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en-CA" sz="20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</m:sSub>
                    <m:r>
                      <a:rPr lang="en-CA" sz="20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CA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20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en-CA" sz="2000" b="0" i="1">
                            <a:latin typeface="Cambria Math" panose="02040503050406030204" pitchFamily="18" charset="0"/>
                          </a:rPr>
                          <m:t>𝑏</m:t>
                        </m:r>
                      </m:sub>
                    </m:sSub>
                    <m:r>
                      <a:rPr lang="en-CA" sz="20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CA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20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en-CA" sz="20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</m:oMath>
                </m:oMathPara>
              </a14:m>
              <a:endParaRPr lang="en-CA" sz="20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3D6627E-73CD-44C1-BD19-43DB7DF212EB}"/>
                </a:ext>
              </a:extLst>
            </xdr:cNvPr>
            <xdr:cNvSpPr txBox="1"/>
          </xdr:nvSpPr>
          <xdr:spPr>
            <a:xfrm>
              <a:off x="5867400" y="685800"/>
              <a:ext cx="1379288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CA" sz="2000" b="0" i="0">
                  <a:latin typeface="Cambria Math" panose="02040503050406030204" pitchFamily="18" charset="0"/>
                </a:rPr>
                <a:t>𝑡_𝑎=𝑡_𝑏=𝑡_𝑐</a:t>
              </a:r>
              <a:endParaRPr lang="en-CA" sz="20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257175</xdr:colOff>
      <xdr:row>1</xdr:row>
      <xdr:rowOff>38100</xdr:rowOff>
    </xdr:from>
    <xdr:ext cx="4035207" cy="188051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8135C8F-218F-04CC-8319-475875A3D2DD}"/>
                </a:ext>
              </a:extLst>
            </xdr:cNvPr>
            <xdr:cNvSpPr txBox="1"/>
          </xdr:nvSpPr>
          <xdr:spPr>
            <a:xfrm>
              <a:off x="5705475" y="266700"/>
              <a:ext cx="4035207" cy="18805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b="0" i="1">
                        <a:latin typeface="Cambria Math" panose="02040503050406030204" pitchFamily="18" charset="0"/>
                      </a:rPr>
                      <m:t>𝑣</m:t>
                    </m:r>
                    <m:d>
                      <m:d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"/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  0≤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≤</m:t>
                            </m:r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3</m:t>
                                </m:r>
                              </m:den>
                            </m:f>
                          </m:e>
                          <m:e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𝑚𝑎𝑥</m:t>
                                </m:r>
                              </m:sub>
                            </m:sSub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,  </m:t>
                            </m:r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</m:den>
                            </m:f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&lt;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≤</m:t>
                            </m:r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</m:den>
                            </m:f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𝑎𝑡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  </m:t>
                            </m:r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3</m:t>
                                </m:r>
                              </m:den>
                            </m:f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&lt;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≤</m:t>
                            </m:r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n-CA" sz="20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8135C8F-218F-04CC-8319-475875A3D2DD}"/>
                </a:ext>
              </a:extLst>
            </xdr:cNvPr>
            <xdr:cNvSpPr txBox="1"/>
          </xdr:nvSpPr>
          <xdr:spPr>
            <a:xfrm>
              <a:off x="5705475" y="266700"/>
              <a:ext cx="4035207" cy="18805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</a:rPr>
                <a:t>𝑣(𝑡)={█(𝑎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𝑡,  0≤𝑡≤𝑡_𝑡/3@</a:t>
              </a:r>
              <a:r>
                <a:rPr lang="en-US" sz="2000" b="0" i="0">
                  <a:latin typeface="Cambria Math" panose="02040503050406030204" pitchFamily="18" charset="0"/>
                </a:rPr>
                <a:t>𝑣_𝑚𝑎𝑥,  𝑡_𝑡/3&lt;𝑡≤2/3 𝑡_𝑡@−𝑎𝑡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+𝑎𝑡_𝑡,  2/3 𝑡_𝑡&lt;𝑡≤𝑡_𝑡 )┤</a:t>
              </a:r>
              <a:endParaRPr lang="en-CA" sz="2000"/>
            </a:p>
          </xdr:txBody>
        </xdr:sp>
      </mc:Fallback>
    </mc:AlternateContent>
    <xdr:clientData/>
  </xdr:oneCellAnchor>
  <xdr:oneCellAnchor>
    <xdr:from>
      <xdr:col>7</xdr:col>
      <xdr:colOff>76200</xdr:colOff>
      <xdr:row>12</xdr:row>
      <xdr:rowOff>119062</xdr:rowOff>
    </xdr:from>
    <xdr:ext cx="5730095" cy="198438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986E4A5-E520-2D80-193C-550B406D018A}"/>
                </a:ext>
              </a:extLst>
            </xdr:cNvPr>
            <xdr:cNvSpPr txBox="1"/>
          </xdr:nvSpPr>
          <xdr:spPr>
            <a:xfrm>
              <a:off x="5524500" y="2443162"/>
              <a:ext cx="5730095" cy="19843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b="0" i="1">
                        <a:latin typeface="Cambria Math" panose="02040503050406030204" pitchFamily="18" charset="0"/>
                      </a:rPr>
                      <m:t>𝑠</m:t>
                    </m:r>
                    <m:d>
                      <m:d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"/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  <m:sSup>
                                  <m:sSup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p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den>
                            </m:f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,  0≤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≤</m:t>
                            </m:r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</m:den>
                            </m:f>
                          </m:e>
                          <m:e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𝑚𝑎𝑥</m:t>
                                </m:r>
                              </m:sub>
                            </m:sSub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∙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𝑣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𝑚𝑎𝑥</m:t>
                                    </m:r>
                                  </m:sub>
                                </m:s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∙</m:t>
                                </m:r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6</m:t>
                                </m:r>
                              </m:den>
                            </m:f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,  </m:t>
                            </m:r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</m:den>
                            </m:f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&lt;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≤</m:t>
                            </m:r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</m:den>
                            </m:f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  <m:sSup>
                                  <m:sSup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p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den>
                            </m:f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∙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𝑎</m:t>
                                </m:r>
                                <m:sSubSup>
                                  <m:sSubSup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  <m:sup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den>
                            </m:f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  </m:t>
                            </m:r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3</m:t>
                                </m:r>
                              </m:den>
                            </m:f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&lt;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≤</m:t>
                            </m:r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n-CA" sz="20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986E4A5-E520-2D80-193C-550B406D018A}"/>
                </a:ext>
              </a:extLst>
            </xdr:cNvPr>
            <xdr:cNvSpPr txBox="1"/>
          </xdr:nvSpPr>
          <xdr:spPr>
            <a:xfrm>
              <a:off x="5524500" y="2443162"/>
              <a:ext cx="5730095" cy="19843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</a:rPr>
                <a:t>𝑠(𝑡)={█((𝑎𝑡^2)/2,  0≤𝑡≤𝑡_𝑡/3@𝑣_𝑚𝑎𝑥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sz="2000" b="0" i="0">
                  <a:latin typeface="Cambria Math" panose="02040503050406030204" pitchFamily="18" charset="0"/>
                </a:rPr>
                <a:t>𝑡−(𝑣_𝑚𝑎𝑥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∙𝑡_𝑡)/</a:t>
              </a:r>
              <a:r>
                <a:rPr lang="en-US" sz="2000" b="0" i="0">
                  <a:latin typeface="Cambria Math" panose="02040503050406030204" pitchFamily="18" charset="0"/>
                </a:rPr>
                <a:t>6,  𝑡_𝑡/3&lt;𝑡≤2/3 𝑡_𝑡@−(𝑎𝑡^2)/2+𝑎𝑡_𝑡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∙𝑡+𝑠_𝑡−(𝑎𝑡_𝑡^2)/2,  2/3 𝑡_𝑡&lt;𝑡≤𝑡_𝑡 )┤</a:t>
              </a:r>
              <a:endParaRPr lang="en-CA" sz="2000"/>
            </a:p>
          </xdr:txBody>
        </xdr:sp>
      </mc:Fallback>
    </mc:AlternateContent>
    <xdr:clientData/>
  </xdr:oneCellAnchor>
  <xdr:twoCellAnchor editAs="oneCell">
    <xdr:from>
      <xdr:col>0</xdr:col>
      <xdr:colOff>95250</xdr:colOff>
      <xdr:row>10</xdr:row>
      <xdr:rowOff>142876</xdr:rowOff>
    </xdr:from>
    <xdr:to>
      <xdr:col>7</xdr:col>
      <xdr:colOff>46950</xdr:colOff>
      <xdr:row>27</xdr:row>
      <xdr:rowOff>58015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8484639-3B9D-F90E-C485-EF2DCB840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2085976"/>
          <a:ext cx="5400000" cy="3153639"/>
        </a:xfrm>
        <a:prstGeom prst="rect">
          <a:avLst/>
        </a:prstGeom>
      </xdr:spPr>
    </xdr:pic>
    <xdr:clientData/>
  </xdr:twoCellAnchor>
  <xdr:oneCellAnchor>
    <xdr:from>
      <xdr:col>18</xdr:col>
      <xdr:colOff>47625</xdr:colOff>
      <xdr:row>13</xdr:row>
      <xdr:rowOff>161925</xdr:rowOff>
    </xdr:from>
    <xdr:ext cx="4143891" cy="218059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6BE9C1B-05A1-421C-90BA-C9C0C798460B}"/>
                </a:ext>
              </a:extLst>
            </xdr:cNvPr>
            <xdr:cNvSpPr txBox="1"/>
          </xdr:nvSpPr>
          <xdr:spPr>
            <a:xfrm>
              <a:off x="12201525" y="2676525"/>
              <a:ext cx="4143891" cy="21805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b="0" i="1">
                        <a:latin typeface="Cambria Math" panose="02040503050406030204" pitchFamily="18" charset="0"/>
                      </a:rPr>
                      <m:t>𝑠</m:t>
                    </m:r>
                    <m:d>
                      <m:d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"/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9</m:t>
                                </m:r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𝑠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  <m:sSup>
                                  <m:sSup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p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4</m:t>
                                </m:r>
                                <m:sSubSup>
                                  <m:sSubSup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  <m:sup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den>
                            </m:f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</m:sub>
                            </m:sSub>
                          </m:e>
                          <m:e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𝑠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𝑠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4</m:t>
                                </m:r>
                              </m:den>
                            </m:f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𝑏</m:t>
                                </m:r>
                              </m:sub>
                            </m:sSub>
                          </m:e>
                          <m:e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−9</m:t>
                                </m:r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𝑠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  <m:sSup>
                                  <m:sSup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p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4</m:t>
                                </m:r>
                                <m:sSubSup>
                                  <m:sSubSup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  <m:sup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den>
                            </m:f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9</m:t>
                                </m:r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𝑠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5</m:t>
                                </m:r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4</m:t>
                                </m:r>
                              </m:den>
                            </m:f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n-CA" sz="20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6BE9C1B-05A1-421C-90BA-C9C0C798460B}"/>
                </a:ext>
              </a:extLst>
            </xdr:cNvPr>
            <xdr:cNvSpPr txBox="1"/>
          </xdr:nvSpPr>
          <xdr:spPr>
            <a:xfrm>
              <a:off x="12201525" y="2676525"/>
              <a:ext cx="4143891" cy="21805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</a:rPr>
                <a:t>𝑠(𝑡)={█((9𝑠_𝑡 𝑡^2)/(4𝑡_𝑡^2 ),  𝑡_𝑎@(3𝑠_𝑡 𝑡)/(2𝑡_𝑡 )−𝑠_𝑡/4,  𝑡_𝑏@(−9𝑠_𝑡 𝑡^2)/(4𝑡_𝑡^2 )+(9𝑠_𝑡 𝑡)/(2𝑡_𝑡 )−5/4 𝑠_𝑡,  𝑡_𝑐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)┤</a:t>
              </a:r>
              <a:endParaRPr lang="en-CA" sz="2000"/>
            </a:p>
          </xdr:txBody>
        </xdr:sp>
      </mc:Fallback>
    </mc:AlternateContent>
    <xdr:clientData/>
  </xdr:oneCellAnchor>
  <xdr:oneCellAnchor>
    <xdr:from>
      <xdr:col>17</xdr:col>
      <xdr:colOff>600075</xdr:colOff>
      <xdr:row>1</xdr:row>
      <xdr:rowOff>180975</xdr:rowOff>
    </xdr:from>
    <xdr:ext cx="3317960" cy="214161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FC82178-60E6-4A20-BCB8-5362A96A5E31}"/>
                </a:ext>
              </a:extLst>
            </xdr:cNvPr>
            <xdr:cNvSpPr txBox="1"/>
          </xdr:nvSpPr>
          <xdr:spPr>
            <a:xfrm>
              <a:off x="12144375" y="409575"/>
              <a:ext cx="3317960" cy="21416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b="0" i="1">
                        <a:latin typeface="Cambria Math" panose="02040503050406030204" pitchFamily="18" charset="0"/>
                      </a:rPr>
                      <m:t>𝑣</m:t>
                    </m:r>
                    <m:d>
                      <m:d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"/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9</m:t>
                                </m:r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𝑠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  <m:sSubSup>
                                  <m:sSubSup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  <m:sup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den>
                            </m:f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</m:sub>
                            </m:sSub>
                          </m:e>
                          <m:e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3</m:t>
                                </m:r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𝑠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2</m:t>
                                    </m:r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𝑏</m:t>
                                </m:r>
                              </m:sub>
                            </m:sSub>
                          </m:e>
                          <m:e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9</m:t>
                                </m:r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𝑠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∙</m:t>
                            </m:r>
                            <m:d>
                              <m:d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1−</m:t>
                                </m:r>
                                <m:f>
                                  <m:f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en-US" sz="20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20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𝑡</m:t>
                                        </m:r>
                                      </m:e>
                                      <m:sub>
                                        <m:r>
                                          <a:rPr lang="en-US" sz="20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𝑡</m:t>
                                        </m:r>
                                      </m:sub>
                                    </m:sSub>
                                  </m:den>
                                </m:f>
                              </m:e>
                            </m:d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𝑐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n-CA" sz="20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FC82178-60E6-4A20-BCB8-5362A96A5E31}"/>
                </a:ext>
              </a:extLst>
            </xdr:cNvPr>
            <xdr:cNvSpPr txBox="1"/>
          </xdr:nvSpPr>
          <xdr:spPr>
            <a:xfrm>
              <a:off x="12144375" y="409575"/>
              <a:ext cx="3317960" cy="21416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</a:rPr>
                <a:t>𝑣(𝑡)={█((9𝑠_𝑡 𝑡)/(2𝑡_𝑡^2 ),  𝑡_𝑎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@(3𝑠_𝑡)/〖2𝑡〗_𝑡 ,  𝑡_𝑏@(</a:t>
              </a:r>
              <a:r>
                <a:rPr lang="en-US" sz="2000" b="0" i="0">
                  <a:latin typeface="Cambria Math" panose="02040503050406030204" pitchFamily="18" charset="0"/>
                </a:rPr>
                <a:t>9𝑠_𝑡)/(2𝑡_𝑡 )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∙(1−𝑡/𝑡_𝑡 ),  𝑡_𝑐 )┤</a:t>
              </a:r>
              <a:endParaRPr lang="en-CA" sz="20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314325</xdr:colOff>
      <xdr:row>5</xdr:row>
      <xdr:rowOff>95250</xdr:rowOff>
    </xdr:from>
    <xdr:ext cx="4143891" cy="218059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EC61F18-59F9-4264-A1D7-7CAF621C26DF}"/>
                </a:ext>
              </a:extLst>
            </xdr:cNvPr>
            <xdr:cNvSpPr txBox="1"/>
          </xdr:nvSpPr>
          <xdr:spPr>
            <a:xfrm>
              <a:off x="9915525" y="1047750"/>
              <a:ext cx="4143891" cy="21805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b="0" i="1">
                        <a:latin typeface="Cambria Math" panose="02040503050406030204" pitchFamily="18" charset="0"/>
                      </a:rPr>
                      <m:t>𝑠</m:t>
                    </m:r>
                    <m:d>
                      <m:d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"/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9</m:t>
                                </m:r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𝑠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  <m:sSup>
                                  <m:sSup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p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4</m:t>
                                </m:r>
                                <m:sSubSup>
                                  <m:sSubSup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  <m:sup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den>
                            </m:f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</m:sub>
                            </m:sSub>
                          </m:e>
                          <m:e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𝑠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𝑠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4</m:t>
                                </m:r>
                              </m:den>
                            </m:f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𝑏</m:t>
                                </m:r>
                              </m:sub>
                            </m:sSub>
                          </m:e>
                          <m:e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−9</m:t>
                                </m:r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𝑠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  <m:sSup>
                                  <m:sSup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p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4</m:t>
                                </m:r>
                                <m:sSubSup>
                                  <m:sSubSup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  <m:sup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den>
                            </m:f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9</m:t>
                                </m:r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𝑠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  <m:sSub>
                                  <m:sSubPr>
                                    <m:ctrlP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e>
                                  <m:sub>
                                    <m:r>
                                      <a:rPr lang="en-US" sz="2000" b="0" i="1">
                                        <a:latin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5</m:t>
                                </m:r>
                              </m:num>
                              <m:den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4</m:t>
                                </m:r>
                              </m:den>
                            </m:f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n-CA" sz="20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EC61F18-59F9-4264-A1D7-7CAF621C26DF}"/>
                </a:ext>
              </a:extLst>
            </xdr:cNvPr>
            <xdr:cNvSpPr txBox="1"/>
          </xdr:nvSpPr>
          <xdr:spPr>
            <a:xfrm>
              <a:off x="9915525" y="1047750"/>
              <a:ext cx="4143891" cy="21805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</a:rPr>
                <a:t>𝑠(𝑡)={█((9𝑠_𝑡 𝑡^2)/(4𝑡_𝑡^2 ),  𝑡_𝑎@(3𝑠_𝑡 𝑡)/(2𝑡_𝑡 )−𝑠_𝑡/4,  𝑡_𝑏@(−9𝑠_𝑡 𝑡^2)/(4𝑡_𝑡^2 )+(9𝑠_𝑡 𝑡)/(2𝑡_𝑡 )−5/4 𝑠_𝑡,  𝑡_𝑐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)┤</a:t>
              </a:r>
              <a:endParaRPr lang="en-CA" sz="2000"/>
            </a:p>
          </xdr:txBody>
        </xdr:sp>
      </mc:Fallback>
    </mc:AlternateContent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0C6F8F-B324-4861-84EE-91AF5FE25959}" name="Period_Calc" displayName="Period_Calc" ref="A1:D11" totalsRowShown="0">
  <autoFilter ref="A1:D11" xr:uid="{DF0C6F8F-B324-4861-84EE-91AF5FE25959}"/>
  <tableColumns count="4">
    <tableColumn id="1" xr3:uid="{B2CA0776-0FBE-4304-AD1F-9A48CE5AEC17}" name="stitches/s"/>
    <tableColumn id="2" xr3:uid="{9CEAFCA0-3559-4BA7-A313-8207B308B3A1}" name="Vmax (steps/s)" dataDxfId="5">
      <calculatedColumnFormula>(1.5*300/POWER(A2,-1))</calculatedColumnFormula>
    </tableColumn>
    <tableColumn id="3" xr3:uid="{B4BAC59C-566F-48F7-9E4B-59F5E49DE2A9}" name="Period (s)" dataDxfId="4">
      <calculatedColumnFormula>POWER(B2,-1)</calculatedColumnFormula>
    </tableColumn>
    <tableColumn id="4" xr3:uid="{015E9145-75CD-46D6-8C9F-1DD7D1895599}" name="Period (pw)" dataDxfId="3">
      <calculatedColumnFormula>(C2/0.00005)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110F8D-88C5-47D7-BDDA-CE20FE290976}" name="Period_Int" displayName="Period_Int" ref="F1:H11" totalsRowShown="0">
  <autoFilter ref="F1:H11" xr:uid="{41110F8D-88C5-47D7-BDDA-CE20FE290976}"/>
  <tableColumns count="3">
    <tableColumn id="1" xr3:uid="{0B0F9E31-DAC5-487D-83D3-95874FC1C05D}" name="Period (pw), rounded " dataDxfId="2">
      <calculatedColumnFormula>ROUND(D2,0)</calculatedColumnFormula>
    </tableColumn>
    <tableColumn id="2" xr3:uid="{E751B1AC-3927-4ACC-868B-504948CA9EB3}" name="Period (s), result" dataDxfId="1">
      <calculatedColumnFormula>F2*0.00005</calculatedColumnFormula>
    </tableColumn>
    <tableColumn id="3" xr3:uid="{96D9C5E5-E7D3-4FD0-B2A4-9D5FCB420160}" name="Frequency (Hz), result" dataDxfId="0">
      <calculatedColumnFormula>POWER(G2,-1)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D1144-84D1-45CB-8552-718985CB2B4F}">
  <dimension ref="A1:D20"/>
  <sheetViews>
    <sheetView workbookViewId="0">
      <selection activeCell="I30" sqref="I30"/>
    </sheetView>
  </sheetViews>
  <sheetFormatPr defaultRowHeight="15" x14ac:dyDescent="0.25"/>
  <cols>
    <col min="1" max="1" width="17.42578125" bestFit="1" customWidth="1"/>
    <col min="2" max="2" width="10.7109375" style="2" customWidth="1"/>
    <col min="3" max="3" width="17" bestFit="1" customWidth="1"/>
    <col min="4" max="4" width="14.5703125" style="3" customWidth="1"/>
  </cols>
  <sheetData>
    <row r="1" spans="1:4" x14ac:dyDescent="0.25">
      <c r="A1" t="s">
        <v>3</v>
      </c>
      <c r="B1" s="2" t="s">
        <v>0</v>
      </c>
      <c r="C1" t="s">
        <v>1</v>
      </c>
      <c r="D1" s="3" t="s">
        <v>2</v>
      </c>
    </row>
    <row r="2" spans="1:4" x14ac:dyDescent="0.25">
      <c r="A2">
        <v>2</v>
      </c>
      <c r="B2" s="2">
        <f>PRODUCT(A2,0.00005)</f>
        <v>1E-4</v>
      </c>
      <c r="C2">
        <v>0</v>
      </c>
      <c r="D2" s="3">
        <f>POWER(B2,-1)</f>
        <v>10000</v>
      </c>
    </row>
    <row r="3" spans="1:4" x14ac:dyDescent="0.25">
      <c r="A3">
        <v>3</v>
      </c>
      <c r="B3" s="2">
        <f t="shared" ref="B3:B20" si="0">PRODUCT(A3,0.00005)</f>
        <v>1.5000000000000001E-4</v>
      </c>
      <c r="C3">
        <v>1</v>
      </c>
      <c r="D3" s="3">
        <f>POWER(B3,-1)</f>
        <v>6666.6666666666661</v>
      </c>
    </row>
    <row r="4" spans="1:4" x14ac:dyDescent="0.25">
      <c r="A4">
        <v>4</v>
      </c>
      <c r="B4" s="2">
        <f t="shared" si="0"/>
        <v>2.0000000000000001E-4</v>
      </c>
      <c r="C4">
        <v>2</v>
      </c>
      <c r="D4" s="3">
        <f t="shared" ref="D4:D20" si="1">POWER(B4,-1)</f>
        <v>5000</v>
      </c>
    </row>
    <row r="5" spans="1:4" x14ac:dyDescent="0.25">
      <c r="A5">
        <v>5</v>
      </c>
      <c r="B5" s="2">
        <f t="shared" si="0"/>
        <v>2.5000000000000001E-4</v>
      </c>
      <c r="C5">
        <v>3</v>
      </c>
      <c r="D5" s="3">
        <f t="shared" si="1"/>
        <v>4000</v>
      </c>
    </row>
    <row r="6" spans="1:4" x14ac:dyDescent="0.25">
      <c r="A6">
        <v>6</v>
      </c>
      <c r="B6" s="2">
        <f t="shared" si="0"/>
        <v>3.0000000000000003E-4</v>
      </c>
      <c r="C6">
        <v>4</v>
      </c>
      <c r="D6" s="3">
        <f t="shared" si="1"/>
        <v>3333.333333333333</v>
      </c>
    </row>
    <row r="7" spans="1:4" x14ac:dyDescent="0.25">
      <c r="A7">
        <v>7</v>
      </c>
      <c r="B7" s="2">
        <f t="shared" si="0"/>
        <v>3.5E-4</v>
      </c>
      <c r="C7">
        <v>5</v>
      </c>
      <c r="D7" s="3">
        <f t="shared" si="1"/>
        <v>2857.1428571428573</v>
      </c>
    </row>
    <row r="8" spans="1:4" x14ac:dyDescent="0.25">
      <c r="A8">
        <v>8</v>
      </c>
      <c r="B8" s="2">
        <f t="shared" si="0"/>
        <v>4.0000000000000002E-4</v>
      </c>
      <c r="C8">
        <v>6</v>
      </c>
      <c r="D8" s="3">
        <f t="shared" si="1"/>
        <v>2500</v>
      </c>
    </row>
    <row r="9" spans="1:4" x14ac:dyDescent="0.25">
      <c r="A9">
        <v>9</v>
      </c>
      <c r="B9" s="2">
        <f t="shared" si="0"/>
        <v>4.5000000000000004E-4</v>
      </c>
      <c r="C9">
        <v>7</v>
      </c>
      <c r="D9" s="3">
        <f t="shared" si="1"/>
        <v>2222.2222222222222</v>
      </c>
    </row>
    <row r="10" spans="1:4" x14ac:dyDescent="0.25">
      <c r="A10">
        <v>10</v>
      </c>
      <c r="B10" s="2">
        <f t="shared" si="0"/>
        <v>5.0000000000000001E-4</v>
      </c>
      <c r="C10">
        <v>8</v>
      </c>
      <c r="D10" s="3">
        <f t="shared" si="1"/>
        <v>2000</v>
      </c>
    </row>
    <row r="11" spans="1:4" x14ac:dyDescent="0.25">
      <c r="A11">
        <v>11</v>
      </c>
      <c r="B11" s="2">
        <f t="shared" si="0"/>
        <v>5.5000000000000003E-4</v>
      </c>
      <c r="C11">
        <v>9</v>
      </c>
      <c r="D11" s="3">
        <f t="shared" si="1"/>
        <v>1818.181818181818</v>
      </c>
    </row>
    <row r="12" spans="1:4" x14ac:dyDescent="0.25">
      <c r="A12">
        <v>12</v>
      </c>
      <c r="B12" s="2">
        <f t="shared" si="0"/>
        <v>6.0000000000000006E-4</v>
      </c>
      <c r="C12">
        <v>10</v>
      </c>
      <c r="D12" s="3">
        <f t="shared" si="1"/>
        <v>1666.6666666666665</v>
      </c>
    </row>
    <row r="13" spans="1:4" x14ac:dyDescent="0.25">
      <c r="A13">
        <v>13</v>
      </c>
      <c r="B13" s="2">
        <f t="shared" si="0"/>
        <v>6.5000000000000008E-4</v>
      </c>
      <c r="C13">
        <v>11</v>
      </c>
      <c r="D13" s="3">
        <f t="shared" si="1"/>
        <v>1538.4615384615383</v>
      </c>
    </row>
    <row r="14" spans="1:4" x14ac:dyDescent="0.25">
      <c r="A14">
        <v>14</v>
      </c>
      <c r="B14" s="2">
        <f t="shared" si="0"/>
        <v>6.9999999999999999E-4</v>
      </c>
      <c r="C14">
        <v>12</v>
      </c>
      <c r="D14" s="3">
        <f t="shared" si="1"/>
        <v>1428.5714285714287</v>
      </c>
    </row>
    <row r="15" spans="1:4" x14ac:dyDescent="0.25">
      <c r="A15">
        <v>15</v>
      </c>
      <c r="B15" s="2">
        <f t="shared" si="0"/>
        <v>7.5000000000000002E-4</v>
      </c>
      <c r="C15">
        <v>13</v>
      </c>
      <c r="D15" s="3">
        <f t="shared" si="1"/>
        <v>1333.3333333333333</v>
      </c>
    </row>
    <row r="16" spans="1:4" x14ac:dyDescent="0.25">
      <c r="A16">
        <v>16</v>
      </c>
      <c r="B16" s="2">
        <f t="shared" si="0"/>
        <v>8.0000000000000004E-4</v>
      </c>
      <c r="C16">
        <v>14</v>
      </c>
      <c r="D16" s="3">
        <f t="shared" si="1"/>
        <v>1250</v>
      </c>
    </row>
    <row r="17" spans="1:4" x14ac:dyDescent="0.25">
      <c r="A17">
        <v>17</v>
      </c>
      <c r="B17" s="2">
        <f t="shared" si="0"/>
        <v>8.5000000000000006E-4</v>
      </c>
      <c r="C17">
        <v>15</v>
      </c>
      <c r="D17" s="3">
        <f t="shared" si="1"/>
        <v>1176.4705882352941</v>
      </c>
    </row>
    <row r="18" spans="1:4" x14ac:dyDescent="0.25">
      <c r="A18">
        <v>18</v>
      </c>
      <c r="B18" s="2">
        <f t="shared" si="0"/>
        <v>9.0000000000000008E-4</v>
      </c>
      <c r="C18">
        <v>16</v>
      </c>
      <c r="D18" s="3">
        <f t="shared" si="1"/>
        <v>1111.1111111111111</v>
      </c>
    </row>
    <row r="19" spans="1:4" x14ac:dyDescent="0.25">
      <c r="A19">
        <v>19</v>
      </c>
      <c r="B19" s="2">
        <f t="shared" si="0"/>
        <v>9.5E-4</v>
      </c>
      <c r="C19">
        <v>17</v>
      </c>
      <c r="D19" s="3">
        <f t="shared" si="1"/>
        <v>1052.6315789473683</v>
      </c>
    </row>
    <row r="20" spans="1:4" x14ac:dyDescent="0.25">
      <c r="A20">
        <v>20</v>
      </c>
      <c r="B20" s="2">
        <f t="shared" si="0"/>
        <v>1E-3</v>
      </c>
      <c r="C20">
        <v>18</v>
      </c>
      <c r="D20" s="3">
        <f t="shared" si="1"/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3F6D-FDE6-4301-A559-D11D304F6825}">
  <dimension ref="A1:H14"/>
  <sheetViews>
    <sheetView workbookViewId="0">
      <selection activeCell="J27" sqref="J27"/>
    </sheetView>
  </sheetViews>
  <sheetFormatPr defaultRowHeight="15" x14ac:dyDescent="0.25"/>
  <cols>
    <col min="1" max="1" width="9.5703125" bestFit="1" customWidth="1"/>
    <col min="2" max="2" width="12" style="1" bestFit="1" customWidth="1"/>
    <col min="3" max="3" width="12.85546875" style="1" customWidth="1"/>
    <col min="4" max="4" width="12.85546875" style="1" bestFit="1" customWidth="1"/>
    <col min="5" max="5" width="13.5703125" style="1" bestFit="1" customWidth="1"/>
    <col min="6" max="6" width="16.5703125" style="1" bestFit="1" customWidth="1"/>
  </cols>
  <sheetData>
    <row r="1" spans="1:8" ht="18" x14ac:dyDescent="0.35">
      <c r="A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8" x14ac:dyDescent="0.25">
      <c r="A2">
        <v>1</v>
      </c>
      <c r="B2" s="1">
        <f>POWER(A2,-1)</f>
        <v>1</v>
      </c>
      <c r="C2" s="1">
        <f>(1.5*0.003/B2)</f>
        <v>4.5000000000000005E-3</v>
      </c>
      <c r="D2" s="1">
        <f>(1.5 * 300 /B2)</f>
        <v>450</v>
      </c>
      <c r="E2" s="1">
        <f>(4.5 * 0.003/POWER(B2,2))</f>
        <v>1.35E-2</v>
      </c>
      <c r="F2" s="1">
        <f>(4.5*300/POWER(B2,2))</f>
        <v>1350</v>
      </c>
    </row>
    <row r="3" spans="1:8" x14ac:dyDescent="0.25">
      <c r="A3">
        <v>2</v>
      </c>
      <c r="B3" s="1">
        <f t="shared" ref="B3:B11" si="0">POWER(A3,-1)</f>
        <v>0.5</v>
      </c>
      <c r="C3" s="1">
        <f t="shared" ref="C3:C11" si="1">(1.5*0.003/B3)</f>
        <v>9.0000000000000011E-3</v>
      </c>
      <c r="D3" s="1">
        <f t="shared" ref="D3:D11" si="2">(1.5 * 300 /B3)</f>
        <v>900</v>
      </c>
      <c r="E3" s="1">
        <f t="shared" ref="E3:E11" si="3">(4.5 * 0.003/POWER(B3,2))</f>
        <v>5.3999999999999999E-2</v>
      </c>
      <c r="F3" s="1">
        <f t="shared" ref="F3:F11" si="4">(4.5*300/POWER(B3,2))</f>
        <v>5400</v>
      </c>
    </row>
    <row r="4" spans="1:8" x14ac:dyDescent="0.25">
      <c r="A4">
        <v>3</v>
      </c>
      <c r="B4" s="1">
        <f t="shared" si="0"/>
        <v>0.33333333333333331</v>
      </c>
      <c r="C4" s="1">
        <f t="shared" si="1"/>
        <v>1.3500000000000002E-2</v>
      </c>
      <c r="D4" s="1">
        <f t="shared" si="2"/>
        <v>1350</v>
      </c>
      <c r="E4" s="1">
        <f t="shared" si="3"/>
        <v>0.12150000000000001</v>
      </c>
      <c r="F4" s="1">
        <f t="shared" si="4"/>
        <v>12150</v>
      </c>
    </row>
    <row r="5" spans="1:8" x14ac:dyDescent="0.25">
      <c r="A5">
        <v>4</v>
      </c>
      <c r="B5" s="1">
        <f t="shared" si="0"/>
        <v>0.25</v>
      </c>
      <c r="C5" s="1">
        <f t="shared" si="1"/>
        <v>1.8000000000000002E-2</v>
      </c>
      <c r="D5" s="1">
        <f t="shared" si="2"/>
        <v>1800</v>
      </c>
      <c r="E5" s="1">
        <f t="shared" si="3"/>
        <v>0.216</v>
      </c>
      <c r="F5" s="1">
        <f t="shared" si="4"/>
        <v>21600</v>
      </c>
    </row>
    <row r="6" spans="1:8" x14ac:dyDescent="0.25">
      <c r="A6">
        <v>5</v>
      </c>
      <c r="B6" s="1">
        <f t="shared" si="0"/>
        <v>0.2</v>
      </c>
      <c r="C6" s="1">
        <f>(1.5*0.003/B6)</f>
        <v>2.2500000000000003E-2</v>
      </c>
      <c r="D6" s="1">
        <f t="shared" si="2"/>
        <v>2250</v>
      </c>
      <c r="E6" s="1">
        <f t="shared" si="3"/>
        <v>0.33749999999999991</v>
      </c>
      <c r="F6" s="1">
        <f t="shared" si="4"/>
        <v>33749.999999999993</v>
      </c>
    </row>
    <row r="7" spans="1:8" x14ac:dyDescent="0.25">
      <c r="A7">
        <v>6</v>
      </c>
      <c r="B7" s="1">
        <f t="shared" si="0"/>
        <v>0.16666666666666666</v>
      </c>
      <c r="C7" s="1">
        <f t="shared" si="1"/>
        <v>2.7000000000000003E-2</v>
      </c>
      <c r="D7" s="1">
        <f t="shared" si="2"/>
        <v>2700</v>
      </c>
      <c r="E7" s="1">
        <f t="shared" si="3"/>
        <v>0.48600000000000004</v>
      </c>
      <c r="F7" s="1">
        <f t="shared" si="4"/>
        <v>48600</v>
      </c>
    </row>
    <row r="8" spans="1:8" x14ac:dyDescent="0.25">
      <c r="A8">
        <v>7</v>
      </c>
      <c r="B8" s="1">
        <f t="shared" si="0"/>
        <v>0.14285714285714285</v>
      </c>
      <c r="C8" s="1">
        <f t="shared" si="1"/>
        <v>3.1500000000000007E-2</v>
      </c>
      <c r="D8" s="1">
        <f t="shared" si="2"/>
        <v>3150</v>
      </c>
      <c r="E8" s="1">
        <f t="shared" si="3"/>
        <v>0.66150000000000009</v>
      </c>
      <c r="F8" s="1">
        <f t="shared" si="4"/>
        <v>66150</v>
      </c>
    </row>
    <row r="9" spans="1:8" x14ac:dyDescent="0.25">
      <c r="A9">
        <v>8</v>
      </c>
      <c r="B9" s="1">
        <f t="shared" si="0"/>
        <v>0.125</v>
      </c>
      <c r="C9" s="1">
        <f t="shared" si="1"/>
        <v>3.6000000000000004E-2</v>
      </c>
      <c r="D9" s="1">
        <f t="shared" si="2"/>
        <v>3600</v>
      </c>
      <c r="E9" s="1">
        <f t="shared" si="3"/>
        <v>0.86399999999999999</v>
      </c>
      <c r="F9" s="1">
        <f t="shared" si="4"/>
        <v>86400</v>
      </c>
    </row>
    <row r="10" spans="1:8" x14ac:dyDescent="0.25">
      <c r="A10">
        <v>9</v>
      </c>
      <c r="B10" s="1">
        <f t="shared" si="0"/>
        <v>0.1111111111111111</v>
      </c>
      <c r="C10" s="1">
        <f t="shared" si="1"/>
        <v>4.0500000000000008E-2</v>
      </c>
      <c r="D10" s="1">
        <f t="shared" si="2"/>
        <v>4050</v>
      </c>
      <c r="E10" s="1">
        <f t="shared" si="3"/>
        <v>1.0935000000000001</v>
      </c>
      <c r="F10" s="1">
        <f t="shared" si="4"/>
        <v>109350</v>
      </c>
    </row>
    <row r="11" spans="1:8" x14ac:dyDescent="0.25">
      <c r="A11">
        <v>10</v>
      </c>
      <c r="B11" s="1">
        <f t="shared" si="0"/>
        <v>0.1</v>
      </c>
      <c r="C11" s="1">
        <f t="shared" si="1"/>
        <v>4.5000000000000005E-2</v>
      </c>
      <c r="D11" s="1">
        <f t="shared" si="2"/>
        <v>4500</v>
      </c>
      <c r="E11" s="1">
        <f t="shared" si="3"/>
        <v>1.3499999999999996</v>
      </c>
      <c r="F11" s="1">
        <f t="shared" si="4"/>
        <v>134999.99999999997</v>
      </c>
    </row>
    <row r="14" spans="1:8" x14ac:dyDescent="0.25">
      <c r="H14" t="s">
        <v>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8ABD8-8317-4642-B491-390AE8B1FEFE}">
  <dimension ref="A1:F9"/>
  <sheetViews>
    <sheetView workbookViewId="0">
      <selection activeCell="B2" sqref="B2"/>
    </sheetView>
  </sheetViews>
  <sheetFormatPr defaultRowHeight="15" x14ac:dyDescent="0.25"/>
  <cols>
    <col min="2" max="2" width="10.5703125" customWidth="1"/>
    <col min="3" max="3" width="9.85546875" bestFit="1" customWidth="1"/>
    <col min="4" max="4" width="12.85546875" bestFit="1" customWidth="1"/>
    <col min="5" max="5" width="13.5703125" bestFit="1" customWidth="1"/>
    <col min="6" max="6" width="16.5703125" bestFit="1" customWidth="1"/>
  </cols>
  <sheetData>
    <row r="1" spans="1:6" ht="18" x14ac:dyDescent="0.35">
      <c r="A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25">
      <c r="A2">
        <v>3</v>
      </c>
      <c r="B2" s="1">
        <f t="shared" ref="B2:B9" si="0">POWER(A2,-1)</f>
        <v>0.33333333333333331</v>
      </c>
      <c r="C2" s="1">
        <f t="shared" ref="C2:C9" si="1">(1.5*0.003/B2)</f>
        <v>1.3500000000000002E-2</v>
      </c>
      <c r="D2" s="1">
        <f t="shared" ref="D2:D9" si="2">(1.5 * 300 /B2)</f>
        <v>1350</v>
      </c>
      <c r="E2" s="1">
        <f t="shared" ref="E2:E9" si="3">(4.5 * 0.003/POWER(B2,2))</f>
        <v>0.12150000000000001</v>
      </c>
      <c r="F2" s="1">
        <f t="shared" ref="F2:F9" si="4">(4.5*300/POWER(B2,2))</f>
        <v>12150</v>
      </c>
    </row>
    <row r="3" spans="1:6" x14ac:dyDescent="0.25">
      <c r="A3">
        <v>4</v>
      </c>
      <c r="B3" s="1">
        <f t="shared" si="0"/>
        <v>0.25</v>
      </c>
      <c r="C3" s="1">
        <f t="shared" si="1"/>
        <v>1.8000000000000002E-2</v>
      </c>
      <c r="D3" s="1">
        <f t="shared" si="2"/>
        <v>1800</v>
      </c>
      <c r="E3" s="1">
        <f t="shared" si="3"/>
        <v>0.216</v>
      </c>
      <c r="F3" s="1">
        <f t="shared" si="4"/>
        <v>21600</v>
      </c>
    </row>
    <row r="4" spans="1:6" x14ac:dyDescent="0.25">
      <c r="A4">
        <v>5</v>
      </c>
      <c r="B4" s="1">
        <f t="shared" si="0"/>
        <v>0.2</v>
      </c>
      <c r="C4" s="1">
        <f>(1.5*0.003/B4)</f>
        <v>2.2500000000000003E-2</v>
      </c>
      <c r="D4" s="1">
        <f t="shared" si="2"/>
        <v>2250</v>
      </c>
      <c r="E4" s="1">
        <f>(4.5 * 0.003/POWER(B4,2))</f>
        <v>0.33749999999999991</v>
      </c>
      <c r="F4" s="1">
        <f t="shared" si="4"/>
        <v>33749.999999999993</v>
      </c>
    </row>
    <row r="5" spans="1:6" x14ac:dyDescent="0.25">
      <c r="A5">
        <v>6</v>
      </c>
      <c r="B5" s="1">
        <f t="shared" si="0"/>
        <v>0.16666666666666666</v>
      </c>
      <c r="C5" s="1">
        <f t="shared" si="1"/>
        <v>2.7000000000000003E-2</v>
      </c>
      <c r="D5" s="1">
        <f t="shared" si="2"/>
        <v>2700</v>
      </c>
      <c r="E5" s="1">
        <f t="shared" si="3"/>
        <v>0.48600000000000004</v>
      </c>
      <c r="F5" s="1">
        <f t="shared" si="4"/>
        <v>48600</v>
      </c>
    </row>
    <row r="6" spans="1:6" x14ac:dyDescent="0.25">
      <c r="A6">
        <v>7</v>
      </c>
      <c r="B6" s="1">
        <f t="shared" si="0"/>
        <v>0.14285714285714285</v>
      </c>
      <c r="C6" s="1">
        <f t="shared" si="1"/>
        <v>3.1500000000000007E-2</v>
      </c>
      <c r="D6" s="1">
        <f t="shared" si="2"/>
        <v>3150</v>
      </c>
      <c r="E6" s="1">
        <f t="shared" si="3"/>
        <v>0.66150000000000009</v>
      </c>
      <c r="F6" s="1">
        <f t="shared" si="4"/>
        <v>66150</v>
      </c>
    </row>
    <row r="7" spans="1:6" x14ac:dyDescent="0.25">
      <c r="A7">
        <v>8</v>
      </c>
      <c r="B7" s="1">
        <f t="shared" si="0"/>
        <v>0.125</v>
      </c>
      <c r="C7" s="1">
        <f t="shared" si="1"/>
        <v>3.6000000000000004E-2</v>
      </c>
      <c r="D7" s="1">
        <f t="shared" si="2"/>
        <v>3600</v>
      </c>
      <c r="E7" s="1">
        <f t="shared" si="3"/>
        <v>0.86399999999999999</v>
      </c>
      <c r="F7" s="1">
        <f t="shared" si="4"/>
        <v>86400</v>
      </c>
    </row>
    <row r="8" spans="1:6" x14ac:dyDescent="0.25">
      <c r="A8">
        <v>9</v>
      </c>
      <c r="B8" s="1">
        <f t="shared" si="0"/>
        <v>0.1111111111111111</v>
      </c>
      <c r="C8" s="1">
        <f t="shared" si="1"/>
        <v>4.0500000000000008E-2</v>
      </c>
      <c r="D8" s="1">
        <f t="shared" si="2"/>
        <v>4050</v>
      </c>
      <c r="E8" s="1">
        <f t="shared" si="3"/>
        <v>1.0935000000000001</v>
      </c>
      <c r="F8" s="1">
        <f t="shared" si="4"/>
        <v>109350</v>
      </c>
    </row>
    <row r="9" spans="1:6" x14ac:dyDescent="0.25">
      <c r="A9">
        <v>10</v>
      </c>
      <c r="B9" s="1">
        <f t="shared" si="0"/>
        <v>0.1</v>
      </c>
      <c r="C9" s="1">
        <f t="shared" si="1"/>
        <v>4.5000000000000005E-2</v>
      </c>
      <c r="D9" s="1">
        <f t="shared" si="2"/>
        <v>4500</v>
      </c>
      <c r="E9" s="1">
        <f t="shared" si="3"/>
        <v>1.3499999999999996</v>
      </c>
      <c r="F9" s="1">
        <f t="shared" si="4"/>
        <v>134999.99999999997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34B54-E10F-431F-887C-7CAFC77ACC6C}">
  <dimension ref="A1:L77"/>
  <sheetViews>
    <sheetView tabSelected="1" workbookViewId="0">
      <selection activeCell="K20" sqref="K20"/>
    </sheetView>
  </sheetViews>
  <sheetFormatPr defaultRowHeight="15" x14ac:dyDescent="0.25"/>
  <cols>
    <col min="1" max="1" width="16" style="8" bestFit="1" customWidth="1"/>
    <col min="2" max="2" width="12.140625" style="3" customWidth="1"/>
    <col min="3" max="3" width="11.5703125" style="10" bestFit="1" customWidth="1"/>
    <col min="4" max="4" width="11.28515625" style="11" bestFit="1" customWidth="1"/>
    <col min="11" max="11" width="11.140625" style="3" bestFit="1" customWidth="1"/>
    <col min="12" max="12" width="10.28515625" style="3" bestFit="1" customWidth="1"/>
  </cols>
  <sheetData>
    <row r="1" spans="1:12" x14ac:dyDescent="0.25">
      <c r="A1" s="8" t="s">
        <v>15</v>
      </c>
      <c r="B1" s="3" t="s">
        <v>16</v>
      </c>
      <c r="C1" s="10" t="s">
        <v>21</v>
      </c>
      <c r="D1" s="11" t="s">
        <v>22</v>
      </c>
      <c r="H1" t="s">
        <v>17</v>
      </c>
      <c r="I1" t="s">
        <v>18</v>
      </c>
      <c r="K1" s="3" t="s">
        <v>19</v>
      </c>
      <c r="L1" s="3" t="s">
        <v>20</v>
      </c>
    </row>
    <row r="2" spans="1:12" x14ac:dyDescent="0.25">
      <c r="A2" s="8">
        <v>2.2499999999999998E-3</v>
      </c>
      <c r="B2" s="3">
        <f>(-5*$I$2/4)-A2</f>
        <v>-6.0000000000000001E-3</v>
      </c>
      <c r="C2" s="10">
        <f>(-$L$2+SQRT(POWER($L$2,2)-(4*$K$2*B2)))/(2*$K$2)</f>
        <v>0.22222222222222213</v>
      </c>
      <c r="D2" s="11">
        <f>(-$L$2-SQRT(POWER($L$2,2)-(4*$K$2*B2)))/(2*$K$2)</f>
        <v>0.44444444444444464</v>
      </c>
      <c r="H2">
        <f>POWER(3,-1)</f>
        <v>0.33333333333333331</v>
      </c>
      <c r="I2" s="9">
        <v>3.0000000000000001E-3</v>
      </c>
      <c r="K2" s="3">
        <f>(-9/4)*($I$2/POWER($H$2,2))</f>
        <v>-6.0750000000000005E-2</v>
      </c>
      <c r="L2" s="3">
        <f>(9/2)*($I$2/$H$2)</f>
        <v>4.0500000000000008E-2</v>
      </c>
    </row>
    <row r="3" spans="1:12" x14ac:dyDescent="0.25">
      <c r="A3" s="8">
        <v>2.2599999999999999E-3</v>
      </c>
      <c r="B3" s="3">
        <f t="shared" ref="B3:B66" si="0">(-5*$I$2/4)-A3</f>
        <v>-6.0099999999999997E-3</v>
      </c>
      <c r="C3" s="10">
        <f t="shared" ref="C3:C66" si="1">(-$L$2+SQRT(POWER($L$2,2)-(4*$K$2*B3)))/(2*$K$2)</f>
        <v>0.22296544869813806</v>
      </c>
      <c r="D3" s="11">
        <f t="shared" ref="D3:D66" si="2">(-$L$2-SQRT(POWER($L$2,2)-(4*$K$2*B3)))/(2*$K$2)</f>
        <v>0.44370121796852868</v>
      </c>
    </row>
    <row r="4" spans="1:12" x14ac:dyDescent="0.25">
      <c r="A4" s="8">
        <v>2.2699999999999999E-3</v>
      </c>
      <c r="B4" s="3">
        <f t="shared" si="0"/>
        <v>-6.0199999999999993E-3</v>
      </c>
      <c r="C4" s="10">
        <f t="shared" si="1"/>
        <v>0.22371371417074987</v>
      </c>
      <c r="D4" s="11">
        <f t="shared" si="2"/>
        <v>0.44295295249591687</v>
      </c>
    </row>
    <row r="5" spans="1:12" x14ac:dyDescent="0.25">
      <c r="A5" s="8">
        <v>2.2799999999999999E-3</v>
      </c>
      <c r="B5" s="3">
        <f t="shared" si="0"/>
        <v>-6.0299999999999998E-3</v>
      </c>
      <c r="C5" s="10">
        <f t="shared" si="1"/>
        <v>0.22446712254296977</v>
      </c>
      <c r="D5" s="11">
        <f t="shared" si="2"/>
        <v>0.44219954412369694</v>
      </c>
    </row>
    <row r="6" spans="1:12" x14ac:dyDescent="0.25">
      <c r="A6" s="8">
        <v>2.2899999999999999E-3</v>
      </c>
      <c r="B6" s="3">
        <f t="shared" si="0"/>
        <v>-6.0400000000000002E-3</v>
      </c>
      <c r="C6" s="10">
        <f t="shared" si="1"/>
        <v>0.22522578133832269</v>
      </c>
      <c r="D6" s="11">
        <f t="shared" si="2"/>
        <v>0.44144088532834408</v>
      </c>
    </row>
    <row r="7" spans="1:12" x14ac:dyDescent="0.25">
      <c r="A7" s="8">
        <v>2.3E-3</v>
      </c>
      <c r="B7" s="3">
        <f t="shared" si="0"/>
        <v>-6.0499999999999998E-3</v>
      </c>
      <c r="C7" s="10">
        <f t="shared" si="1"/>
        <v>0.22598980188007811</v>
      </c>
      <c r="D7" s="11">
        <f t="shared" si="2"/>
        <v>0.44067686478658857</v>
      </c>
    </row>
    <row r="8" spans="1:12" x14ac:dyDescent="0.25">
      <c r="A8" s="8">
        <v>2.31E-3</v>
      </c>
      <c r="B8" s="3">
        <f t="shared" si="0"/>
        <v>-6.0599999999999994E-3</v>
      </c>
      <c r="C8" s="10">
        <f t="shared" si="1"/>
        <v>0.2267592994819394</v>
      </c>
      <c r="D8" s="11">
        <f t="shared" si="2"/>
        <v>0.43990736718472734</v>
      </c>
    </row>
    <row r="9" spans="1:12" x14ac:dyDescent="0.25">
      <c r="A9" s="8">
        <v>2.32E-3</v>
      </c>
      <c r="B9" s="3">
        <f t="shared" si="0"/>
        <v>-6.0699999999999999E-3</v>
      </c>
      <c r="C9" s="10">
        <f t="shared" si="1"/>
        <v>0.22753439365121692</v>
      </c>
      <c r="D9" s="11">
        <f t="shared" si="2"/>
        <v>0.43913227301544983</v>
      </c>
    </row>
    <row r="10" spans="1:12" x14ac:dyDescent="0.25">
      <c r="A10" s="8">
        <v>2.33E-3</v>
      </c>
      <c r="B10" s="3">
        <f t="shared" si="0"/>
        <v>-6.0800000000000003E-3</v>
      </c>
      <c r="C10" s="10">
        <f t="shared" si="1"/>
        <v>0.22831520830549751</v>
      </c>
      <c r="D10" s="11">
        <f t="shared" si="2"/>
        <v>0.43835145836116923</v>
      </c>
    </row>
    <row r="11" spans="1:12" x14ac:dyDescent="0.25">
      <c r="A11" s="8">
        <v>2.3400000000000001E-3</v>
      </c>
      <c r="B11" s="3">
        <f t="shared" si="0"/>
        <v>-6.0899999999999999E-3</v>
      </c>
      <c r="C11" s="10">
        <f t="shared" si="1"/>
        <v>0.22910187200392365</v>
      </c>
      <c r="D11" s="11">
        <f t="shared" si="2"/>
        <v>0.43756479466274312</v>
      </c>
      <c r="K11" s="3">
        <f>POWER($L$2,2)-4*$K$2*B2</f>
        <v>1.8225000000000055E-4</v>
      </c>
    </row>
    <row r="12" spans="1:12" x14ac:dyDescent="0.25">
      <c r="A12" s="8">
        <v>2.3500000000000001E-3</v>
      </c>
      <c r="B12" s="3">
        <f t="shared" si="0"/>
        <v>-6.0999999999999995E-3</v>
      </c>
      <c r="C12" s="10">
        <f t="shared" si="1"/>
        <v>0.22989451819430395</v>
      </c>
      <c r="D12" s="11">
        <f t="shared" si="2"/>
        <v>0.43677214847236279</v>
      </c>
    </row>
    <row r="13" spans="1:12" x14ac:dyDescent="0.25">
      <c r="A13" s="8">
        <v>2.3600000000000001E-3</v>
      </c>
      <c r="B13" s="3">
        <f t="shared" si="0"/>
        <v>-6.11E-3</v>
      </c>
      <c r="C13" s="10">
        <f t="shared" si="1"/>
        <v>0.23069328547739973</v>
      </c>
      <c r="D13" s="11">
        <f t="shared" si="2"/>
        <v>0.43597338118926698</v>
      </c>
    </row>
    <row r="14" spans="1:12" x14ac:dyDescent="0.25">
      <c r="A14" s="8">
        <v>2.3700000000000001E-3</v>
      </c>
      <c r="B14" s="3">
        <f t="shared" si="0"/>
        <v>-6.1200000000000004E-3</v>
      </c>
      <c r="C14" s="10">
        <f t="shared" si="1"/>
        <v>0.23149831788987013</v>
      </c>
      <c r="D14" s="11">
        <f t="shared" si="2"/>
        <v>0.43516834877679661</v>
      </c>
    </row>
    <row r="15" spans="1:12" x14ac:dyDescent="0.25">
      <c r="A15" s="8">
        <v>2.3800000000000002E-3</v>
      </c>
      <c r="B15" s="3">
        <f t="shared" si="0"/>
        <v>-6.13E-3</v>
      </c>
      <c r="C15" s="10">
        <f t="shared" si="1"/>
        <v>0.23230976520751204</v>
      </c>
      <c r="D15" s="11">
        <f t="shared" si="2"/>
        <v>0.43435690145915473</v>
      </c>
    </row>
    <row r="16" spans="1:12" x14ac:dyDescent="0.25">
      <c r="A16" s="8">
        <v>2.3900000000000002E-3</v>
      </c>
      <c r="B16" s="3">
        <f t="shared" si="0"/>
        <v>-6.1399999999999996E-3</v>
      </c>
      <c r="C16" s="10">
        <f t="shared" si="1"/>
        <v>0.23312778327060216</v>
      </c>
      <c r="D16" s="11">
        <f t="shared" si="2"/>
        <v>0.43353888339606461</v>
      </c>
    </row>
    <row r="17" spans="1:4" x14ac:dyDescent="0.25">
      <c r="A17" s="8">
        <v>2.3999999999999998E-3</v>
      </c>
      <c r="B17" s="3">
        <f t="shared" si="0"/>
        <v>-6.1499999999999992E-3</v>
      </c>
      <c r="C17" s="10">
        <f t="shared" si="1"/>
        <v>0.23395253433334254</v>
      </c>
      <c r="D17" s="11">
        <f t="shared" si="2"/>
        <v>0.43271413233332423</v>
      </c>
    </row>
    <row r="18" spans="1:4" x14ac:dyDescent="0.25">
      <c r="A18" s="8">
        <v>2.4099999999999998E-3</v>
      </c>
      <c r="B18" s="3">
        <f t="shared" si="0"/>
        <v>-6.1599999999999997E-3</v>
      </c>
      <c r="C18" s="10">
        <f t="shared" si="1"/>
        <v>0.23478418743962895</v>
      </c>
      <c r="D18" s="11">
        <f t="shared" si="2"/>
        <v>0.43188247922703776</v>
      </c>
    </row>
    <row r="19" spans="1:4" x14ac:dyDescent="0.25">
      <c r="A19" s="8">
        <v>2.4199999999999998E-3</v>
      </c>
      <c r="B19" s="3">
        <f t="shared" si="0"/>
        <v>-6.1700000000000001E-3</v>
      </c>
      <c r="C19" s="10">
        <f t="shared" si="1"/>
        <v>0.23562291882760791</v>
      </c>
      <c r="D19" s="11">
        <f t="shared" si="2"/>
        <v>0.4310437478390588</v>
      </c>
    </row>
    <row r="20" spans="1:4" x14ac:dyDescent="0.25">
      <c r="A20" s="8">
        <v>2.4299999999999999E-3</v>
      </c>
      <c r="B20" s="3">
        <f t="shared" si="0"/>
        <v>-6.1799999999999997E-3</v>
      </c>
      <c r="C20" s="10">
        <f t="shared" si="1"/>
        <v>0.23646891236576267</v>
      </c>
      <c r="D20" s="11">
        <f t="shared" si="2"/>
        <v>0.43019775430090407</v>
      </c>
    </row>
    <row r="21" spans="1:4" x14ac:dyDescent="0.25">
      <c r="A21" s="8">
        <v>2.4399999999999999E-3</v>
      </c>
      <c r="B21" s="3">
        <f t="shared" si="0"/>
        <v>-6.1899999999999993E-3</v>
      </c>
      <c r="C21" s="10">
        <f t="shared" si="1"/>
        <v>0.23732236002358709</v>
      </c>
      <c r="D21" s="11">
        <f t="shared" si="2"/>
        <v>0.42934430664307965</v>
      </c>
    </row>
    <row r="22" spans="1:4" x14ac:dyDescent="0.25">
      <c r="A22" s="8">
        <v>2.4499999999999999E-3</v>
      </c>
      <c r="B22" s="3">
        <f t="shared" si="0"/>
        <v>-6.1999999999999998E-3</v>
      </c>
      <c r="C22" s="10">
        <f t="shared" si="1"/>
        <v>0.23818346238025814</v>
      </c>
      <c r="D22" s="11">
        <f t="shared" si="2"/>
        <v>0.42848320428640857</v>
      </c>
    </row>
    <row r="23" spans="1:4" x14ac:dyDescent="0.25">
      <c r="A23" s="8">
        <v>2.4599999999999999E-3</v>
      </c>
      <c r="B23" s="3">
        <f t="shared" si="0"/>
        <v>-6.2100000000000002E-3</v>
      </c>
      <c r="C23" s="10">
        <f t="shared" si="1"/>
        <v>0.2390524291751269</v>
      </c>
      <c r="D23" s="11">
        <f t="shared" si="2"/>
        <v>0.42761423749153987</v>
      </c>
    </row>
    <row r="24" spans="1:4" x14ac:dyDescent="0.25">
      <c r="A24" s="8">
        <v>2.47E-3</v>
      </c>
      <c r="B24" s="3">
        <f t="shared" si="0"/>
        <v>-6.2199999999999998E-3</v>
      </c>
      <c r="C24" s="10">
        <f t="shared" si="1"/>
        <v>0.2399294799043073</v>
      </c>
      <c r="D24" s="11">
        <f t="shared" si="2"/>
        <v>0.42673718676235944</v>
      </c>
    </row>
    <row r="25" spans="1:4" x14ac:dyDescent="0.25">
      <c r="A25" s="8">
        <v>2.48E-3</v>
      </c>
      <c r="B25" s="3">
        <f t="shared" si="0"/>
        <v>-6.2299999999999994E-3</v>
      </c>
      <c r="C25" s="10">
        <f t="shared" si="1"/>
        <v>0.24081484446817167</v>
      </c>
      <c r="D25" s="11">
        <f t="shared" si="2"/>
        <v>0.4258518221984951</v>
      </c>
    </row>
    <row r="26" spans="1:4" x14ac:dyDescent="0.25">
      <c r="A26" s="8">
        <v>2.49E-3</v>
      </c>
      <c r="B26" s="3">
        <f t="shared" si="0"/>
        <v>-6.2399999999999999E-3</v>
      </c>
      <c r="C26" s="10">
        <f t="shared" si="1"/>
        <v>0.24170876387516291</v>
      </c>
      <c r="D26" s="11">
        <f t="shared" si="2"/>
        <v>0.42495790279150381</v>
      </c>
    </row>
    <row r="27" spans="1:4" x14ac:dyDescent="0.25">
      <c r="A27" s="8">
        <v>2.5000000000000001E-3</v>
      </c>
      <c r="B27" s="3">
        <f t="shared" si="0"/>
        <v>-6.2500000000000003E-3</v>
      </c>
      <c r="C27" s="10">
        <f t="shared" si="1"/>
        <v>0.24261149100803031</v>
      </c>
      <c r="D27" s="11">
        <f t="shared" si="2"/>
        <v>0.42405517565863643</v>
      </c>
    </row>
    <row r="28" spans="1:4" x14ac:dyDescent="0.25">
      <c r="A28" s="8">
        <v>2.5100000000000001E-3</v>
      </c>
      <c r="B28" s="3">
        <f t="shared" si="0"/>
        <v>-6.2599999999999999E-3</v>
      </c>
      <c r="C28" s="10">
        <f t="shared" si="1"/>
        <v>0.24352329145939136</v>
      </c>
      <c r="D28" s="11">
        <f t="shared" si="2"/>
        <v>0.42314337520727541</v>
      </c>
    </row>
    <row r="29" spans="1:4" x14ac:dyDescent="0.25">
      <c r="A29" s="8">
        <v>2.5200000000000001E-3</v>
      </c>
      <c r="B29" s="3">
        <f t="shared" si="0"/>
        <v>-6.2699999999999995E-3</v>
      </c>
      <c r="C29" s="10">
        <f t="shared" si="1"/>
        <v>0.2444444444444443</v>
      </c>
      <c r="D29" s="11">
        <f t="shared" si="2"/>
        <v>0.42222222222222244</v>
      </c>
    </row>
    <row r="30" spans="1:4" x14ac:dyDescent="0.25">
      <c r="A30" s="8">
        <v>2.5300000000000001E-3</v>
      </c>
      <c r="B30" s="3">
        <f t="shared" si="0"/>
        <v>-6.28E-3</v>
      </c>
      <c r="C30" s="10">
        <f t="shared" si="1"/>
        <v>0.24537524379971903</v>
      </c>
      <c r="D30" s="11">
        <f t="shared" si="2"/>
        <v>0.42129142286694771</v>
      </c>
    </row>
    <row r="31" spans="1:4" x14ac:dyDescent="0.25">
      <c r="A31" s="8">
        <v>2.5400000000000002E-3</v>
      </c>
      <c r="B31" s="3">
        <f t="shared" si="0"/>
        <v>-6.2900000000000005E-3</v>
      </c>
      <c r="C31" s="10">
        <f t="shared" si="1"/>
        <v>0.24631599907799451</v>
      </c>
      <c r="D31" s="11">
        <f t="shared" si="2"/>
        <v>0.42035066758867223</v>
      </c>
    </row>
    <row r="32" spans="1:4" x14ac:dyDescent="0.25">
      <c r="A32" s="8">
        <v>2.5500000000000002E-3</v>
      </c>
      <c r="B32" s="3">
        <f t="shared" si="0"/>
        <v>-6.3E-3</v>
      </c>
      <c r="C32" s="10">
        <f t="shared" si="1"/>
        <v>0.24726703675094613</v>
      </c>
      <c r="D32" s="11">
        <f t="shared" si="2"/>
        <v>0.41939962991572061</v>
      </c>
    </row>
    <row r="33" spans="1:4" x14ac:dyDescent="0.25">
      <c r="A33" s="8">
        <v>2.5600000000000002E-3</v>
      </c>
      <c r="B33" s="3">
        <f t="shared" si="0"/>
        <v>-6.3099999999999996E-3</v>
      </c>
      <c r="C33" s="10">
        <f t="shared" si="1"/>
        <v>0.24822870153276974</v>
      </c>
      <c r="D33" s="11">
        <f t="shared" si="2"/>
        <v>0.41843796513389697</v>
      </c>
    </row>
    <row r="34" spans="1:4" x14ac:dyDescent="0.25">
      <c r="A34" s="8">
        <v>2.5699999999999998E-3</v>
      </c>
      <c r="B34" s="3">
        <f t="shared" si="0"/>
        <v>-6.3199999999999992E-3</v>
      </c>
      <c r="C34" s="10">
        <f t="shared" si="1"/>
        <v>0.24920135783999572</v>
      </c>
      <c r="D34" s="11">
        <f t="shared" si="2"/>
        <v>0.41746530882667104</v>
      </c>
    </row>
    <row r="35" spans="1:4" x14ac:dyDescent="0.25">
      <c r="A35" s="8">
        <v>2.5799999999999998E-3</v>
      </c>
      <c r="B35" s="3">
        <f t="shared" si="0"/>
        <v>-6.3299999999999997E-3</v>
      </c>
      <c r="C35" s="10">
        <f t="shared" si="1"/>
        <v>0.25018539140502333</v>
      </c>
      <c r="D35" s="11">
        <f t="shared" si="2"/>
        <v>0.41648127526164347</v>
      </c>
    </row>
    <row r="36" spans="1:4" x14ac:dyDescent="0.25">
      <c r="A36" s="8">
        <v>2.5899999999999999E-3</v>
      </c>
      <c r="B36" s="3">
        <f t="shared" si="0"/>
        <v>-6.3400000000000001E-3</v>
      </c>
      <c r="C36" s="10">
        <f t="shared" si="1"/>
        <v>0.25118121106363378</v>
      </c>
      <c r="D36" s="11">
        <f t="shared" si="2"/>
        <v>0.41548545560303296</v>
      </c>
    </row>
    <row r="37" spans="1:4" x14ac:dyDescent="0.25">
      <c r="A37" s="8">
        <v>2.5999999999999999E-3</v>
      </c>
      <c r="B37" s="3">
        <f t="shared" si="0"/>
        <v>-6.3499999999999997E-3</v>
      </c>
      <c r="C37" s="10">
        <f t="shared" si="1"/>
        <v>0.25218925073997517</v>
      </c>
      <c r="D37" s="11">
        <f t="shared" si="2"/>
        <v>0.41447741592669157</v>
      </c>
    </row>
    <row r="38" spans="1:4" x14ac:dyDescent="0.25">
      <c r="A38" s="8">
        <v>2.6099999999999999E-3</v>
      </c>
      <c r="B38" s="3">
        <f t="shared" si="0"/>
        <v>-6.3599999999999993E-3</v>
      </c>
      <c r="C38" s="10">
        <f t="shared" si="1"/>
        <v>0.2532099716563555</v>
      </c>
      <c r="D38" s="11">
        <f t="shared" si="2"/>
        <v>0.41345669501031124</v>
      </c>
    </row>
    <row r="39" spans="1:4" x14ac:dyDescent="0.25">
      <c r="A39" s="8">
        <v>2.6199999999999999E-3</v>
      </c>
      <c r="B39" s="3">
        <f t="shared" si="0"/>
        <v>-6.3699999999999998E-3</v>
      </c>
      <c r="C39" s="10">
        <f t="shared" si="1"/>
        <v>0.25424386479976785</v>
      </c>
      <c r="D39" s="11">
        <f t="shared" si="2"/>
        <v>0.41242280186689895</v>
      </c>
    </row>
    <row r="40" spans="1:4" x14ac:dyDescent="0.25">
      <c r="A40" s="8">
        <v>2.63E-3</v>
      </c>
      <c r="B40" s="3">
        <f t="shared" si="0"/>
        <v>-6.3800000000000003E-3</v>
      </c>
      <c r="C40" s="10">
        <f t="shared" si="1"/>
        <v>0.25529145368257211</v>
      </c>
      <c r="D40" s="11">
        <f t="shared" si="2"/>
        <v>0.41137521298409463</v>
      </c>
    </row>
    <row r="41" spans="1:4" x14ac:dyDescent="0.25">
      <c r="A41" s="8">
        <v>2.64E-3</v>
      </c>
      <c r="B41" s="3">
        <f t="shared" si="0"/>
        <v>-6.3899999999999998E-3</v>
      </c>
      <c r="C41" s="10">
        <f t="shared" si="1"/>
        <v>0.25635329744138308</v>
      </c>
      <c r="D41" s="11">
        <f t="shared" si="2"/>
        <v>0.41031336922528366</v>
      </c>
    </row>
    <row r="42" spans="1:4" x14ac:dyDescent="0.25">
      <c r="A42" s="8">
        <v>2.65E-3</v>
      </c>
      <c r="B42" s="3">
        <f t="shared" si="0"/>
        <v>-6.3999999999999994E-3</v>
      </c>
      <c r="C42" s="10">
        <f t="shared" si="1"/>
        <v>0.25742999432622499</v>
      </c>
      <c r="D42" s="11">
        <f t="shared" si="2"/>
        <v>0.40923667234044175</v>
      </c>
    </row>
    <row r="43" spans="1:4" x14ac:dyDescent="0.25">
      <c r="A43" s="8">
        <v>2.66E-3</v>
      </c>
      <c r="B43" s="3">
        <f t="shared" si="0"/>
        <v>-6.4099999999999999E-3</v>
      </c>
      <c r="C43" s="10">
        <f t="shared" si="1"/>
        <v>0.25852218564176221</v>
      </c>
      <c r="D43" s="11">
        <f t="shared" si="2"/>
        <v>0.40814448102490453</v>
      </c>
    </row>
    <row r="44" spans="1:4" x14ac:dyDescent="0.25">
      <c r="A44" s="8">
        <v>2.6700000000000001E-3</v>
      </c>
      <c r="B44" s="3">
        <f t="shared" si="0"/>
        <v>-6.4200000000000004E-3</v>
      </c>
      <c r="C44" s="10">
        <f t="shared" si="1"/>
        <v>0.25963056021432435</v>
      </c>
      <c r="D44" s="11">
        <f t="shared" si="2"/>
        <v>0.40703610645234239</v>
      </c>
    </row>
    <row r="45" spans="1:4" x14ac:dyDescent="0.25">
      <c r="A45" s="8">
        <v>2.6800000000000001E-3</v>
      </c>
      <c r="B45" s="3">
        <f t="shared" si="0"/>
        <v>-6.43E-3</v>
      </c>
      <c r="C45" s="10">
        <f t="shared" si="1"/>
        <v>0.26075585947309082</v>
      </c>
      <c r="D45" s="11">
        <f t="shared" si="2"/>
        <v>0.40591080719357592</v>
      </c>
    </row>
    <row r="46" spans="1:4" x14ac:dyDescent="0.25">
      <c r="A46" s="8">
        <v>2.6900000000000001E-3</v>
      </c>
      <c r="B46" s="3">
        <f t="shared" si="0"/>
        <v>-6.4399999999999995E-3</v>
      </c>
      <c r="C46" s="10">
        <f t="shared" si="1"/>
        <v>0.2618988832519038</v>
      </c>
      <c r="D46" s="11">
        <f t="shared" si="2"/>
        <v>0.40476778341476294</v>
      </c>
    </row>
    <row r="47" spans="1:4" x14ac:dyDescent="0.25">
      <c r="A47" s="8">
        <v>2.7000000000000001E-3</v>
      </c>
      <c r="B47" s="3">
        <f t="shared" si="0"/>
        <v>-6.45E-3</v>
      </c>
      <c r="C47" s="10">
        <f t="shared" si="1"/>
        <v>0.26306049644070245</v>
      </c>
      <c r="D47" s="11">
        <f t="shared" si="2"/>
        <v>0.40360617022596429</v>
      </c>
    </row>
    <row r="48" spans="1:4" x14ac:dyDescent="0.25">
      <c r="A48" s="8">
        <v>2.7100000000000002E-3</v>
      </c>
      <c r="B48" s="3">
        <f t="shared" si="0"/>
        <v>-6.4600000000000005E-3</v>
      </c>
      <c r="C48" s="10">
        <f t="shared" si="1"/>
        <v>0.26424163664378636</v>
      </c>
      <c r="D48" s="11">
        <f t="shared" si="2"/>
        <v>0.40242503002288038</v>
      </c>
    </row>
    <row r="49" spans="1:4" x14ac:dyDescent="0.25">
      <c r="A49" s="8">
        <v>2.7200000000000002E-3</v>
      </c>
      <c r="B49" s="3">
        <f t="shared" si="0"/>
        <v>-6.4700000000000001E-3</v>
      </c>
      <c r="C49" s="10">
        <f t="shared" si="1"/>
        <v>0.26544332303769103</v>
      </c>
      <c r="D49" s="11">
        <f t="shared" si="2"/>
        <v>0.40122334362897571</v>
      </c>
    </row>
    <row r="50" spans="1:4" x14ac:dyDescent="0.25">
      <c r="A50" s="8">
        <v>2.7299999999999998E-3</v>
      </c>
      <c r="B50" s="3">
        <f t="shared" si="0"/>
        <v>-6.4799999999999996E-3</v>
      </c>
      <c r="C50" s="10">
        <f t="shared" si="1"/>
        <v>0.26666666666666639</v>
      </c>
      <c r="D50" s="11">
        <f t="shared" si="2"/>
        <v>0.40000000000000036</v>
      </c>
    </row>
    <row r="51" spans="1:4" x14ac:dyDescent="0.25">
      <c r="A51" s="8">
        <v>2.7399999999999998E-3</v>
      </c>
      <c r="B51" s="3">
        <f t="shared" si="0"/>
        <v>-6.4899999999999992E-3</v>
      </c>
      <c r="C51" s="10">
        <f t="shared" si="1"/>
        <v>0.26791288247164524</v>
      </c>
      <c r="D51" s="11">
        <f t="shared" si="2"/>
        <v>0.3987537841950215</v>
      </c>
    </row>
    <row r="52" spans="1:4" x14ac:dyDescent="0.25">
      <c r="A52" s="8">
        <v>2.7499999999999998E-3</v>
      </c>
      <c r="B52" s="3">
        <f t="shared" si="0"/>
        <v>-6.4999999999999997E-3</v>
      </c>
      <c r="C52" s="10">
        <f t="shared" si="1"/>
        <v>0.26918330342337471</v>
      </c>
      <c r="D52" s="11">
        <f t="shared" si="2"/>
        <v>0.39748336324329203</v>
      </c>
    </row>
    <row r="53" spans="1:4" x14ac:dyDescent="0.25">
      <c r="A53" s="8">
        <v>2.7599999999999999E-3</v>
      </c>
      <c r="B53" s="3">
        <f t="shared" si="0"/>
        <v>-6.5100000000000002E-3</v>
      </c>
      <c r="C53" s="10">
        <f t="shared" si="1"/>
        <v>0.27047939722786229</v>
      </c>
      <c r="D53" s="11">
        <f t="shared" si="2"/>
        <v>0.39618726943880445</v>
      </c>
    </row>
    <row r="54" spans="1:4" x14ac:dyDescent="0.25">
      <c r="A54" s="8">
        <v>2.7699999999999999E-3</v>
      </c>
      <c r="B54" s="3">
        <f t="shared" si="0"/>
        <v>-6.5199999999999998E-3</v>
      </c>
      <c r="C54" s="10">
        <f t="shared" si="1"/>
        <v>0.27180278620060666</v>
      </c>
      <c r="D54" s="11">
        <f t="shared" si="2"/>
        <v>0.39486388046606008</v>
      </c>
    </row>
    <row r="55" spans="1:4" x14ac:dyDescent="0.25">
      <c r="A55" s="8">
        <v>2.7799999999999999E-3</v>
      </c>
      <c r="B55" s="3">
        <f t="shared" si="0"/>
        <v>-6.5299999999999993E-3</v>
      </c>
      <c r="C55" s="10">
        <f t="shared" si="1"/>
        <v>0.27315527107677035</v>
      </c>
      <c r="D55" s="11">
        <f t="shared" si="2"/>
        <v>0.3935113955898964</v>
      </c>
    </row>
    <row r="56" spans="1:4" x14ac:dyDescent="0.25">
      <c r="A56" s="8">
        <v>2.7899999999999999E-3</v>
      </c>
      <c r="B56" s="3">
        <f t="shared" si="0"/>
        <v>-6.5399999999999998E-3</v>
      </c>
      <c r="C56" s="10">
        <f t="shared" si="1"/>
        <v>0.27453885975411996</v>
      </c>
      <c r="D56" s="11">
        <f t="shared" si="2"/>
        <v>0.39212780691254678</v>
      </c>
    </row>
    <row r="57" spans="1:4" x14ac:dyDescent="0.25">
      <c r="A57" s="8">
        <v>2.8E-3</v>
      </c>
      <c r="B57" s="3">
        <f t="shared" si="0"/>
        <v>-6.5500000000000003E-3</v>
      </c>
      <c r="C57" s="10">
        <f t="shared" si="1"/>
        <v>0.27595580227840838</v>
      </c>
      <c r="D57" s="11">
        <f t="shared" si="2"/>
        <v>0.39071086438825836</v>
      </c>
    </row>
    <row r="58" spans="1:4" x14ac:dyDescent="0.25">
      <c r="A58" s="8">
        <v>2.81E-3</v>
      </c>
      <c r="B58" s="3">
        <f t="shared" si="0"/>
        <v>-6.5599999999999999E-3</v>
      </c>
      <c r="C58" s="10">
        <f t="shared" si="1"/>
        <v>0.277408633812809</v>
      </c>
      <c r="D58" s="11">
        <f t="shared" si="2"/>
        <v>0.38925803285385774</v>
      </c>
    </row>
    <row r="59" spans="1:4" x14ac:dyDescent="0.25">
      <c r="A59" s="8">
        <v>2.82E-3</v>
      </c>
      <c r="B59" s="3">
        <f t="shared" si="0"/>
        <v>-6.5699999999999995E-3</v>
      </c>
      <c r="C59" s="10">
        <f t="shared" si="1"/>
        <v>0.27890022793815128</v>
      </c>
      <c r="D59" s="11">
        <f t="shared" si="2"/>
        <v>0.38776643872851546</v>
      </c>
    </row>
    <row r="60" spans="1:4" x14ac:dyDescent="0.25">
      <c r="A60" s="8">
        <v>2.8300000000000001E-3</v>
      </c>
      <c r="B60" s="3">
        <f t="shared" si="0"/>
        <v>-6.5799999999999999E-3</v>
      </c>
      <c r="C60" s="10">
        <f t="shared" si="1"/>
        <v>0.28043386349227489</v>
      </c>
      <c r="D60" s="11">
        <f t="shared" si="2"/>
        <v>0.38623280317439185</v>
      </c>
    </row>
    <row r="61" spans="1:4" x14ac:dyDescent="0.25">
      <c r="A61" s="8">
        <v>2.8400000000000001E-3</v>
      </c>
      <c r="B61" s="3">
        <f t="shared" si="0"/>
        <v>-6.5900000000000004E-3</v>
      </c>
      <c r="C61" s="10">
        <f t="shared" si="1"/>
        <v>0.28201330940536634</v>
      </c>
      <c r="D61" s="11">
        <f t="shared" si="2"/>
        <v>0.3846533572613004</v>
      </c>
    </row>
    <row r="62" spans="1:4" x14ac:dyDescent="0.25">
      <c r="A62" s="8">
        <v>2.8500000000000001E-3</v>
      </c>
      <c r="B62" s="3">
        <f t="shared" si="0"/>
        <v>-6.6E-3</v>
      </c>
      <c r="C62" s="10">
        <f t="shared" si="1"/>
        <v>0.28364293383333766</v>
      </c>
      <c r="D62" s="11">
        <f t="shared" si="2"/>
        <v>0.38302373283332908</v>
      </c>
    </row>
    <row r="63" spans="1:4" x14ac:dyDescent="0.25">
      <c r="A63" s="8">
        <v>2.8600000000000001E-3</v>
      </c>
      <c r="B63" s="3">
        <f t="shared" si="0"/>
        <v>-6.6099999999999996E-3</v>
      </c>
      <c r="C63" s="10">
        <f t="shared" si="1"/>
        <v>0.28532784667845984</v>
      </c>
      <c r="D63" s="11">
        <f t="shared" si="2"/>
        <v>0.3813388199882069</v>
      </c>
    </row>
    <row r="64" spans="1:4" x14ac:dyDescent="0.25">
      <c r="A64" s="8">
        <v>2.8700000000000002E-3</v>
      </c>
      <c r="B64" s="3">
        <f t="shared" si="0"/>
        <v>-6.62E-3</v>
      </c>
      <c r="C64" s="10">
        <f t="shared" si="1"/>
        <v>0.28707408890075237</v>
      </c>
      <c r="D64" s="11">
        <f t="shared" si="2"/>
        <v>0.37959257776591437</v>
      </c>
    </row>
    <row r="65" spans="1:4" x14ac:dyDescent="0.25">
      <c r="A65" s="8">
        <v>2.8800000000000002E-3</v>
      </c>
      <c r="B65" s="3">
        <f t="shared" si="0"/>
        <v>-6.6300000000000005E-3</v>
      </c>
      <c r="C65" s="10">
        <f t="shared" si="1"/>
        <v>0.2888888888888887</v>
      </c>
      <c r="D65" s="11">
        <f t="shared" si="2"/>
        <v>0.37777777777777805</v>
      </c>
    </row>
    <row r="66" spans="1:4" x14ac:dyDescent="0.25">
      <c r="A66" s="8">
        <v>2.8900000000000002E-3</v>
      </c>
      <c r="B66" s="3">
        <f t="shared" si="0"/>
        <v>-6.6400000000000001E-3</v>
      </c>
      <c r="C66" s="10">
        <f t="shared" si="1"/>
        <v>0.29078101743305135</v>
      </c>
      <c r="D66" s="11">
        <f t="shared" si="2"/>
        <v>0.37588564923361539</v>
      </c>
    </row>
    <row r="67" spans="1:4" x14ac:dyDescent="0.25">
      <c r="A67" s="8">
        <v>2.8999999999999998E-3</v>
      </c>
      <c r="B67" s="3">
        <f t="shared" ref="B67:B77" si="3">(-5*$I$2/4)-A67</f>
        <v>-6.6499999999999997E-3</v>
      </c>
      <c r="C67" s="10">
        <f t="shared" ref="C67:C77" si="4">(-$L$2+SQRT(POWER($L$2,2)-(4*$K$2*B67)))/(2*$K$2)</f>
        <v>0.29276129203665396</v>
      </c>
      <c r="D67" s="11">
        <f t="shared" ref="D67:D77" si="5">(-$L$2-SQRT(POWER($L$2,2)-(4*$K$2*B67)))/(2*$K$2)</f>
        <v>0.37390537463001278</v>
      </c>
    </row>
    <row r="68" spans="1:4" x14ac:dyDescent="0.25">
      <c r="A68" s="8">
        <v>2.9099999999999998E-3</v>
      </c>
      <c r="B68" s="3">
        <f t="shared" si="3"/>
        <v>-6.6599999999999993E-3</v>
      </c>
      <c r="C68" s="10">
        <f t="shared" si="4"/>
        <v>0.29484331538735775</v>
      </c>
      <c r="D68" s="11">
        <f t="shared" si="5"/>
        <v>0.37182335127930899</v>
      </c>
    </row>
    <row r="69" spans="1:4" x14ac:dyDescent="0.25">
      <c r="A69" s="8">
        <v>2.9199999999999999E-3</v>
      </c>
      <c r="B69" s="3">
        <f t="shared" si="3"/>
        <v>-6.6699999999999997E-3</v>
      </c>
      <c r="C69" s="10">
        <f t="shared" si="4"/>
        <v>0.29704459640321168</v>
      </c>
      <c r="D69" s="11">
        <f t="shared" si="5"/>
        <v>0.36962207026345506</v>
      </c>
    </row>
    <row r="70" spans="1:4" x14ac:dyDescent="0.25">
      <c r="A70" s="8">
        <v>2.9299999999999999E-3</v>
      </c>
      <c r="B70" s="3">
        <f t="shared" si="3"/>
        <v>-6.6800000000000002E-3</v>
      </c>
      <c r="C70" s="10">
        <f t="shared" si="4"/>
        <v>0.29938832818551186</v>
      </c>
      <c r="D70" s="11">
        <f t="shared" si="5"/>
        <v>0.36727833848115488</v>
      </c>
    </row>
    <row r="71" spans="1:4" x14ac:dyDescent="0.25">
      <c r="A71" s="8">
        <v>2.9399999999999999E-3</v>
      </c>
      <c r="B71" s="3">
        <f t="shared" si="3"/>
        <v>-6.6899999999999998E-3</v>
      </c>
      <c r="C71" s="10">
        <f t="shared" si="4"/>
        <v>0.30190636528059728</v>
      </c>
      <c r="D71" s="11">
        <f t="shared" si="5"/>
        <v>0.36476030138606946</v>
      </c>
    </row>
    <row r="72" spans="1:4" x14ac:dyDescent="0.25">
      <c r="A72" s="8">
        <v>2.9499999999999999E-3</v>
      </c>
      <c r="B72" s="3">
        <f t="shared" si="3"/>
        <v>-6.6999999999999994E-3</v>
      </c>
      <c r="C72" s="10">
        <f t="shared" si="4"/>
        <v>0.30464456780587018</v>
      </c>
      <c r="D72" s="11">
        <f t="shared" si="5"/>
        <v>0.36202209886079656</v>
      </c>
    </row>
    <row r="73" spans="1:4" x14ac:dyDescent="0.25">
      <c r="A73" s="8">
        <v>2.96E-3</v>
      </c>
      <c r="B73" s="3">
        <f t="shared" si="3"/>
        <v>-6.7099999999999998E-3</v>
      </c>
      <c r="C73" s="10">
        <f t="shared" si="4"/>
        <v>0.30767332136934922</v>
      </c>
      <c r="D73" s="11">
        <f t="shared" si="5"/>
        <v>0.35899334529731752</v>
      </c>
    </row>
    <row r="74" spans="1:4" x14ac:dyDescent="0.25">
      <c r="A74" s="8">
        <v>2.97E-3</v>
      </c>
      <c r="B74" s="3">
        <f t="shared" si="3"/>
        <v>-6.7200000000000003E-3</v>
      </c>
      <c r="C74" s="10">
        <f t="shared" si="4"/>
        <v>0.31111111111111039</v>
      </c>
      <c r="D74" s="11">
        <f t="shared" si="5"/>
        <v>0.35555555555555635</v>
      </c>
    </row>
    <row r="75" spans="1:4" x14ac:dyDescent="0.25">
      <c r="A75" s="8">
        <v>2.98E-3</v>
      </c>
      <c r="B75" s="3">
        <f t="shared" si="3"/>
        <v>-6.7299999999999999E-3</v>
      </c>
      <c r="C75" s="10">
        <f t="shared" si="4"/>
        <v>0.31518896486827164</v>
      </c>
      <c r="D75" s="11">
        <f t="shared" si="5"/>
        <v>0.3514777017983951</v>
      </c>
    </row>
    <row r="76" spans="1:4" x14ac:dyDescent="0.25">
      <c r="A76" s="8">
        <v>2.99E-3</v>
      </c>
      <c r="B76" s="3">
        <f t="shared" si="3"/>
        <v>-6.7399999999999995E-3</v>
      </c>
      <c r="C76" s="10">
        <f t="shared" si="4"/>
        <v>0.32050332735134029</v>
      </c>
      <c r="D76" s="11">
        <f t="shared" si="5"/>
        <v>0.3461633393153265</v>
      </c>
    </row>
    <row r="77" spans="1:4" x14ac:dyDescent="0.25">
      <c r="A77" s="8">
        <v>3.0000000000000001E-3</v>
      </c>
      <c r="B77" s="3">
        <f t="shared" si="3"/>
        <v>-6.7499999999999999E-3</v>
      </c>
      <c r="C77" s="10">
        <f t="shared" si="4"/>
        <v>0.33333332791321396</v>
      </c>
      <c r="D77" s="11">
        <f t="shared" si="5"/>
        <v>0.33333333875345278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BB5E9-8FB7-45F6-ABE1-EDC3636E8964}">
  <dimension ref="A1:L20"/>
  <sheetViews>
    <sheetView workbookViewId="0">
      <selection activeCell="D16" sqref="D16"/>
    </sheetView>
  </sheetViews>
  <sheetFormatPr defaultRowHeight="15" x14ac:dyDescent="0.25"/>
  <cols>
    <col min="1" max="1" width="12.140625" customWidth="1"/>
    <col min="2" max="2" width="15" style="1" customWidth="1"/>
    <col min="3" max="3" width="12.85546875" style="1" customWidth="1"/>
    <col min="4" max="4" width="13.42578125" style="7" customWidth="1"/>
    <col min="5" max="5" width="11.140625" style="7" customWidth="1"/>
    <col min="6" max="6" width="22.42578125" style="5" customWidth="1"/>
    <col min="7" max="7" width="18.85546875" customWidth="1"/>
    <col min="8" max="8" width="23" customWidth="1"/>
    <col min="9" max="9" width="16.5703125" bestFit="1" customWidth="1"/>
  </cols>
  <sheetData>
    <row r="1" spans="1:12" ht="18" x14ac:dyDescent="0.35">
      <c r="A1" t="s">
        <v>4</v>
      </c>
      <c r="B1" s="1" t="s">
        <v>7</v>
      </c>
      <c r="C1" s="1" t="s">
        <v>0</v>
      </c>
      <c r="D1" s="6" t="s">
        <v>10</v>
      </c>
      <c r="E1" s="6"/>
      <c r="F1" s="5" t="s">
        <v>11</v>
      </c>
      <c r="G1" s="4" t="s">
        <v>12</v>
      </c>
      <c r="H1" s="1" t="s">
        <v>13</v>
      </c>
      <c r="I1" s="1"/>
    </row>
    <row r="2" spans="1:12" x14ac:dyDescent="0.25">
      <c r="A2">
        <v>1</v>
      </c>
      <c r="B2" s="1">
        <f>(1.5*300/POWER(A2,-1))</f>
        <v>450</v>
      </c>
      <c r="C2" s="1">
        <f>POWER(B2,-1)</f>
        <v>2.2222222222222222E-3</v>
      </c>
      <c r="D2" s="7">
        <f>(C2/0.00005)</f>
        <v>44.444444444444443</v>
      </c>
      <c r="F2" s="5">
        <f t="shared" ref="F2:F11" si="0">ROUND(D2,0)</f>
        <v>44</v>
      </c>
      <c r="G2" s="1">
        <f>F2*0.00005</f>
        <v>2.2000000000000001E-3</v>
      </c>
      <c r="H2" s="1">
        <f>POWER(G2,-1)</f>
        <v>454.5454545454545</v>
      </c>
      <c r="I2" s="1"/>
    </row>
    <row r="3" spans="1:12" x14ac:dyDescent="0.25">
      <c r="A3">
        <v>2</v>
      </c>
      <c r="B3" s="1">
        <f t="shared" ref="B3:B11" si="1">(1.5*300/POWER(A3,-1))</f>
        <v>900</v>
      </c>
      <c r="C3" s="1">
        <f t="shared" ref="C3:C11" si="2">POWER(B3,-1)</f>
        <v>1.1111111111111111E-3</v>
      </c>
      <c r="D3" s="7">
        <f t="shared" ref="D3:D11" si="3">(C3/0.00005)</f>
        <v>22.222222222222221</v>
      </c>
      <c r="F3" s="5">
        <f t="shared" si="0"/>
        <v>22</v>
      </c>
      <c r="G3" s="1">
        <f t="shared" ref="G3:G11" si="4">F3*0.00005</f>
        <v>1.1000000000000001E-3</v>
      </c>
      <c r="H3" s="1">
        <f t="shared" ref="H3:H11" si="5">POWER(G3,-1)</f>
        <v>909.09090909090901</v>
      </c>
      <c r="I3" s="1"/>
    </row>
    <row r="4" spans="1:12" x14ac:dyDescent="0.25">
      <c r="A4">
        <v>3</v>
      </c>
      <c r="B4" s="1">
        <f t="shared" si="1"/>
        <v>1350</v>
      </c>
      <c r="C4" s="1">
        <f t="shared" si="2"/>
        <v>7.407407407407407E-4</v>
      </c>
      <c r="D4" s="7">
        <f t="shared" si="3"/>
        <v>14.814814814814813</v>
      </c>
      <c r="F4" s="5">
        <f t="shared" si="0"/>
        <v>15</v>
      </c>
      <c r="G4" s="1">
        <f t="shared" si="4"/>
        <v>7.5000000000000002E-4</v>
      </c>
      <c r="H4" s="1">
        <f t="shared" si="5"/>
        <v>1333.3333333333333</v>
      </c>
      <c r="I4" s="1"/>
    </row>
    <row r="5" spans="1:12" x14ac:dyDescent="0.25">
      <c r="A5">
        <v>4</v>
      </c>
      <c r="B5" s="1">
        <f t="shared" si="1"/>
        <v>1800</v>
      </c>
      <c r="C5" s="1">
        <f t="shared" si="2"/>
        <v>5.5555555555555556E-4</v>
      </c>
      <c r="D5" s="7">
        <f t="shared" si="3"/>
        <v>11.111111111111111</v>
      </c>
      <c r="F5" s="5">
        <f t="shared" si="0"/>
        <v>11</v>
      </c>
      <c r="G5" s="1">
        <f t="shared" si="4"/>
        <v>5.5000000000000003E-4</v>
      </c>
      <c r="H5" s="1">
        <f t="shared" si="5"/>
        <v>1818.181818181818</v>
      </c>
      <c r="I5" s="1"/>
    </row>
    <row r="6" spans="1:12" x14ac:dyDescent="0.25">
      <c r="A6">
        <v>5</v>
      </c>
      <c r="B6" s="1">
        <f t="shared" si="1"/>
        <v>2250</v>
      </c>
      <c r="C6" s="1">
        <f t="shared" si="2"/>
        <v>4.4444444444444447E-4</v>
      </c>
      <c r="D6" s="7">
        <f t="shared" si="3"/>
        <v>8.8888888888888893</v>
      </c>
      <c r="F6" s="5">
        <f t="shared" si="0"/>
        <v>9</v>
      </c>
      <c r="G6" s="1">
        <f t="shared" si="4"/>
        <v>4.5000000000000004E-4</v>
      </c>
      <c r="H6" s="1">
        <f t="shared" si="5"/>
        <v>2222.2222222222222</v>
      </c>
      <c r="I6" s="1"/>
    </row>
    <row r="7" spans="1:12" x14ac:dyDescent="0.25">
      <c r="A7">
        <v>6</v>
      </c>
      <c r="B7" s="1">
        <f t="shared" si="1"/>
        <v>2700</v>
      </c>
      <c r="C7" s="1">
        <f t="shared" si="2"/>
        <v>3.7037037037037035E-4</v>
      </c>
      <c r="D7" s="7">
        <f t="shared" si="3"/>
        <v>7.4074074074074066</v>
      </c>
      <c r="F7" s="5">
        <f t="shared" si="0"/>
        <v>7</v>
      </c>
      <c r="G7" s="1">
        <f t="shared" si="4"/>
        <v>3.5E-4</v>
      </c>
      <c r="H7" s="1">
        <f t="shared" si="5"/>
        <v>2857.1428571428573</v>
      </c>
      <c r="I7" s="1"/>
    </row>
    <row r="8" spans="1:12" x14ac:dyDescent="0.25">
      <c r="A8">
        <v>7</v>
      </c>
      <c r="B8" s="1">
        <f t="shared" si="1"/>
        <v>3150</v>
      </c>
      <c r="C8" s="1">
        <f t="shared" si="2"/>
        <v>3.1746031746031746E-4</v>
      </c>
      <c r="D8" s="7">
        <f t="shared" si="3"/>
        <v>6.3492063492063489</v>
      </c>
      <c r="F8" s="5">
        <f t="shared" si="0"/>
        <v>6</v>
      </c>
      <c r="G8" s="1">
        <f t="shared" si="4"/>
        <v>3.0000000000000003E-4</v>
      </c>
      <c r="H8" s="1">
        <f t="shared" si="5"/>
        <v>3333.333333333333</v>
      </c>
      <c r="I8" s="1"/>
      <c r="L8" s="1"/>
    </row>
    <row r="9" spans="1:12" x14ac:dyDescent="0.25">
      <c r="A9">
        <v>8</v>
      </c>
      <c r="B9" s="1">
        <f t="shared" si="1"/>
        <v>3600</v>
      </c>
      <c r="C9" s="1">
        <f t="shared" si="2"/>
        <v>2.7777777777777778E-4</v>
      </c>
      <c r="D9" s="7">
        <f t="shared" si="3"/>
        <v>5.5555555555555554</v>
      </c>
      <c r="F9" s="5">
        <f t="shared" si="0"/>
        <v>6</v>
      </c>
      <c r="G9" s="1">
        <f t="shared" si="4"/>
        <v>3.0000000000000003E-4</v>
      </c>
      <c r="H9" s="1">
        <f t="shared" si="5"/>
        <v>3333.333333333333</v>
      </c>
      <c r="I9" s="1"/>
    </row>
    <row r="10" spans="1:12" x14ac:dyDescent="0.25">
      <c r="A10">
        <v>9</v>
      </c>
      <c r="B10" s="1">
        <f t="shared" si="1"/>
        <v>4050</v>
      </c>
      <c r="C10" s="1">
        <f t="shared" si="2"/>
        <v>2.4691358024691359E-4</v>
      </c>
      <c r="D10" s="7">
        <f t="shared" si="3"/>
        <v>4.9382716049382713</v>
      </c>
      <c r="F10" s="5">
        <f t="shared" si="0"/>
        <v>5</v>
      </c>
      <c r="G10" s="1">
        <f t="shared" si="4"/>
        <v>2.5000000000000001E-4</v>
      </c>
      <c r="H10" s="1">
        <f t="shared" si="5"/>
        <v>4000</v>
      </c>
      <c r="I10" s="1"/>
    </row>
    <row r="11" spans="1:12" x14ac:dyDescent="0.25">
      <c r="A11">
        <v>10</v>
      </c>
      <c r="B11" s="1">
        <f t="shared" si="1"/>
        <v>4500</v>
      </c>
      <c r="C11" s="1">
        <f t="shared" si="2"/>
        <v>2.2222222222222223E-4</v>
      </c>
      <c r="D11" s="7">
        <f t="shared" si="3"/>
        <v>4.4444444444444446</v>
      </c>
      <c r="F11" s="5">
        <f t="shared" si="0"/>
        <v>4</v>
      </c>
      <c r="G11" s="1">
        <f t="shared" si="4"/>
        <v>2.0000000000000001E-4</v>
      </c>
      <c r="H11" s="1">
        <f t="shared" si="5"/>
        <v>5000</v>
      </c>
      <c r="I11" s="1"/>
    </row>
    <row r="20" spans="7:8" x14ac:dyDescent="0.25">
      <c r="G20" s="1"/>
      <c r="H20" s="1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PW to Freq</vt:lpstr>
      <vt:lpstr>Accel and Vmax</vt:lpstr>
      <vt:lpstr>Graphing </vt:lpstr>
      <vt:lpstr>time</vt:lpstr>
      <vt:lpstr>Stitch 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Neilson</dc:creator>
  <cp:lastModifiedBy>Claire Neilson</cp:lastModifiedBy>
  <dcterms:created xsi:type="dcterms:W3CDTF">2026-03-19T00:54:53Z</dcterms:created>
  <dcterms:modified xsi:type="dcterms:W3CDTF">2026-03-20T21:56:42Z</dcterms:modified>
</cp:coreProperties>
</file>
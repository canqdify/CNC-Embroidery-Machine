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Claire\Local Git Code\Embroidery Machine\CNC-Embroidery-Machine\Notes\"/>
    </mc:Choice>
  </mc:AlternateContent>
  <xr:revisionPtr revIDLastSave="0" documentId="13_ncr:1_{79BB0690-2563-406D-A1DB-F036AADA6630}" xr6:coauthVersionLast="47" xr6:coauthVersionMax="47" xr10:uidLastSave="{00000000-0000-0000-0000-000000000000}"/>
  <bookViews>
    <workbookView xWindow="-120" yWindow="-120" windowWidth="29040" windowHeight="15720" xr2:uid="{ACDFC889-B2AC-4DD9-89C7-9C66E4575298}"/>
  </bookViews>
  <sheets>
    <sheet name="PW to Freq" sheetId="1" r:id="rId1"/>
    <sheet name="Stitch Period" sheetId="3" r:id="rId2"/>
    <sheet name="formulas" sheetId="2" r:id="rId3"/>
    <sheet name="Torque" sheetId="12" r:id="rId4"/>
    <sheet name="Main" sheetId="9" r:id="rId5"/>
    <sheet name="s(t) steps" sheetId="10" r:id="rId6"/>
    <sheet name="t_3 pw" sheetId="14" r:id="rId7"/>
    <sheet name="t_4 pw" sheetId="16" r:id="rId8"/>
    <sheet name="t_5 pw" sheetId="17" r:id="rId9"/>
    <sheet name="t_6 pw" sheetId="18" r:id="rId10"/>
    <sheet name="t_7 pw" sheetId="19" r:id="rId11"/>
    <sheet name="t_8 pw" sheetId="20" r:id="rId12"/>
    <sheet name="t_9 pw " sheetId="21" r:id="rId13"/>
    <sheet name="t_10 pw " sheetId="22" r:id="rId14"/>
  </sheets>
  <definedNames>
    <definedName name="J_in">Torque!$E$3</definedName>
    <definedName name="Lead">Torque!$F$3</definedName>
    <definedName name="s_t" localSheetId="13">Globals[st]</definedName>
    <definedName name="s_t" localSheetId="7">Globals[st]</definedName>
    <definedName name="s_t" localSheetId="8">Globals[st]</definedName>
    <definedName name="s_t" localSheetId="9">Globals[st]</definedName>
    <definedName name="s_t" localSheetId="10">Globals[st]</definedName>
    <definedName name="s_t" localSheetId="11">Globals[st]</definedName>
    <definedName name="s_t" localSheetId="12">Globals[st]</definedName>
    <definedName name="s_t">Globals[st]</definedName>
    <definedName name="ttotal1">Main!$B$3</definedName>
    <definedName name="ttotal10">Main!$B$12</definedName>
    <definedName name="ttotal2">Main!$B$4</definedName>
    <definedName name="ttotal3">Main!$B$5</definedName>
    <definedName name="ttotal4">Main!$B$6</definedName>
    <definedName name="ttotal5">Main!$B$7</definedName>
    <definedName name="ttotal6">Main!$B$8</definedName>
    <definedName name="ttotal7">Main!$B$9</definedName>
    <definedName name="ttotal8">Main!$B$10</definedName>
    <definedName name="ttotal9">Main!$B$11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4" l="1" a="1"/>
  <c r="B5" i="14" s="1"/>
  <c r="N78" i="22"/>
  <c r="N77" i="22"/>
  <c r="N76" i="22"/>
  <c r="N75" i="22"/>
  <c r="N74" i="22"/>
  <c r="N73" i="22"/>
  <c r="N72" i="22"/>
  <c r="N71" i="22"/>
  <c r="N70" i="22"/>
  <c r="N69" i="22"/>
  <c r="N68" i="22"/>
  <c r="N67" i="22"/>
  <c r="N66" i="22"/>
  <c r="N65" i="22"/>
  <c r="N64" i="22"/>
  <c r="N63" i="22"/>
  <c r="N62" i="22"/>
  <c r="N61" i="22"/>
  <c r="N60" i="22"/>
  <c r="N59" i="22"/>
  <c r="N58" i="22"/>
  <c r="N57" i="22"/>
  <c r="N56" i="22"/>
  <c r="N55" i="22"/>
  <c r="N54" i="22"/>
  <c r="N53" i="22"/>
  <c r="N52" i="22"/>
  <c r="N51" i="22"/>
  <c r="N50" i="22"/>
  <c r="N49" i="22"/>
  <c r="N48" i="22"/>
  <c r="N47" i="22"/>
  <c r="N46" i="22"/>
  <c r="N45" i="22"/>
  <c r="N44" i="22"/>
  <c r="N43" i="22"/>
  <c r="N42" i="22"/>
  <c r="N41" i="22"/>
  <c r="N40" i="22"/>
  <c r="N39" i="22"/>
  <c r="N38" i="22"/>
  <c r="N37" i="22"/>
  <c r="N36" i="22"/>
  <c r="N35" i="22"/>
  <c r="N34" i="22"/>
  <c r="N33" i="22"/>
  <c r="N32" i="22"/>
  <c r="N31" i="22"/>
  <c r="N30" i="22"/>
  <c r="N29" i="22"/>
  <c r="N28" i="22"/>
  <c r="N27" i="22"/>
  <c r="N26" i="22"/>
  <c r="N25" i="22"/>
  <c r="N24" i="22"/>
  <c r="N23" i="22"/>
  <c r="N22" i="22"/>
  <c r="N21" i="22"/>
  <c r="N20" i="22"/>
  <c r="N19" i="22"/>
  <c r="N18" i="22"/>
  <c r="N17" i="22"/>
  <c r="N16" i="22"/>
  <c r="N15" i="22"/>
  <c r="N14" i="22"/>
  <c r="N13" i="22"/>
  <c r="N12" i="22"/>
  <c r="N11" i="22"/>
  <c r="N10" i="22"/>
  <c r="N9" i="22"/>
  <c r="N8" i="22"/>
  <c r="N7" i="22"/>
  <c r="N6" i="22"/>
  <c r="N5" i="22"/>
  <c r="N4" i="22"/>
  <c r="N3" i="22"/>
  <c r="H153" i="22" a="1"/>
  <c r="H153" i="22" s="1"/>
  <c r="H152" i="22" a="1"/>
  <c r="H152" i="22" s="1"/>
  <c r="H151" i="22" a="1"/>
  <c r="H151" i="22" s="1"/>
  <c r="H150" i="22" a="1"/>
  <c r="H150" i="22" s="1"/>
  <c r="H149" i="22" a="1"/>
  <c r="H149" i="22" s="1"/>
  <c r="H148" i="22" a="1"/>
  <c r="H148" i="22" s="1"/>
  <c r="H147" i="22" a="1"/>
  <c r="H147" i="22" s="1"/>
  <c r="H146" i="22" a="1"/>
  <c r="H146" i="22" s="1"/>
  <c r="H145" i="22" a="1"/>
  <c r="H145" i="22" s="1"/>
  <c r="H144" i="22" a="1"/>
  <c r="H144" i="22" s="1"/>
  <c r="H143" i="22" a="1"/>
  <c r="H143" i="22" s="1"/>
  <c r="H142" i="22" a="1"/>
  <c r="H142" i="22" s="1"/>
  <c r="H141" i="22" a="1"/>
  <c r="H141" i="22" s="1"/>
  <c r="H140" i="22" a="1"/>
  <c r="H140" i="22" s="1"/>
  <c r="H139" i="22" a="1"/>
  <c r="H139" i="22" s="1"/>
  <c r="H138" i="22" a="1"/>
  <c r="H138" i="22" s="1"/>
  <c r="H137" i="22" a="1"/>
  <c r="H137" i="22" s="1"/>
  <c r="H136" i="22" a="1"/>
  <c r="H136" i="22" s="1"/>
  <c r="H135" i="22" a="1"/>
  <c r="H135" i="22" s="1"/>
  <c r="H134" i="22" a="1"/>
  <c r="H134" i="22" s="1"/>
  <c r="H133" i="22" a="1"/>
  <c r="H133" i="22" s="1"/>
  <c r="H132" i="22" a="1"/>
  <c r="H132" i="22" s="1"/>
  <c r="H131" i="22" a="1"/>
  <c r="H131" i="22" s="1"/>
  <c r="H130" i="22" a="1"/>
  <c r="H130" i="22" s="1"/>
  <c r="H129" i="22" a="1"/>
  <c r="H129" i="22" s="1"/>
  <c r="H128" i="22" a="1"/>
  <c r="H128" i="22" s="1"/>
  <c r="H127" i="22" a="1"/>
  <c r="H127" i="22" s="1"/>
  <c r="H126" i="22" a="1"/>
  <c r="H126" i="22" s="1"/>
  <c r="H125" i="22" a="1"/>
  <c r="H125" i="22" s="1"/>
  <c r="H124" i="22" a="1"/>
  <c r="H124" i="22" s="1"/>
  <c r="H123" i="22" a="1"/>
  <c r="H123" i="22" s="1"/>
  <c r="H122" i="22"/>
  <c r="H122" i="22" a="1"/>
  <c r="H121" i="22" a="1"/>
  <c r="H121" i="22" s="1"/>
  <c r="H120" i="22" a="1"/>
  <c r="H120" i="22" s="1"/>
  <c r="H119" i="22" a="1"/>
  <c r="H119" i="22" s="1"/>
  <c r="H118" i="22" a="1"/>
  <c r="H118" i="22" s="1"/>
  <c r="H117" i="22" a="1"/>
  <c r="H117" i="22" s="1"/>
  <c r="H116" i="22" a="1"/>
  <c r="H116" i="22" s="1"/>
  <c r="H115" i="22" a="1"/>
  <c r="H115" i="22" s="1"/>
  <c r="H114" i="22" a="1"/>
  <c r="H114" i="22" s="1"/>
  <c r="H113" i="22" a="1"/>
  <c r="H113" i="22" s="1"/>
  <c r="H112" i="22" a="1"/>
  <c r="H112" i="22" s="1"/>
  <c r="H111" i="22" a="1"/>
  <c r="H111" i="22" s="1"/>
  <c r="H110" i="22" a="1"/>
  <c r="H110" i="22" s="1"/>
  <c r="H109" i="22" a="1"/>
  <c r="H109" i="22" s="1"/>
  <c r="H108" i="22" a="1"/>
  <c r="H108" i="22" s="1"/>
  <c r="H107" i="22" a="1"/>
  <c r="H107" i="22" s="1"/>
  <c r="H106" i="22" a="1"/>
  <c r="H106" i="22" s="1"/>
  <c r="H105" i="22" a="1"/>
  <c r="H105" i="22" s="1"/>
  <c r="H104" i="22" a="1"/>
  <c r="H104" i="22" s="1"/>
  <c r="H103" i="22" a="1"/>
  <c r="H103" i="22" s="1"/>
  <c r="H102" i="22" a="1"/>
  <c r="H102" i="22" s="1"/>
  <c r="H101" i="22" a="1"/>
  <c r="H101" i="22" s="1"/>
  <c r="H100" i="22" a="1"/>
  <c r="H100" i="22" s="1"/>
  <c r="H99" i="22" a="1"/>
  <c r="H99" i="22" s="1"/>
  <c r="H98" i="22" a="1"/>
  <c r="H98" i="22" s="1"/>
  <c r="H97" i="22" a="1"/>
  <c r="H97" i="22" s="1"/>
  <c r="H96" i="22" a="1"/>
  <c r="H96" i="22" s="1"/>
  <c r="H95" i="22" a="1"/>
  <c r="H95" i="22" s="1"/>
  <c r="H94" i="22" a="1"/>
  <c r="H94" i="22" s="1"/>
  <c r="H93" i="22" a="1"/>
  <c r="H93" i="22" s="1"/>
  <c r="H92" i="22" a="1"/>
  <c r="H92" i="22" s="1"/>
  <c r="H91" i="22" a="1"/>
  <c r="H91" i="22" s="1"/>
  <c r="H90" i="22" a="1"/>
  <c r="H90" i="22" s="1"/>
  <c r="H89" i="22" a="1"/>
  <c r="H89" i="22" s="1"/>
  <c r="H88" i="22" a="1"/>
  <c r="H88" i="22" s="1"/>
  <c r="H87" i="22" a="1"/>
  <c r="H87" i="22" s="1"/>
  <c r="H86" i="22" a="1"/>
  <c r="H86" i="22" s="1"/>
  <c r="H85" i="22" a="1"/>
  <c r="H85" i="22" s="1"/>
  <c r="H84" i="22" a="1"/>
  <c r="H84" i="22" s="1"/>
  <c r="H83" i="22" a="1"/>
  <c r="H83" i="22" s="1"/>
  <c r="H82" i="22" a="1"/>
  <c r="H82" i="22" s="1"/>
  <c r="H81" i="22" a="1"/>
  <c r="H81" i="22" s="1"/>
  <c r="H80" i="22" a="1"/>
  <c r="H80" i="22" s="1"/>
  <c r="H79" i="22" a="1"/>
  <c r="H79" i="22" s="1"/>
  <c r="H78" i="22" a="1"/>
  <c r="H78" i="22" s="1"/>
  <c r="H77" i="22" a="1"/>
  <c r="H77" i="22" s="1"/>
  <c r="H76" i="22" a="1"/>
  <c r="H76" i="22" s="1"/>
  <c r="H75" i="22" a="1"/>
  <c r="H75" i="22" s="1"/>
  <c r="H74" i="22" a="1"/>
  <c r="H74" i="22" s="1"/>
  <c r="H73" i="22" a="1"/>
  <c r="H73" i="22" s="1"/>
  <c r="H72" i="22" a="1"/>
  <c r="H72" i="22" s="1"/>
  <c r="H71" i="22" a="1"/>
  <c r="H71" i="22" s="1"/>
  <c r="H70" i="22" a="1"/>
  <c r="H70" i="22" s="1"/>
  <c r="H69" i="22" a="1"/>
  <c r="H69" i="22" s="1"/>
  <c r="H68" i="22" a="1"/>
  <c r="H68" i="22" s="1"/>
  <c r="H67" i="22" a="1"/>
  <c r="H67" i="22" s="1"/>
  <c r="H66" i="22" a="1"/>
  <c r="H66" i="22" s="1"/>
  <c r="H65" i="22" a="1"/>
  <c r="H65" i="22" s="1"/>
  <c r="H64" i="22" a="1"/>
  <c r="H64" i="22" s="1"/>
  <c r="H63" i="22" a="1"/>
  <c r="H63" i="22" s="1"/>
  <c r="H62" i="22" a="1"/>
  <c r="H62" i="22" s="1"/>
  <c r="H61" i="22" a="1"/>
  <c r="H61" i="22" s="1"/>
  <c r="H60" i="22" a="1"/>
  <c r="H60" i="22" s="1"/>
  <c r="H59" i="22" a="1"/>
  <c r="H59" i="22" s="1"/>
  <c r="H58" i="22" a="1"/>
  <c r="H58" i="22" s="1"/>
  <c r="H57" i="22" a="1"/>
  <c r="H57" i="22" s="1"/>
  <c r="H56" i="22" a="1"/>
  <c r="H56" i="22" s="1"/>
  <c r="H55" i="22" a="1"/>
  <c r="H55" i="22" s="1"/>
  <c r="H54" i="22" a="1"/>
  <c r="H54" i="22" s="1"/>
  <c r="H53" i="22" a="1"/>
  <c r="H53" i="22" s="1"/>
  <c r="H52" i="22" a="1"/>
  <c r="H52" i="22" s="1"/>
  <c r="H51" i="22" a="1"/>
  <c r="H51" i="22" s="1"/>
  <c r="H50" i="22" a="1"/>
  <c r="H50" i="22" s="1"/>
  <c r="H49" i="22" a="1"/>
  <c r="H49" i="22" s="1"/>
  <c r="H48" i="22" a="1"/>
  <c r="H48" i="22" s="1"/>
  <c r="H47" i="22" a="1"/>
  <c r="H47" i="22" s="1"/>
  <c r="H46" i="22" a="1"/>
  <c r="H46" i="22" s="1"/>
  <c r="H45" i="22" a="1"/>
  <c r="H45" i="22" s="1"/>
  <c r="H44" i="22" a="1"/>
  <c r="H44" i="22" s="1"/>
  <c r="H43" i="22" a="1"/>
  <c r="H43" i="22" s="1"/>
  <c r="H42" i="22"/>
  <c r="H42" i="22" a="1"/>
  <c r="H41" i="22" a="1"/>
  <c r="H41" i="22" s="1"/>
  <c r="H40" i="22" a="1"/>
  <c r="H40" i="22" s="1"/>
  <c r="H39" i="22" a="1"/>
  <c r="H39" i="22" s="1"/>
  <c r="H38" i="22" a="1"/>
  <c r="H38" i="22" s="1"/>
  <c r="H37" i="22" a="1"/>
  <c r="H37" i="22" s="1"/>
  <c r="H36" i="22" a="1"/>
  <c r="H36" i="22" s="1"/>
  <c r="H35" i="22" a="1"/>
  <c r="H35" i="22" s="1"/>
  <c r="H34" i="22" a="1"/>
  <c r="H34" i="22" s="1"/>
  <c r="H33" i="22" a="1"/>
  <c r="H33" i="22" s="1"/>
  <c r="H32" i="22" a="1"/>
  <c r="H32" i="22" s="1"/>
  <c r="H31" i="22" a="1"/>
  <c r="H31" i="22" s="1"/>
  <c r="H30" i="22" a="1"/>
  <c r="H30" i="22" s="1"/>
  <c r="H29" i="22" a="1"/>
  <c r="H29" i="22" s="1"/>
  <c r="H28" i="22" a="1"/>
  <c r="H28" i="22" s="1"/>
  <c r="H27" i="22" a="1"/>
  <c r="H27" i="22" s="1"/>
  <c r="H26" i="22" a="1"/>
  <c r="H26" i="22" s="1"/>
  <c r="H25" i="22" a="1"/>
  <c r="H25" i="22" s="1"/>
  <c r="H24" i="22" a="1"/>
  <c r="H24" i="22" s="1"/>
  <c r="H23" i="22" a="1"/>
  <c r="H23" i="22" s="1"/>
  <c r="H22" i="22" a="1"/>
  <c r="H22" i="22" s="1"/>
  <c r="H21" i="22" a="1"/>
  <c r="H21" i="22" s="1"/>
  <c r="H20" i="22" a="1"/>
  <c r="H20" i="22" s="1"/>
  <c r="H19" i="22" a="1"/>
  <c r="H19" i="22" s="1"/>
  <c r="H18" i="22" a="1"/>
  <c r="H18" i="22" s="1"/>
  <c r="H17" i="22" a="1"/>
  <c r="H17" i="22" s="1"/>
  <c r="H16" i="22" a="1"/>
  <c r="H16" i="22" s="1"/>
  <c r="H15" i="22" a="1"/>
  <c r="H15" i="22" s="1"/>
  <c r="H14" i="22" a="1"/>
  <c r="H14" i="22" s="1"/>
  <c r="H13" i="22" a="1"/>
  <c r="H13" i="22" s="1"/>
  <c r="H12" i="22"/>
  <c r="H12" i="22" a="1"/>
  <c r="H11" i="22" a="1"/>
  <c r="H11" i="22" s="1"/>
  <c r="H10" i="22" a="1"/>
  <c r="H10" i="22" s="1"/>
  <c r="H9" i="22" a="1"/>
  <c r="H9" i="22" s="1"/>
  <c r="H8" i="22" a="1"/>
  <c r="H8" i="22" s="1"/>
  <c r="H7" i="22" a="1"/>
  <c r="H7" i="22" s="1"/>
  <c r="H6" i="22" a="1"/>
  <c r="H6" i="22" s="1"/>
  <c r="H5" i="22" a="1"/>
  <c r="H5" i="22" s="1"/>
  <c r="H4" i="22" a="1"/>
  <c r="H4" i="22" s="1"/>
  <c r="H3" i="22" a="1"/>
  <c r="H3" i="22" s="1"/>
  <c r="B78" i="22" a="1"/>
  <c r="B78" i="22" s="1"/>
  <c r="B77" i="22" a="1"/>
  <c r="B77" i="22" s="1"/>
  <c r="B76" i="22" a="1"/>
  <c r="B76" i="22" s="1"/>
  <c r="B75" i="22" a="1"/>
  <c r="B75" i="22" s="1"/>
  <c r="B74" i="22" a="1"/>
  <c r="B74" i="22" s="1"/>
  <c r="B73" i="22" a="1"/>
  <c r="B73" i="22" s="1"/>
  <c r="B72" i="22" a="1"/>
  <c r="B72" i="22" s="1"/>
  <c r="B71" i="22" a="1"/>
  <c r="B71" i="22" s="1"/>
  <c r="B70" i="22" a="1"/>
  <c r="B70" i="22" s="1"/>
  <c r="B69" i="22" a="1"/>
  <c r="B69" i="22" s="1"/>
  <c r="B68" i="22" a="1"/>
  <c r="B68" i="22" s="1"/>
  <c r="B67" i="22" a="1"/>
  <c r="B67" i="22" s="1"/>
  <c r="B66" i="22" a="1"/>
  <c r="B66" i="22" s="1"/>
  <c r="B65" i="22" a="1"/>
  <c r="B65" i="22" s="1"/>
  <c r="B64" i="22" a="1"/>
  <c r="B64" i="22" s="1"/>
  <c r="B63" i="22" a="1"/>
  <c r="B63" i="22" s="1"/>
  <c r="B62" i="22" a="1"/>
  <c r="B62" i="22" s="1"/>
  <c r="B61" i="22" a="1"/>
  <c r="B61" i="22" s="1"/>
  <c r="B60" i="22" a="1"/>
  <c r="B60" i="22" s="1"/>
  <c r="B59" i="22" a="1"/>
  <c r="B59" i="22" s="1"/>
  <c r="B58" i="22" a="1"/>
  <c r="B58" i="22" s="1"/>
  <c r="B57" i="22" a="1"/>
  <c r="B57" i="22" s="1"/>
  <c r="B56" i="22" a="1"/>
  <c r="B56" i="22" s="1"/>
  <c r="B55" i="22" a="1"/>
  <c r="B55" i="22" s="1"/>
  <c r="B54" i="22" a="1"/>
  <c r="B54" i="22" s="1"/>
  <c r="B53" i="22" a="1"/>
  <c r="B53" i="22" s="1"/>
  <c r="B52" i="22" a="1"/>
  <c r="B52" i="22" s="1"/>
  <c r="B51" i="22" a="1"/>
  <c r="B51" i="22" s="1"/>
  <c r="B50" i="22" a="1"/>
  <c r="B50" i="22" s="1"/>
  <c r="B49" i="22" a="1"/>
  <c r="B49" i="22" s="1"/>
  <c r="B48" i="22" a="1"/>
  <c r="B48" i="22" s="1"/>
  <c r="B47" i="22" a="1"/>
  <c r="B47" i="22" s="1"/>
  <c r="B46" i="22" a="1"/>
  <c r="B46" i="22" s="1"/>
  <c r="B45" i="22" a="1"/>
  <c r="B45" i="22" s="1"/>
  <c r="B44" i="22" a="1"/>
  <c r="B44" i="22" s="1"/>
  <c r="B43" i="22" a="1"/>
  <c r="B43" i="22" s="1"/>
  <c r="B42" i="22" a="1"/>
  <c r="B42" i="22" s="1"/>
  <c r="B41" i="22" a="1"/>
  <c r="B41" i="22" s="1"/>
  <c r="B40" i="22" a="1"/>
  <c r="B40" i="22" s="1"/>
  <c r="B39" i="22" a="1"/>
  <c r="B39" i="22" s="1"/>
  <c r="B38" i="22" a="1"/>
  <c r="B38" i="22" s="1"/>
  <c r="B37" i="22" a="1"/>
  <c r="B37" i="22" s="1"/>
  <c r="B36" i="22" a="1"/>
  <c r="B36" i="22" s="1"/>
  <c r="B35" i="22" a="1"/>
  <c r="B35" i="22" s="1"/>
  <c r="B34" i="22" a="1"/>
  <c r="B34" i="22" s="1"/>
  <c r="B33" i="22" a="1"/>
  <c r="B33" i="22" s="1"/>
  <c r="B32" i="22" a="1"/>
  <c r="B32" i="22" s="1"/>
  <c r="B31" i="22" a="1"/>
  <c r="B31" i="22" s="1"/>
  <c r="B30" i="22" a="1"/>
  <c r="B30" i="22" s="1"/>
  <c r="B29" i="22" a="1"/>
  <c r="B29" i="22" s="1"/>
  <c r="B28" i="22" a="1"/>
  <c r="B28" i="22" s="1"/>
  <c r="B27" i="22" a="1"/>
  <c r="B27" i="22" s="1"/>
  <c r="B26" i="22" a="1"/>
  <c r="B26" i="22" s="1"/>
  <c r="B25" i="22" a="1"/>
  <c r="B25" i="22" s="1"/>
  <c r="B24" i="22" a="1"/>
  <c r="B24" i="22" s="1"/>
  <c r="B23" i="22" a="1"/>
  <c r="B23" i="22" s="1"/>
  <c r="B22" i="22" a="1"/>
  <c r="B22" i="22" s="1"/>
  <c r="B21" i="22" a="1"/>
  <c r="B21" i="22" s="1"/>
  <c r="B20" i="22" a="1"/>
  <c r="B20" i="22" s="1"/>
  <c r="B19" i="22" a="1"/>
  <c r="B19" i="22" s="1"/>
  <c r="B18" i="22" a="1"/>
  <c r="B18" i="22" s="1"/>
  <c r="B17" i="22" a="1"/>
  <c r="B17" i="22" s="1"/>
  <c r="B16" i="22" a="1"/>
  <c r="B16" i="22" s="1"/>
  <c r="B15" i="22" a="1"/>
  <c r="B15" i="22" s="1"/>
  <c r="B14" i="22" a="1"/>
  <c r="B14" i="22" s="1"/>
  <c r="B13" i="22" a="1"/>
  <c r="B13" i="22" s="1"/>
  <c r="B12" i="22" a="1"/>
  <c r="B12" i="22" s="1"/>
  <c r="B11" i="22" a="1"/>
  <c r="B11" i="22" s="1"/>
  <c r="B10" i="22" a="1"/>
  <c r="B10" i="22" s="1"/>
  <c r="B9" i="22" a="1"/>
  <c r="B9" i="22" s="1"/>
  <c r="B8" i="22" a="1"/>
  <c r="B8" i="22" s="1"/>
  <c r="B7" i="22" a="1"/>
  <c r="B7" i="22" s="1"/>
  <c r="B6" i="22" a="1"/>
  <c r="B6" i="22" s="1"/>
  <c r="B5" i="22" a="1"/>
  <c r="B5" i="22" s="1"/>
  <c r="B4" i="22" a="1"/>
  <c r="B4" i="22" s="1"/>
  <c r="B3" i="22" a="1"/>
  <c r="B3" i="22" s="1"/>
  <c r="N78" i="21"/>
  <c r="N77" i="21"/>
  <c r="N76" i="21"/>
  <c r="N75" i="21"/>
  <c r="N74" i="21"/>
  <c r="N73" i="21"/>
  <c r="N72" i="21"/>
  <c r="N71" i="21"/>
  <c r="N70" i="21"/>
  <c r="N69" i="21"/>
  <c r="N68" i="21"/>
  <c r="N67" i="21"/>
  <c r="N66" i="21"/>
  <c r="N65" i="21"/>
  <c r="N64" i="21"/>
  <c r="N63" i="21"/>
  <c r="N62" i="21"/>
  <c r="N61" i="21"/>
  <c r="N60" i="21"/>
  <c r="N59" i="21"/>
  <c r="N58" i="21"/>
  <c r="N57" i="21"/>
  <c r="N56" i="21"/>
  <c r="N55" i="21"/>
  <c r="N54" i="21"/>
  <c r="N53" i="21"/>
  <c r="N52" i="21"/>
  <c r="N51" i="21"/>
  <c r="N50" i="21"/>
  <c r="N49" i="21"/>
  <c r="N48" i="21"/>
  <c r="N47" i="21"/>
  <c r="N46" i="21"/>
  <c r="N45" i="21"/>
  <c r="N44" i="21"/>
  <c r="N43" i="21"/>
  <c r="N42" i="21"/>
  <c r="N41" i="21"/>
  <c r="N40" i="21"/>
  <c r="N39" i="21"/>
  <c r="N38" i="21"/>
  <c r="N37" i="21"/>
  <c r="N36" i="21"/>
  <c r="N35" i="21"/>
  <c r="N34" i="21"/>
  <c r="N33" i="21"/>
  <c r="N32" i="21"/>
  <c r="N31" i="21"/>
  <c r="N30" i="21"/>
  <c r="N29" i="21"/>
  <c r="N28" i="21"/>
  <c r="N27" i="21"/>
  <c r="N26" i="21"/>
  <c r="N25" i="21"/>
  <c r="N24" i="21"/>
  <c r="N23" i="21"/>
  <c r="N22" i="21"/>
  <c r="N21" i="21"/>
  <c r="N20" i="21"/>
  <c r="N19" i="21"/>
  <c r="N18" i="21"/>
  <c r="N17" i="21"/>
  <c r="N16" i="21"/>
  <c r="N15" i="21"/>
  <c r="N14" i="21"/>
  <c r="N13" i="21"/>
  <c r="N12" i="21"/>
  <c r="N11" i="21"/>
  <c r="N10" i="21"/>
  <c r="N9" i="21"/>
  <c r="N8" i="21"/>
  <c r="N7" i="21"/>
  <c r="N6" i="21"/>
  <c r="N5" i="21"/>
  <c r="N4" i="21"/>
  <c r="N3" i="21"/>
  <c r="H153" i="21" a="1"/>
  <c r="H153" i="21" s="1"/>
  <c r="H152" i="21" a="1"/>
  <c r="H152" i="21" s="1"/>
  <c r="H151" i="21" a="1"/>
  <c r="H151" i="21" s="1"/>
  <c r="H150" i="21" a="1"/>
  <c r="H150" i="21" s="1"/>
  <c r="H149" i="21" a="1"/>
  <c r="H149" i="21" s="1"/>
  <c r="H148" i="21" a="1"/>
  <c r="H148" i="21" s="1"/>
  <c r="H147" i="21" a="1"/>
  <c r="H147" i="21" s="1"/>
  <c r="H146" i="21" a="1"/>
  <c r="H146" i="21" s="1"/>
  <c r="H145" i="21" a="1"/>
  <c r="H145" i="21" s="1"/>
  <c r="H144" i="21" a="1"/>
  <c r="H144" i="21" s="1"/>
  <c r="H143" i="21" a="1"/>
  <c r="H143" i="21" s="1"/>
  <c r="H142" i="21" a="1"/>
  <c r="H142" i="21" s="1"/>
  <c r="H141" i="21" a="1"/>
  <c r="H141" i="21" s="1"/>
  <c r="H140" i="21" a="1"/>
  <c r="H140" i="21" s="1"/>
  <c r="H139" i="21" a="1"/>
  <c r="H139" i="21" s="1"/>
  <c r="H138" i="21" a="1"/>
  <c r="H138" i="21" s="1"/>
  <c r="H137" i="21" a="1"/>
  <c r="H137" i="21" s="1"/>
  <c r="H136" i="21" a="1"/>
  <c r="H136" i="21" s="1"/>
  <c r="H135" i="21" a="1"/>
  <c r="H135" i="21" s="1"/>
  <c r="H134" i="21" a="1"/>
  <c r="H134" i="21" s="1"/>
  <c r="H133" i="21" a="1"/>
  <c r="H133" i="21" s="1"/>
  <c r="H132" i="21" a="1"/>
  <c r="H132" i="21" s="1"/>
  <c r="H131" i="21" a="1"/>
  <c r="H131" i="21" s="1"/>
  <c r="H130" i="21" a="1"/>
  <c r="H130" i="21" s="1"/>
  <c r="H129" i="21" a="1"/>
  <c r="H129" i="21" s="1"/>
  <c r="H128" i="21" a="1"/>
  <c r="H128" i="21" s="1"/>
  <c r="H127" i="21" a="1"/>
  <c r="H127" i="21" s="1"/>
  <c r="H126" i="21" a="1"/>
  <c r="H126" i="21" s="1"/>
  <c r="H125" i="21" a="1"/>
  <c r="H125" i="21" s="1"/>
  <c r="H124" i="21" a="1"/>
  <c r="H124" i="21" s="1"/>
  <c r="H123" i="21" a="1"/>
  <c r="H123" i="21" s="1"/>
  <c r="H122" i="21" a="1"/>
  <c r="H122" i="21" s="1"/>
  <c r="H121" i="21" a="1"/>
  <c r="H121" i="21" s="1"/>
  <c r="H120" i="21" a="1"/>
  <c r="H120" i="21" s="1"/>
  <c r="H119" i="21" a="1"/>
  <c r="H119" i="21" s="1"/>
  <c r="H118" i="21" a="1"/>
  <c r="H118" i="21" s="1"/>
  <c r="H117" i="21" a="1"/>
  <c r="H117" i="21" s="1"/>
  <c r="H116" i="21" a="1"/>
  <c r="H116" i="21" s="1"/>
  <c r="H115" i="21" a="1"/>
  <c r="H115" i="21" s="1"/>
  <c r="H114" i="21" a="1"/>
  <c r="H114" i="21" s="1"/>
  <c r="H113" i="21" a="1"/>
  <c r="H113" i="21" s="1"/>
  <c r="H112" i="21" a="1"/>
  <c r="H112" i="21" s="1"/>
  <c r="H111" i="21" a="1"/>
  <c r="H111" i="21" s="1"/>
  <c r="H110" i="21" a="1"/>
  <c r="H110" i="21" s="1"/>
  <c r="H109" i="21" a="1"/>
  <c r="H109" i="21" s="1"/>
  <c r="H108" i="21" a="1"/>
  <c r="H108" i="21" s="1"/>
  <c r="H107" i="21" a="1"/>
  <c r="H107" i="21" s="1"/>
  <c r="H106" i="21" a="1"/>
  <c r="H106" i="21" s="1"/>
  <c r="H105" i="21" a="1"/>
  <c r="H105" i="21" s="1"/>
  <c r="H104" i="21" a="1"/>
  <c r="H104" i="21" s="1"/>
  <c r="H103" i="21" a="1"/>
  <c r="H103" i="21" s="1"/>
  <c r="H102" i="21" a="1"/>
  <c r="H102" i="21" s="1"/>
  <c r="H101" i="21" a="1"/>
  <c r="H101" i="21" s="1"/>
  <c r="H100" i="21" a="1"/>
  <c r="H100" i="21" s="1"/>
  <c r="H99" i="21" a="1"/>
  <c r="H99" i="21" s="1"/>
  <c r="H98" i="21" a="1"/>
  <c r="H98" i="21" s="1"/>
  <c r="H97" i="21" a="1"/>
  <c r="H97" i="21" s="1"/>
  <c r="H96" i="21" a="1"/>
  <c r="H96" i="21" s="1"/>
  <c r="H95" i="21" a="1"/>
  <c r="H95" i="21" s="1"/>
  <c r="H94" i="21" a="1"/>
  <c r="H94" i="21" s="1"/>
  <c r="H93" i="21" a="1"/>
  <c r="H93" i="21" s="1"/>
  <c r="H92" i="21" a="1"/>
  <c r="H92" i="21" s="1"/>
  <c r="H91" i="21" a="1"/>
  <c r="H91" i="21" s="1"/>
  <c r="H90" i="21" a="1"/>
  <c r="H90" i="21" s="1"/>
  <c r="H89" i="21" a="1"/>
  <c r="H89" i="21" s="1"/>
  <c r="H88" i="21" a="1"/>
  <c r="H88" i="21" s="1"/>
  <c r="H87" i="21" a="1"/>
  <c r="H87" i="21" s="1"/>
  <c r="H86" i="21" a="1"/>
  <c r="H86" i="21" s="1"/>
  <c r="H85" i="21" a="1"/>
  <c r="H85" i="21" s="1"/>
  <c r="H84" i="21" a="1"/>
  <c r="H84" i="21" s="1"/>
  <c r="H83" i="21" a="1"/>
  <c r="H83" i="21" s="1"/>
  <c r="H82" i="21" a="1"/>
  <c r="H82" i="21" s="1"/>
  <c r="H81" i="21" a="1"/>
  <c r="H81" i="21" s="1"/>
  <c r="H80" i="21"/>
  <c r="H80" i="21" a="1"/>
  <c r="H79" i="21" a="1"/>
  <c r="H79" i="21" s="1"/>
  <c r="H78" i="21" a="1"/>
  <c r="H78" i="21" s="1"/>
  <c r="H77" i="21" a="1"/>
  <c r="H77" i="21" s="1"/>
  <c r="H76" i="21" a="1"/>
  <c r="H76" i="21" s="1"/>
  <c r="H75" i="21" a="1"/>
  <c r="H75" i="21" s="1"/>
  <c r="H74" i="21" a="1"/>
  <c r="H74" i="21" s="1"/>
  <c r="H73" i="21" a="1"/>
  <c r="H73" i="21" s="1"/>
  <c r="H72" i="21" a="1"/>
  <c r="H72" i="21" s="1"/>
  <c r="H71" i="21" a="1"/>
  <c r="H71" i="21" s="1"/>
  <c r="H70" i="21" a="1"/>
  <c r="H70" i="21" s="1"/>
  <c r="H69" i="21" a="1"/>
  <c r="H69" i="21" s="1"/>
  <c r="H68" i="21" a="1"/>
  <c r="H68" i="21" s="1"/>
  <c r="H67" i="21" a="1"/>
  <c r="H67" i="21" s="1"/>
  <c r="H66" i="21" a="1"/>
  <c r="H66" i="21" s="1"/>
  <c r="H65" i="21" a="1"/>
  <c r="H65" i="21" s="1"/>
  <c r="H64" i="21" a="1"/>
  <c r="H64" i="21" s="1"/>
  <c r="H63" i="21" a="1"/>
  <c r="H63" i="21" s="1"/>
  <c r="H62" i="21" a="1"/>
  <c r="H62" i="21" s="1"/>
  <c r="H61" i="21" a="1"/>
  <c r="H61" i="21" s="1"/>
  <c r="H60" i="21" a="1"/>
  <c r="H60" i="21" s="1"/>
  <c r="H59" i="21" a="1"/>
  <c r="H59" i="21" s="1"/>
  <c r="H58" i="21" a="1"/>
  <c r="H58" i="21" s="1"/>
  <c r="H57" i="21" a="1"/>
  <c r="H57" i="21" s="1"/>
  <c r="H56" i="21" a="1"/>
  <c r="H56" i="21" s="1"/>
  <c r="H55" i="21" a="1"/>
  <c r="H55" i="21" s="1"/>
  <c r="H54" i="21" a="1"/>
  <c r="H54" i="21" s="1"/>
  <c r="H53" i="21" a="1"/>
  <c r="H53" i="21" s="1"/>
  <c r="H52" i="21" a="1"/>
  <c r="H52" i="21" s="1"/>
  <c r="H51" i="21" a="1"/>
  <c r="H51" i="21" s="1"/>
  <c r="H50" i="21" a="1"/>
  <c r="H50" i="21" s="1"/>
  <c r="H49" i="21" a="1"/>
  <c r="H49" i="21" s="1"/>
  <c r="H48" i="21" a="1"/>
  <c r="H48" i="21" s="1"/>
  <c r="H47" i="21" a="1"/>
  <c r="H47" i="21" s="1"/>
  <c r="H46" i="21" a="1"/>
  <c r="H46" i="21" s="1"/>
  <c r="H45" i="21" a="1"/>
  <c r="H45" i="21" s="1"/>
  <c r="H44" i="21" a="1"/>
  <c r="H44" i="21" s="1"/>
  <c r="H43" i="21" a="1"/>
  <c r="H43" i="21" s="1"/>
  <c r="H42" i="21" a="1"/>
  <c r="H42" i="21" s="1"/>
  <c r="H41" i="21" a="1"/>
  <c r="H41" i="21" s="1"/>
  <c r="H40" i="21" a="1"/>
  <c r="H40" i="21" s="1"/>
  <c r="H39" i="21" a="1"/>
  <c r="H39" i="21" s="1"/>
  <c r="H38" i="21" a="1"/>
  <c r="H38" i="21" s="1"/>
  <c r="H37" i="21" a="1"/>
  <c r="H37" i="21" s="1"/>
  <c r="H36" i="21" a="1"/>
  <c r="H36" i="21" s="1"/>
  <c r="H35" i="21" a="1"/>
  <c r="H35" i="21" s="1"/>
  <c r="H34" i="21" a="1"/>
  <c r="H34" i="21" s="1"/>
  <c r="H33" i="21" a="1"/>
  <c r="H33" i="21" s="1"/>
  <c r="H32" i="21" a="1"/>
  <c r="H32" i="21" s="1"/>
  <c r="H31" i="21" a="1"/>
  <c r="H31" i="21" s="1"/>
  <c r="H30" i="21" a="1"/>
  <c r="H30" i="21" s="1"/>
  <c r="H29" i="21" a="1"/>
  <c r="H29" i="21" s="1"/>
  <c r="H28" i="21" a="1"/>
  <c r="H28" i="21" s="1"/>
  <c r="H27" i="21" a="1"/>
  <c r="H27" i="21" s="1"/>
  <c r="H26" i="21" a="1"/>
  <c r="H26" i="21" s="1"/>
  <c r="H25" i="21" a="1"/>
  <c r="H25" i="21" s="1"/>
  <c r="H24" i="21" a="1"/>
  <c r="H24" i="21" s="1"/>
  <c r="H23" i="21" a="1"/>
  <c r="H23" i="21" s="1"/>
  <c r="H22" i="21" a="1"/>
  <c r="H22" i="21" s="1"/>
  <c r="H21" i="21" a="1"/>
  <c r="H21" i="21" s="1"/>
  <c r="H20" i="21" a="1"/>
  <c r="H20" i="21" s="1"/>
  <c r="H19" i="21" a="1"/>
  <c r="H19" i="21" s="1"/>
  <c r="H18" i="21" a="1"/>
  <c r="H18" i="21" s="1"/>
  <c r="H17" i="21" a="1"/>
  <c r="H17" i="21" s="1"/>
  <c r="H16" i="21" a="1"/>
  <c r="H16" i="21" s="1"/>
  <c r="H15" i="21" a="1"/>
  <c r="H15" i="21" s="1"/>
  <c r="H14" i="21" a="1"/>
  <c r="H14" i="21" s="1"/>
  <c r="H13" i="21" a="1"/>
  <c r="H13" i="21" s="1"/>
  <c r="H12" i="21" a="1"/>
  <c r="H12" i="21" s="1"/>
  <c r="H11" i="21" a="1"/>
  <c r="H11" i="21" s="1"/>
  <c r="H10" i="21" a="1"/>
  <c r="H10" i="21" s="1"/>
  <c r="H9" i="21" a="1"/>
  <c r="H9" i="21" s="1"/>
  <c r="H8" i="21" a="1"/>
  <c r="H8" i="21" s="1"/>
  <c r="H7" i="21" a="1"/>
  <c r="H7" i="21" s="1"/>
  <c r="H6" i="21" a="1"/>
  <c r="H6" i="21" s="1"/>
  <c r="H5" i="21" a="1"/>
  <c r="H5" i="21" s="1"/>
  <c r="H4" i="21" a="1"/>
  <c r="H4" i="21" s="1"/>
  <c r="H3" i="21" a="1"/>
  <c r="H3" i="21" s="1"/>
  <c r="B78" i="21" a="1"/>
  <c r="B78" i="21" s="1"/>
  <c r="B77" i="21" a="1"/>
  <c r="B77" i="21" s="1"/>
  <c r="B76" i="21" a="1"/>
  <c r="B76" i="21" s="1"/>
  <c r="B75" i="21" a="1"/>
  <c r="B75" i="21" s="1"/>
  <c r="B74" i="21" a="1"/>
  <c r="B74" i="21" s="1"/>
  <c r="B73" i="21" a="1"/>
  <c r="B73" i="21" s="1"/>
  <c r="B72" i="21" a="1"/>
  <c r="B72" i="21" s="1"/>
  <c r="B71" i="21" a="1"/>
  <c r="B71" i="21" s="1"/>
  <c r="B70" i="21" a="1"/>
  <c r="B70" i="21" s="1"/>
  <c r="B69" i="21" a="1"/>
  <c r="B69" i="21" s="1"/>
  <c r="B68" i="21" a="1"/>
  <c r="B68" i="21" s="1"/>
  <c r="B67" i="21" a="1"/>
  <c r="B67" i="21" s="1"/>
  <c r="B66" i="21" a="1"/>
  <c r="B66" i="21" s="1"/>
  <c r="B65" i="21" a="1"/>
  <c r="B65" i="21" s="1"/>
  <c r="B64" i="21" a="1"/>
  <c r="B64" i="21" s="1"/>
  <c r="B63" i="21"/>
  <c r="B63" i="21" a="1"/>
  <c r="B62" i="21" a="1"/>
  <c r="B62" i="21" s="1"/>
  <c r="B61" i="21" a="1"/>
  <c r="B61" i="21" s="1"/>
  <c r="B60" i="21" a="1"/>
  <c r="B60" i="21" s="1"/>
  <c r="B59" i="21" a="1"/>
  <c r="B59" i="21" s="1"/>
  <c r="B58" i="21" a="1"/>
  <c r="B58" i="21" s="1"/>
  <c r="B57" i="21" a="1"/>
  <c r="B57" i="21" s="1"/>
  <c r="B56" i="21" a="1"/>
  <c r="B56" i="21" s="1"/>
  <c r="B55" i="21" a="1"/>
  <c r="B55" i="21" s="1"/>
  <c r="B54" i="21" a="1"/>
  <c r="B54" i="21" s="1"/>
  <c r="B53" i="21" a="1"/>
  <c r="B53" i="21" s="1"/>
  <c r="B52" i="21" a="1"/>
  <c r="B52" i="21" s="1"/>
  <c r="B51" i="21" a="1"/>
  <c r="B51" i="21" s="1"/>
  <c r="B50" i="21" a="1"/>
  <c r="B50" i="21" s="1"/>
  <c r="B49" i="21" a="1"/>
  <c r="B49" i="21" s="1"/>
  <c r="B48" i="21" a="1"/>
  <c r="B48" i="21" s="1"/>
  <c r="B47" i="21" a="1"/>
  <c r="B47" i="21" s="1"/>
  <c r="B46" i="21" a="1"/>
  <c r="B46" i="21" s="1"/>
  <c r="B45" i="21" a="1"/>
  <c r="B45" i="21" s="1"/>
  <c r="B44" i="21" a="1"/>
  <c r="B44" i="21" s="1"/>
  <c r="B43" i="21" a="1"/>
  <c r="B43" i="21" s="1"/>
  <c r="B42" i="21" a="1"/>
  <c r="B42" i="21" s="1"/>
  <c r="B41" i="21" a="1"/>
  <c r="B41" i="21" s="1"/>
  <c r="B40" i="21" a="1"/>
  <c r="B40" i="21" s="1"/>
  <c r="B39" i="21" a="1"/>
  <c r="B39" i="21" s="1"/>
  <c r="B38" i="21" a="1"/>
  <c r="B38" i="21" s="1"/>
  <c r="B37" i="21" a="1"/>
  <c r="B37" i="21" s="1"/>
  <c r="B36" i="21" a="1"/>
  <c r="B36" i="21" s="1"/>
  <c r="B35" i="21" a="1"/>
  <c r="B35" i="21" s="1"/>
  <c r="B34" i="21" a="1"/>
  <c r="B34" i="21" s="1"/>
  <c r="B33" i="21" a="1"/>
  <c r="B33" i="21" s="1"/>
  <c r="B32" i="21" a="1"/>
  <c r="B32" i="21" s="1"/>
  <c r="B31" i="21" a="1"/>
  <c r="B31" i="21" s="1"/>
  <c r="B30" i="21" a="1"/>
  <c r="B30" i="21" s="1"/>
  <c r="B29" i="21" a="1"/>
  <c r="B29" i="21" s="1"/>
  <c r="B28" i="21" a="1"/>
  <c r="B28" i="21" s="1"/>
  <c r="B27" i="21" a="1"/>
  <c r="B27" i="21" s="1"/>
  <c r="B26" i="21" a="1"/>
  <c r="B26" i="21" s="1"/>
  <c r="B25" i="21" a="1"/>
  <c r="B25" i="21" s="1"/>
  <c r="B24" i="21" a="1"/>
  <c r="B24" i="21" s="1"/>
  <c r="B23" i="21" a="1"/>
  <c r="B23" i="21" s="1"/>
  <c r="B22" i="21" a="1"/>
  <c r="B22" i="21" s="1"/>
  <c r="B21" i="21" a="1"/>
  <c r="B21" i="21" s="1"/>
  <c r="B20" i="21" a="1"/>
  <c r="B20" i="21" s="1"/>
  <c r="B19" i="21" a="1"/>
  <c r="B19" i="21" s="1"/>
  <c r="B18" i="21" a="1"/>
  <c r="B18" i="21" s="1"/>
  <c r="B17" i="21" a="1"/>
  <c r="B17" i="21" s="1"/>
  <c r="B16" i="21" a="1"/>
  <c r="B16" i="21" s="1"/>
  <c r="B15" i="21" a="1"/>
  <c r="B15" i="21" s="1"/>
  <c r="B14" i="21" a="1"/>
  <c r="B14" i="21" s="1"/>
  <c r="B13" i="21" a="1"/>
  <c r="B13" i="21" s="1"/>
  <c r="B12" i="21" a="1"/>
  <c r="B12" i="21" s="1"/>
  <c r="B11" i="21" a="1"/>
  <c r="B11" i="21" s="1"/>
  <c r="B10" i="21" a="1"/>
  <c r="B10" i="21" s="1"/>
  <c r="B9" i="21" a="1"/>
  <c r="B9" i="21" s="1"/>
  <c r="B8" i="21" a="1"/>
  <c r="B8" i="21" s="1"/>
  <c r="B7" i="21" a="1"/>
  <c r="B7" i="21" s="1"/>
  <c r="B6" i="21" a="1"/>
  <c r="B6" i="21" s="1"/>
  <c r="B5" i="21" a="1"/>
  <c r="B5" i="21" s="1"/>
  <c r="B4" i="21" a="1"/>
  <c r="B4" i="21" s="1"/>
  <c r="B3" i="21" a="1"/>
  <c r="B3" i="21" s="1"/>
  <c r="N78" i="20"/>
  <c r="N77" i="20"/>
  <c r="N76" i="20"/>
  <c r="N75" i="20"/>
  <c r="N74" i="20"/>
  <c r="N73" i="20"/>
  <c r="N72" i="20"/>
  <c r="N71" i="20"/>
  <c r="N70" i="20"/>
  <c r="N69" i="20"/>
  <c r="N68" i="20"/>
  <c r="N67" i="20"/>
  <c r="N66" i="20"/>
  <c r="N65" i="20"/>
  <c r="N64" i="20"/>
  <c r="N63" i="20"/>
  <c r="N62" i="20"/>
  <c r="N61" i="20"/>
  <c r="N60" i="20"/>
  <c r="N59" i="20"/>
  <c r="N58" i="20"/>
  <c r="N57" i="20"/>
  <c r="N56" i="20"/>
  <c r="N55" i="20"/>
  <c r="N54" i="20"/>
  <c r="N53" i="20"/>
  <c r="N52" i="20"/>
  <c r="N51" i="20"/>
  <c r="N50" i="20"/>
  <c r="N49" i="20"/>
  <c r="N48" i="20"/>
  <c r="N47" i="20"/>
  <c r="N46" i="20"/>
  <c r="N45" i="20"/>
  <c r="N44" i="20"/>
  <c r="N43" i="20"/>
  <c r="N42" i="20"/>
  <c r="N41" i="20"/>
  <c r="N40" i="20"/>
  <c r="N39" i="20"/>
  <c r="N38" i="20"/>
  <c r="N37" i="20"/>
  <c r="N36" i="20"/>
  <c r="N35" i="20"/>
  <c r="N34" i="20"/>
  <c r="N33" i="20"/>
  <c r="N32" i="20"/>
  <c r="N31" i="20"/>
  <c r="N30" i="20"/>
  <c r="N29" i="20"/>
  <c r="N28" i="20"/>
  <c r="N27" i="20"/>
  <c r="N26" i="20"/>
  <c r="N25" i="20"/>
  <c r="N24" i="20"/>
  <c r="N23" i="20"/>
  <c r="N22" i="20"/>
  <c r="N21" i="20"/>
  <c r="N20" i="20"/>
  <c r="N19" i="20"/>
  <c r="N18" i="20"/>
  <c r="N17" i="20"/>
  <c r="N16" i="20"/>
  <c r="N15" i="20"/>
  <c r="N14" i="20"/>
  <c r="N13" i="20"/>
  <c r="N12" i="20"/>
  <c r="N11" i="20"/>
  <c r="N10" i="20"/>
  <c r="N9" i="20"/>
  <c r="N8" i="20"/>
  <c r="N7" i="20"/>
  <c r="N6" i="20"/>
  <c r="N5" i="20"/>
  <c r="N4" i="20"/>
  <c r="N3" i="20"/>
  <c r="H153" i="20" a="1"/>
  <c r="H153" i="20" s="1"/>
  <c r="H152" i="20" a="1"/>
  <c r="H152" i="20" s="1"/>
  <c r="H151" i="20" a="1"/>
  <c r="H151" i="20" s="1"/>
  <c r="H150" i="20" a="1"/>
  <c r="H150" i="20" s="1"/>
  <c r="H149" i="20" a="1"/>
  <c r="H149" i="20" s="1"/>
  <c r="H148" i="20" a="1"/>
  <c r="H148" i="20" s="1"/>
  <c r="H147" i="20" a="1"/>
  <c r="H147" i="20" s="1"/>
  <c r="H146" i="20" a="1"/>
  <c r="H146" i="20" s="1"/>
  <c r="H145" i="20" a="1"/>
  <c r="H145" i="20" s="1"/>
  <c r="H144" i="20" a="1"/>
  <c r="H144" i="20" s="1"/>
  <c r="H143" i="20" a="1"/>
  <c r="H143" i="20" s="1"/>
  <c r="H142" i="20" a="1"/>
  <c r="H142" i="20" s="1"/>
  <c r="H141" i="20" a="1"/>
  <c r="H141" i="20" s="1"/>
  <c r="H140" i="20" a="1"/>
  <c r="H140" i="20" s="1"/>
  <c r="H139" i="20" a="1"/>
  <c r="H139" i="20" s="1"/>
  <c r="H138" i="20" a="1"/>
  <c r="H138" i="20" s="1"/>
  <c r="H137" i="20" a="1"/>
  <c r="H137" i="20" s="1"/>
  <c r="H136" i="20" a="1"/>
  <c r="H136" i="20" s="1"/>
  <c r="H135" i="20" a="1"/>
  <c r="H135" i="20" s="1"/>
  <c r="H134" i="20" a="1"/>
  <c r="H134" i="20" s="1"/>
  <c r="H133" i="20" a="1"/>
  <c r="H133" i="20" s="1"/>
  <c r="H132" i="20" a="1"/>
  <c r="H132" i="20" s="1"/>
  <c r="H131" i="20" a="1"/>
  <c r="H131" i="20" s="1"/>
  <c r="H130" i="20" a="1"/>
  <c r="H130" i="20" s="1"/>
  <c r="H129" i="20" a="1"/>
  <c r="H129" i="20" s="1"/>
  <c r="H128" i="20" a="1"/>
  <c r="H128" i="20" s="1"/>
  <c r="H127" i="20" a="1"/>
  <c r="H127" i="20" s="1"/>
  <c r="H126" i="20" a="1"/>
  <c r="H126" i="20" s="1"/>
  <c r="H125" i="20" a="1"/>
  <c r="H125" i="20" s="1"/>
  <c r="H124" i="20" a="1"/>
  <c r="H124" i="20" s="1"/>
  <c r="H123" i="20" a="1"/>
  <c r="H123" i="20" s="1"/>
  <c r="H122" i="20" a="1"/>
  <c r="H122" i="20" s="1"/>
  <c r="H121" i="20" a="1"/>
  <c r="H121" i="20" s="1"/>
  <c r="H120" i="20"/>
  <c r="H120" i="20" a="1"/>
  <c r="H119" i="20" a="1"/>
  <c r="H119" i="20" s="1"/>
  <c r="H118" i="20" a="1"/>
  <c r="H118" i="20" s="1"/>
  <c r="H117" i="20" a="1"/>
  <c r="H117" i="20" s="1"/>
  <c r="H116" i="20" a="1"/>
  <c r="H116" i="20" s="1"/>
  <c r="H115" i="20" a="1"/>
  <c r="H115" i="20" s="1"/>
  <c r="H114" i="20" a="1"/>
  <c r="H114" i="20" s="1"/>
  <c r="H113" i="20" a="1"/>
  <c r="H113" i="20" s="1"/>
  <c r="H112" i="20" a="1"/>
  <c r="H112" i="20" s="1"/>
  <c r="H111" i="20" a="1"/>
  <c r="H111" i="20" s="1"/>
  <c r="H110" i="20" a="1"/>
  <c r="H110" i="20" s="1"/>
  <c r="H109" i="20" a="1"/>
  <c r="H109" i="20" s="1"/>
  <c r="H108" i="20" a="1"/>
  <c r="H108" i="20" s="1"/>
  <c r="H107" i="20" a="1"/>
  <c r="H107" i="20" s="1"/>
  <c r="H106" i="20" a="1"/>
  <c r="H106" i="20" s="1"/>
  <c r="H105" i="20" a="1"/>
  <c r="H105" i="20" s="1"/>
  <c r="H104" i="20" a="1"/>
  <c r="H104" i="20" s="1"/>
  <c r="H103" i="20" a="1"/>
  <c r="H103" i="20" s="1"/>
  <c r="H102" i="20"/>
  <c r="H102" i="20" a="1"/>
  <c r="H101" i="20" a="1"/>
  <c r="H101" i="20" s="1"/>
  <c r="H100" i="20" a="1"/>
  <c r="H100" i="20" s="1"/>
  <c r="H99" i="20" a="1"/>
  <c r="H99" i="20" s="1"/>
  <c r="H98" i="20" a="1"/>
  <c r="H98" i="20" s="1"/>
  <c r="H97" i="20" a="1"/>
  <c r="H97" i="20" s="1"/>
  <c r="H96" i="20" a="1"/>
  <c r="H96" i="20" s="1"/>
  <c r="H95" i="20" a="1"/>
  <c r="H95" i="20" s="1"/>
  <c r="H94" i="20" a="1"/>
  <c r="H94" i="20" s="1"/>
  <c r="H93" i="20" a="1"/>
  <c r="H93" i="20" s="1"/>
  <c r="H92" i="20" a="1"/>
  <c r="H92" i="20" s="1"/>
  <c r="H91" i="20" a="1"/>
  <c r="H91" i="20" s="1"/>
  <c r="H90" i="20" a="1"/>
  <c r="H90" i="20" s="1"/>
  <c r="H89" i="20" a="1"/>
  <c r="H89" i="20" s="1"/>
  <c r="H88" i="20" a="1"/>
  <c r="H88" i="20" s="1"/>
  <c r="H87" i="20" a="1"/>
  <c r="H87" i="20" s="1"/>
  <c r="H86" i="20" a="1"/>
  <c r="H86" i="20" s="1"/>
  <c r="H85" i="20" a="1"/>
  <c r="H85" i="20" s="1"/>
  <c r="H84" i="20" a="1"/>
  <c r="H84" i="20" s="1"/>
  <c r="H83" i="20" a="1"/>
  <c r="H83" i="20" s="1"/>
  <c r="H82" i="20" a="1"/>
  <c r="H82" i="20" s="1"/>
  <c r="H81" i="20" a="1"/>
  <c r="H81" i="20" s="1"/>
  <c r="H80" i="20" a="1"/>
  <c r="H80" i="20" s="1"/>
  <c r="H79" i="20" a="1"/>
  <c r="H79" i="20" s="1"/>
  <c r="H78" i="20" a="1"/>
  <c r="H78" i="20" s="1"/>
  <c r="H77" i="20" a="1"/>
  <c r="H77" i="20" s="1"/>
  <c r="H76" i="20" a="1"/>
  <c r="H76" i="20" s="1"/>
  <c r="H75" i="20" a="1"/>
  <c r="H75" i="20" s="1"/>
  <c r="H74" i="20" a="1"/>
  <c r="H74" i="20" s="1"/>
  <c r="H73" i="20" a="1"/>
  <c r="H73" i="20" s="1"/>
  <c r="H72" i="20" a="1"/>
  <c r="H72" i="20" s="1"/>
  <c r="H71" i="20" a="1"/>
  <c r="H71" i="20" s="1"/>
  <c r="H70" i="20" a="1"/>
  <c r="H70" i="20" s="1"/>
  <c r="H69" i="20" a="1"/>
  <c r="H69" i="20" s="1"/>
  <c r="H68" i="20" a="1"/>
  <c r="H68" i="20" s="1"/>
  <c r="H67" i="20" a="1"/>
  <c r="H67" i="20" s="1"/>
  <c r="H66" i="20" a="1"/>
  <c r="H66" i="20" s="1"/>
  <c r="H65" i="20" a="1"/>
  <c r="H65" i="20" s="1"/>
  <c r="H64" i="20" a="1"/>
  <c r="H64" i="20" s="1"/>
  <c r="H63" i="20" a="1"/>
  <c r="H63" i="20" s="1"/>
  <c r="H62" i="20" a="1"/>
  <c r="H62" i="20" s="1"/>
  <c r="H61" i="20" a="1"/>
  <c r="H61" i="20" s="1"/>
  <c r="H60" i="20" a="1"/>
  <c r="H60" i="20" s="1"/>
  <c r="H59" i="20" a="1"/>
  <c r="H59" i="20" s="1"/>
  <c r="H58" i="20" a="1"/>
  <c r="H58" i="20" s="1"/>
  <c r="H57" i="20" a="1"/>
  <c r="H57" i="20" s="1"/>
  <c r="H56" i="20" a="1"/>
  <c r="H56" i="20" s="1"/>
  <c r="H55" i="20" a="1"/>
  <c r="H55" i="20" s="1"/>
  <c r="H54" i="20" a="1"/>
  <c r="H54" i="20" s="1"/>
  <c r="H53" i="20" a="1"/>
  <c r="H53" i="20" s="1"/>
  <c r="H52" i="20" a="1"/>
  <c r="H52" i="20" s="1"/>
  <c r="H51" i="20" a="1"/>
  <c r="H51" i="20" s="1"/>
  <c r="H50" i="20" a="1"/>
  <c r="H50" i="20" s="1"/>
  <c r="H49" i="20" a="1"/>
  <c r="H49" i="20" s="1"/>
  <c r="H48" i="20" a="1"/>
  <c r="H48" i="20" s="1"/>
  <c r="H47" i="20" a="1"/>
  <c r="H47" i="20" s="1"/>
  <c r="H46" i="20" a="1"/>
  <c r="H46" i="20" s="1"/>
  <c r="H45" i="20" a="1"/>
  <c r="H45" i="20" s="1"/>
  <c r="H44" i="20" a="1"/>
  <c r="H44" i="20" s="1"/>
  <c r="H43" i="20" a="1"/>
  <c r="H43" i="20" s="1"/>
  <c r="H42" i="20" a="1"/>
  <c r="H42" i="20" s="1"/>
  <c r="H41" i="20" a="1"/>
  <c r="H41" i="20" s="1"/>
  <c r="H40" i="20" a="1"/>
  <c r="H40" i="20" s="1"/>
  <c r="H39" i="20" a="1"/>
  <c r="H39" i="20" s="1"/>
  <c r="H38" i="20" a="1"/>
  <c r="H38" i="20" s="1"/>
  <c r="H37" i="20" a="1"/>
  <c r="H37" i="20" s="1"/>
  <c r="H36" i="20" a="1"/>
  <c r="H36" i="20" s="1"/>
  <c r="H35" i="20" a="1"/>
  <c r="H35" i="20" s="1"/>
  <c r="H34" i="20" a="1"/>
  <c r="H34" i="20" s="1"/>
  <c r="H33" i="20" a="1"/>
  <c r="H33" i="20" s="1"/>
  <c r="H32" i="20" a="1"/>
  <c r="H32" i="20" s="1"/>
  <c r="H31" i="20" a="1"/>
  <c r="H31" i="20" s="1"/>
  <c r="H30" i="20" a="1"/>
  <c r="H30" i="20" s="1"/>
  <c r="H29" i="20" a="1"/>
  <c r="H29" i="20" s="1"/>
  <c r="H28" i="20" a="1"/>
  <c r="H28" i="20" s="1"/>
  <c r="H27" i="20" a="1"/>
  <c r="H27" i="20" s="1"/>
  <c r="H26" i="20" a="1"/>
  <c r="H26" i="20" s="1"/>
  <c r="H25" i="20" a="1"/>
  <c r="H25" i="20" s="1"/>
  <c r="H24" i="20" a="1"/>
  <c r="H24" i="20" s="1"/>
  <c r="H23" i="20" a="1"/>
  <c r="H23" i="20" s="1"/>
  <c r="H22" i="20" a="1"/>
  <c r="H22" i="20" s="1"/>
  <c r="H21" i="20" a="1"/>
  <c r="H21" i="20" s="1"/>
  <c r="H20" i="20" a="1"/>
  <c r="H20" i="20" s="1"/>
  <c r="H19" i="20" a="1"/>
  <c r="H19" i="20" s="1"/>
  <c r="H18" i="20" a="1"/>
  <c r="H18" i="20" s="1"/>
  <c r="H17" i="20" a="1"/>
  <c r="H17" i="20" s="1"/>
  <c r="H16" i="20" a="1"/>
  <c r="H16" i="20" s="1"/>
  <c r="H15" i="20" a="1"/>
  <c r="H15" i="20" s="1"/>
  <c r="H14" i="20" a="1"/>
  <c r="H14" i="20" s="1"/>
  <c r="H13" i="20" a="1"/>
  <c r="H13" i="20" s="1"/>
  <c r="H12" i="20"/>
  <c r="H12" i="20" a="1"/>
  <c r="H11" i="20" a="1"/>
  <c r="H11" i="20" s="1"/>
  <c r="H10" i="20"/>
  <c r="H10" i="20" a="1"/>
  <c r="H9" i="20" a="1"/>
  <c r="H9" i="20" s="1"/>
  <c r="H8" i="20" a="1"/>
  <c r="H8" i="20" s="1"/>
  <c r="H7" i="20" a="1"/>
  <c r="H7" i="20" s="1"/>
  <c r="H6" i="20" a="1"/>
  <c r="H6" i="20" s="1"/>
  <c r="H5" i="20" a="1"/>
  <c r="H5" i="20" s="1"/>
  <c r="H4" i="20" a="1"/>
  <c r="H4" i="20" s="1"/>
  <c r="H3" i="20" a="1"/>
  <c r="H3" i="20" s="1"/>
  <c r="B78" i="20" a="1"/>
  <c r="B78" i="20" s="1"/>
  <c r="B77" i="20" a="1"/>
  <c r="B77" i="20" s="1"/>
  <c r="B76" i="20" a="1"/>
  <c r="B76" i="20" s="1"/>
  <c r="B75" i="20" a="1"/>
  <c r="B75" i="20" s="1"/>
  <c r="B74" i="20" a="1"/>
  <c r="B74" i="20" s="1"/>
  <c r="B73" i="20" a="1"/>
  <c r="B73" i="20" s="1"/>
  <c r="B72" i="20" a="1"/>
  <c r="B72" i="20" s="1"/>
  <c r="B71" i="20" a="1"/>
  <c r="B71" i="20" s="1"/>
  <c r="B70" i="20" a="1"/>
  <c r="B70" i="20" s="1"/>
  <c r="B69" i="20" a="1"/>
  <c r="B69" i="20" s="1"/>
  <c r="B68" i="20" a="1"/>
  <c r="B68" i="20" s="1"/>
  <c r="B67" i="20" a="1"/>
  <c r="B67" i="20" s="1"/>
  <c r="B66" i="20" a="1"/>
  <c r="B66" i="20" s="1"/>
  <c r="B65" i="20" a="1"/>
  <c r="B65" i="20" s="1"/>
  <c r="B64" i="20" a="1"/>
  <c r="B64" i="20" s="1"/>
  <c r="B63" i="20" a="1"/>
  <c r="B63" i="20" s="1"/>
  <c r="B62" i="20" a="1"/>
  <c r="B62" i="20" s="1"/>
  <c r="B61" i="20" a="1"/>
  <c r="B61" i="20" s="1"/>
  <c r="B60" i="20" a="1"/>
  <c r="B60" i="20" s="1"/>
  <c r="B59" i="20" a="1"/>
  <c r="B59" i="20" s="1"/>
  <c r="B58" i="20" a="1"/>
  <c r="B58" i="20" s="1"/>
  <c r="B57" i="20" a="1"/>
  <c r="B57" i="20" s="1"/>
  <c r="B56" i="20" a="1"/>
  <c r="B56" i="20" s="1"/>
  <c r="B55" i="20" a="1"/>
  <c r="B55" i="20" s="1"/>
  <c r="B54" i="20" a="1"/>
  <c r="B54" i="20" s="1"/>
  <c r="B53" i="20" a="1"/>
  <c r="B53" i="20" s="1"/>
  <c r="B52" i="20" a="1"/>
  <c r="B52" i="20" s="1"/>
  <c r="B51" i="20" a="1"/>
  <c r="B51" i="20" s="1"/>
  <c r="B50" i="20" a="1"/>
  <c r="B50" i="20" s="1"/>
  <c r="B49" i="20" a="1"/>
  <c r="B49" i="20" s="1"/>
  <c r="B48" i="20" a="1"/>
  <c r="B48" i="20" s="1"/>
  <c r="B47" i="20" a="1"/>
  <c r="B47" i="20" s="1"/>
  <c r="B46" i="20" a="1"/>
  <c r="B46" i="20" s="1"/>
  <c r="B45" i="20" a="1"/>
  <c r="B45" i="20" s="1"/>
  <c r="B44" i="20" a="1"/>
  <c r="B44" i="20" s="1"/>
  <c r="B43" i="20" a="1"/>
  <c r="B43" i="20" s="1"/>
  <c r="B42" i="20" a="1"/>
  <c r="B42" i="20" s="1"/>
  <c r="B41" i="20" a="1"/>
  <c r="B41" i="20" s="1"/>
  <c r="B40" i="20" a="1"/>
  <c r="B40" i="20" s="1"/>
  <c r="B39" i="20" a="1"/>
  <c r="B39" i="20" s="1"/>
  <c r="B38" i="20" a="1"/>
  <c r="B38" i="20" s="1"/>
  <c r="B37" i="20" a="1"/>
  <c r="B37" i="20" s="1"/>
  <c r="B36" i="20" a="1"/>
  <c r="B36" i="20" s="1"/>
  <c r="B35" i="20" a="1"/>
  <c r="B35" i="20" s="1"/>
  <c r="B34" i="20" a="1"/>
  <c r="B34" i="20" s="1"/>
  <c r="B33" i="20" a="1"/>
  <c r="B33" i="20" s="1"/>
  <c r="B32" i="20" a="1"/>
  <c r="B32" i="20" s="1"/>
  <c r="B31" i="20" a="1"/>
  <c r="B31" i="20" s="1"/>
  <c r="B30" i="20" a="1"/>
  <c r="B30" i="20" s="1"/>
  <c r="B29" i="20" a="1"/>
  <c r="B29" i="20" s="1"/>
  <c r="B28" i="20" a="1"/>
  <c r="B28" i="20" s="1"/>
  <c r="B27" i="20" a="1"/>
  <c r="B27" i="20" s="1"/>
  <c r="B26" i="20" a="1"/>
  <c r="B26" i="20" s="1"/>
  <c r="B25" i="20" a="1"/>
  <c r="B25" i="20" s="1"/>
  <c r="B24" i="20" a="1"/>
  <c r="B24" i="20" s="1"/>
  <c r="B23" i="20" a="1"/>
  <c r="B23" i="20" s="1"/>
  <c r="B22" i="20" a="1"/>
  <c r="B22" i="20" s="1"/>
  <c r="B21" i="20" a="1"/>
  <c r="B21" i="20" s="1"/>
  <c r="B20" i="20" a="1"/>
  <c r="B20" i="20" s="1"/>
  <c r="B19" i="20" a="1"/>
  <c r="B19" i="20" s="1"/>
  <c r="B18" i="20" a="1"/>
  <c r="B18" i="20" s="1"/>
  <c r="B17" i="20" a="1"/>
  <c r="B17" i="20" s="1"/>
  <c r="B16" i="20" a="1"/>
  <c r="B16" i="20" s="1"/>
  <c r="B15" i="20" a="1"/>
  <c r="B15" i="20" s="1"/>
  <c r="B14" i="20" a="1"/>
  <c r="B14" i="20" s="1"/>
  <c r="B13" i="20" a="1"/>
  <c r="B13" i="20" s="1"/>
  <c r="B12" i="20" a="1"/>
  <c r="B12" i="20" s="1"/>
  <c r="B11" i="20" a="1"/>
  <c r="B11" i="20" s="1"/>
  <c r="B10" i="20" a="1"/>
  <c r="B10" i="20" s="1"/>
  <c r="B9" i="20" a="1"/>
  <c r="B9" i="20" s="1"/>
  <c r="B8" i="20" a="1"/>
  <c r="B8" i="20" s="1"/>
  <c r="B7" i="20" a="1"/>
  <c r="B7" i="20" s="1"/>
  <c r="B6" i="20" a="1"/>
  <c r="B6" i="20" s="1"/>
  <c r="B5" i="20" a="1"/>
  <c r="B5" i="20" s="1"/>
  <c r="B4" i="20" a="1"/>
  <c r="B4" i="20" s="1"/>
  <c r="B3" i="20" a="1"/>
  <c r="B3" i="20" s="1"/>
  <c r="N78" i="19"/>
  <c r="N77" i="19"/>
  <c r="N76" i="19"/>
  <c r="N75" i="19"/>
  <c r="N74" i="19"/>
  <c r="N73" i="19"/>
  <c r="N72" i="19"/>
  <c r="N71" i="19"/>
  <c r="N70" i="19"/>
  <c r="N69" i="19"/>
  <c r="N68" i="19"/>
  <c r="N67" i="19"/>
  <c r="N66" i="19"/>
  <c r="N65" i="19"/>
  <c r="N64" i="19"/>
  <c r="N63" i="19"/>
  <c r="N62" i="19"/>
  <c r="N61" i="19"/>
  <c r="N60" i="19"/>
  <c r="N59" i="19"/>
  <c r="N58" i="19"/>
  <c r="N57" i="19"/>
  <c r="N56" i="19"/>
  <c r="N55" i="19"/>
  <c r="N54" i="19"/>
  <c r="N53" i="19"/>
  <c r="N52" i="19"/>
  <c r="N51" i="19"/>
  <c r="N50" i="19"/>
  <c r="N49" i="19"/>
  <c r="N48" i="19"/>
  <c r="N47" i="19"/>
  <c r="N46" i="19"/>
  <c r="N45" i="19"/>
  <c r="N44" i="19"/>
  <c r="N43" i="19"/>
  <c r="N42" i="19"/>
  <c r="N41" i="19"/>
  <c r="N40" i="19"/>
  <c r="N39" i="19"/>
  <c r="N38" i="19"/>
  <c r="N37" i="19"/>
  <c r="N36" i="19"/>
  <c r="N35" i="19"/>
  <c r="N34" i="19"/>
  <c r="N33" i="19"/>
  <c r="N32" i="19"/>
  <c r="N31" i="19"/>
  <c r="N30" i="19"/>
  <c r="N29" i="19"/>
  <c r="N28" i="19"/>
  <c r="N27" i="19"/>
  <c r="N26" i="19"/>
  <c r="N25" i="19"/>
  <c r="N24" i="19"/>
  <c r="N23" i="19"/>
  <c r="N22" i="19"/>
  <c r="N21" i="19"/>
  <c r="N20" i="19"/>
  <c r="N19" i="19"/>
  <c r="N18" i="19"/>
  <c r="N17" i="19"/>
  <c r="N16" i="19"/>
  <c r="N15" i="19"/>
  <c r="N14" i="19"/>
  <c r="N13" i="19"/>
  <c r="N12" i="19"/>
  <c r="N11" i="19"/>
  <c r="N10" i="19"/>
  <c r="N9" i="19"/>
  <c r="N8" i="19"/>
  <c r="N7" i="19"/>
  <c r="N6" i="19"/>
  <c r="N5" i="19"/>
  <c r="N4" i="19"/>
  <c r="N3" i="19"/>
  <c r="H153" i="19" a="1"/>
  <c r="H153" i="19" s="1"/>
  <c r="H152" i="19" a="1"/>
  <c r="H152" i="19" s="1"/>
  <c r="H151" i="19" a="1"/>
  <c r="H151" i="19" s="1"/>
  <c r="H150" i="19" a="1"/>
  <c r="H150" i="19" s="1"/>
  <c r="H149" i="19" a="1"/>
  <c r="H149" i="19" s="1"/>
  <c r="H148" i="19" a="1"/>
  <c r="H148" i="19" s="1"/>
  <c r="H147" i="19" a="1"/>
  <c r="H147" i="19" s="1"/>
  <c r="H146" i="19" a="1"/>
  <c r="H146" i="19" s="1"/>
  <c r="H145" i="19" a="1"/>
  <c r="H145" i="19" s="1"/>
  <c r="H144" i="19" a="1"/>
  <c r="H144" i="19" s="1"/>
  <c r="H143" i="19" a="1"/>
  <c r="H143" i="19" s="1"/>
  <c r="H142" i="19" a="1"/>
  <c r="H142" i="19" s="1"/>
  <c r="H141" i="19" a="1"/>
  <c r="H141" i="19" s="1"/>
  <c r="H140" i="19" a="1"/>
  <c r="H140" i="19" s="1"/>
  <c r="H139" i="19" a="1"/>
  <c r="H139" i="19" s="1"/>
  <c r="H138" i="19" a="1"/>
  <c r="H138" i="19" s="1"/>
  <c r="H137" i="19" a="1"/>
  <c r="H137" i="19" s="1"/>
  <c r="H136" i="19" a="1"/>
  <c r="H136" i="19" s="1"/>
  <c r="H135" i="19" a="1"/>
  <c r="H135" i="19" s="1"/>
  <c r="H134" i="19" a="1"/>
  <c r="H134" i="19" s="1"/>
  <c r="H133" i="19" a="1"/>
  <c r="H133" i="19" s="1"/>
  <c r="H132" i="19" a="1"/>
  <c r="H132" i="19" s="1"/>
  <c r="H131" i="19" a="1"/>
  <c r="H131" i="19" s="1"/>
  <c r="H130" i="19" a="1"/>
  <c r="H130" i="19" s="1"/>
  <c r="H129" i="19" a="1"/>
  <c r="H129" i="19" s="1"/>
  <c r="H128" i="19" a="1"/>
  <c r="H128" i="19" s="1"/>
  <c r="H127" i="19" a="1"/>
  <c r="H127" i="19" s="1"/>
  <c r="H126" i="19" a="1"/>
  <c r="H126" i="19" s="1"/>
  <c r="H125" i="19" a="1"/>
  <c r="H125" i="19" s="1"/>
  <c r="H124" i="19" a="1"/>
  <c r="H124" i="19" s="1"/>
  <c r="H123" i="19" a="1"/>
  <c r="H123" i="19" s="1"/>
  <c r="H122" i="19" a="1"/>
  <c r="H122" i="19" s="1"/>
  <c r="H121" i="19" a="1"/>
  <c r="H121" i="19" s="1"/>
  <c r="H120" i="19" a="1"/>
  <c r="H120" i="19" s="1"/>
  <c r="H119" i="19" a="1"/>
  <c r="H119" i="19" s="1"/>
  <c r="H118" i="19" a="1"/>
  <c r="H118" i="19" s="1"/>
  <c r="H117" i="19" a="1"/>
  <c r="H117" i="19" s="1"/>
  <c r="H116" i="19" a="1"/>
  <c r="H116" i="19" s="1"/>
  <c r="H115" i="19"/>
  <c r="H115" i="19" a="1"/>
  <c r="H114" i="19" a="1"/>
  <c r="H114" i="19" s="1"/>
  <c r="H113" i="19" a="1"/>
  <c r="H113" i="19" s="1"/>
  <c r="H112" i="19" a="1"/>
  <c r="H112" i="19" s="1"/>
  <c r="H111" i="19" a="1"/>
  <c r="H111" i="19" s="1"/>
  <c r="H110" i="19" a="1"/>
  <c r="H110" i="19" s="1"/>
  <c r="H109" i="19" a="1"/>
  <c r="H109" i="19" s="1"/>
  <c r="H108" i="19" a="1"/>
  <c r="H108" i="19" s="1"/>
  <c r="H107" i="19" a="1"/>
  <c r="H107" i="19" s="1"/>
  <c r="H106" i="19" a="1"/>
  <c r="H106" i="19" s="1"/>
  <c r="H105" i="19" a="1"/>
  <c r="H105" i="19" s="1"/>
  <c r="H104" i="19" a="1"/>
  <c r="H104" i="19" s="1"/>
  <c r="H103" i="19" a="1"/>
  <c r="H103" i="19" s="1"/>
  <c r="H102" i="19" a="1"/>
  <c r="H102" i="19" s="1"/>
  <c r="H101" i="19" a="1"/>
  <c r="H101" i="19" s="1"/>
  <c r="H100" i="19" a="1"/>
  <c r="H100" i="19" s="1"/>
  <c r="H99" i="19" a="1"/>
  <c r="H99" i="19" s="1"/>
  <c r="H98" i="19" a="1"/>
  <c r="H98" i="19" s="1"/>
  <c r="H97" i="19" a="1"/>
  <c r="H97" i="19" s="1"/>
  <c r="H96" i="19" a="1"/>
  <c r="H96" i="19" s="1"/>
  <c r="H95" i="19" a="1"/>
  <c r="H95" i="19" s="1"/>
  <c r="H94" i="19" a="1"/>
  <c r="H94" i="19" s="1"/>
  <c r="H93" i="19" a="1"/>
  <c r="H93" i="19" s="1"/>
  <c r="H92" i="19" a="1"/>
  <c r="H92" i="19" s="1"/>
  <c r="H91" i="19" a="1"/>
  <c r="H91" i="19" s="1"/>
  <c r="H90" i="19" a="1"/>
  <c r="H90" i="19" s="1"/>
  <c r="H89" i="19" a="1"/>
  <c r="H89" i="19" s="1"/>
  <c r="H88" i="19" a="1"/>
  <c r="H88" i="19" s="1"/>
  <c r="H87" i="19" a="1"/>
  <c r="H87" i="19" s="1"/>
  <c r="H86" i="19" a="1"/>
  <c r="H86" i="19" s="1"/>
  <c r="H85" i="19" a="1"/>
  <c r="H85" i="19" s="1"/>
  <c r="H84" i="19" a="1"/>
  <c r="H84" i="19" s="1"/>
  <c r="H83" i="19" a="1"/>
  <c r="H83" i="19" s="1"/>
  <c r="H82" i="19" a="1"/>
  <c r="H82" i="19" s="1"/>
  <c r="H81" i="19" a="1"/>
  <c r="H81" i="19" s="1"/>
  <c r="H80" i="19" a="1"/>
  <c r="H80" i="19" s="1"/>
  <c r="H79" i="19" a="1"/>
  <c r="H79" i="19" s="1"/>
  <c r="H78" i="19" a="1"/>
  <c r="H78" i="19" s="1"/>
  <c r="H77" i="19" a="1"/>
  <c r="H77" i="19" s="1"/>
  <c r="H76" i="19" a="1"/>
  <c r="H76" i="19" s="1"/>
  <c r="H75" i="19" a="1"/>
  <c r="H75" i="19" s="1"/>
  <c r="H74" i="19" a="1"/>
  <c r="H74" i="19" s="1"/>
  <c r="H73" i="19" a="1"/>
  <c r="H73" i="19" s="1"/>
  <c r="H72" i="19" a="1"/>
  <c r="H72" i="19" s="1"/>
  <c r="H71" i="19" a="1"/>
  <c r="H71" i="19" s="1"/>
  <c r="H70" i="19" a="1"/>
  <c r="H70" i="19" s="1"/>
  <c r="H69" i="19" a="1"/>
  <c r="H69" i="19" s="1"/>
  <c r="H68" i="19" a="1"/>
  <c r="H68" i="19" s="1"/>
  <c r="H67" i="19" a="1"/>
  <c r="H67" i="19" s="1"/>
  <c r="H66" i="19" a="1"/>
  <c r="H66" i="19" s="1"/>
  <c r="H65" i="19" a="1"/>
  <c r="H65" i="19" s="1"/>
  <c r="H64" i="19" a="1"/>
  <c r="H64" i="19" s="1"/>
  <c r="H63" i="19" a="1"/>
  <c r="H63" i="19" s="1"/>
  <c r="H62" i="19" a="1"/>
  <c r="H62" i="19" s="1"/>
  <c r="H61" i="19" a="1"/>
  <c r="H61" i="19" s="1"/>
  <c r="H60" i="19" a="1"/>
  <c r="H60" i="19" s="1"/>
  <c r="H59" i="19" a="1"/>
  <c r="H59" i="19" s="1"/>
  <c r="H58" i="19" a="1"/>
  <c r="H58" i="19" s="1"/>
  <c r="H57" i="19" a="1"/>
  <c r="H57" i="19" s="1"/>
  <c r="H56" i="19" a="1"/>
  <c r="H56" i="19" s="1"/>
  <c r="H55" i="19" a="1"/>
  <c r="H55" i="19" s="1"/>
  <c r="H54" i="19" a="1"/>
  <c r="H54" i="19" s="1"/>
  <c r="H53" i="19" a="1"/>
  <c r="H53" i="19" s="1"/>
  <c r="H52" i="19" a="1"/>
  <c r="H52" i="19" s="1"/>
  <c r="H51" i="19" a="1"/>
  <c r="H51" i="19" s="1"/>
  <c r="H50" i="19" a="1"/>
  <c r="H50" i="19" s="1"/>
  <c r="H49" i="19" a="1"/>
  <c r="H49" i="19" s="1"/>
  <c r="H48" i="19" a="1"/>
  <c r="H48" i="19" s="1"/>
  <c r="H47" i="19" a="1"/>
  <c r="H47" i="19" s="1"/>
  <c r="H46" i="19" a="1"/>
  <c r="H46" i="19" s="1"/>
  <c r="H45" i="19"/>
  <c r="H45" i="19" a="1"/>
  <c r="H44" i="19" a="1"/>
  <c r="H44" i="19" s="1"/>
  <c r="H43" i="19" a="1"/>
  <c r="H43" i="19" s="1"/>
  <c r="H42" i="19" a="1"/>
  <c r="H42" i="19" s="1"/>
  <c r="H41" i="19" a="1"/>
  <c r="H41" i="19" s="1"/>
  <c r="H40" i="19" a="1"/>
  <c r="H40" i="19" s="1"/>
  <c r="H39" i="19" a="1"/>
  <c r="H39" i="19" s="1"/>
  <c r="H38" i="19" a="1"/>
  <c r="H38" i="19" s="1"/>
  <c r="H37" i="19" a="1"/>
  <c r="H37" i="19" s="1"/>
  <c r="H36" i="19" a="1"/>
  <c r="H36" i="19" s="1"/>
  <c r="H35" i="19" a="1"/>
  <c r="H35" i="19" s="1"/>
  <c r="H34" i="19" a="1"/>
  <c r="H34" i="19" s="1"/>
  <c r="H33" i="19" a="1"/>
  <c r="H33" i="19" s="1"/>
  <c r="H32" i="19" a="1"/>
  <c r="H32" i="19" s="1"/>
  <c r="H31" i="19" a="1"/>
  <c r="H31" i="19" s="1"/>
  <c r="H30" i="19" a="1"/>
  <c r="H30" i="19" s="1"/>
  <c r="H29" i="19" a="1"/>
  <c r="H29" i="19" s="1"/>
  <c r="H28" i="19" a="1"/>
  <c r="H28" i="19" s="1"/>
  <c r="H27" i="19" a="1"/>
  <c r="H27" i="19" s="1"/>
  <c r="H26" i="19" a="1"/>
  <c r="H26" i="19" s="1"/>
  <c r="H25" i="19" a="1"/>
  <c r="H25" i="19" s="1"/>
  <c r="H24" i="19" a="1"/>
  <c r="H24" i="19" s="1"/>
  <c r="H23" i="19" a="1"/>
  <c r="H23" i="19" s="1"/>
  <c r="H22" i="19" a="1"/>
  <c r="H22" i="19" s="1"/>
  <c r="H21" i="19" a="1"/>
  <c r="H21" i="19" s="1"/>
  <c r="H20" i="19" a="1"/>
  <c r="H20" i="19" s="1"/>
  <c r="H19" i="19" a="1"/>
  <c r="H19" i="19" s="1"/>
  <c r="H18" i="19" a="1"/>
  <c r="H18" i="19" s="1"/>
  <c r="H17" i="19" a="1"/>
  <c r="H17" i="19" s="1"/>
  <c r="H16" i="19" a="1"/>
  <c r="H16" i="19" s="1"/>
  <c r="H15" i="19" a="1"/>
  <c r="H15" i="19" s="1"/>
  <c r="H14" i="19" a="1"/>
  <c r="H14" i="19" s="1"/>
  <c r="H13" i="19" a="1"/>
  <c r="H13" i="19" s="1"/>
  <c r="H12" i="19" a="1"/>
  <c r="H12" i="19" s="1"/>
  <c r="H11" i="19" a="1"/>
  <c r="H11" i="19" s="1"/>
  <c r="H10" i="19" a="1"/>
  <c r="H10" i="19" s="1"/>
  <c r="H9" i="19" a="1"/>
  <c r="H9" i="19" s="1"/>
  <c r="H8" i="19" a="1"/>
  <c r="H8" i="19" s="1"/>
  <c r="H7" i="19" a="1"/>
  <c r="H7" i="19" s="1"/>
  <c r="H6" i="19" a="1"/>
  <c r="H6" i="19" s="1"/>
  <c r="H5" i="19" a="1"/>
  <c r="H5" i="19" s="1"/>
  <c r="H4" i="19" a="1"/>
  <c r="H4" i="19" s="1"/>
  <c r="H3" i="19" a="1"/>
  <c r="H3" i="19" s="1"/>
  <c r="B78" i="19" a="1"/>
  <c r="B78" i="19" s="1"/>
  <c r="B77" i="19" a="1"/>
  <c r="B77" i="19" s="1"/>
  <c r="B76" i="19" a="1"/>
  <c r="B76" i="19" s="1"/>
  <c r="B75" i="19" a="1"/>
  <c r="B75" i="19" s="1"/>
  <c r="B74" i="19" a="1"/>
  <c r="B74" i="19" s="1"/>
  <c r="B73" i="19" a="1"/>
  <c r="B73" i="19" s="1"/>
  <c r="B72" i="19" a="1"/>
  <c r="B72" i="19" s="1"/>
  <c r="B71" i="19" a="1"/>
  <c r="B71" i="19" s="1"/>
  <c r="B70" i="19" a="1"/>
  <c r="B70" i="19" s="1"/>
  <c r="B69" i="19" a="1"/>
  <c r="B69" i="19" s="1"/>
  <c r="B68" i="19" a="1"/>
  <c r="B68" i="19" s="1"/>
  <c r="B67" i="19" a="1"/>
  <c r="B67" i="19" s="1"/>
  <c r="B66" i="19" a="1"/>
  <c r="B66" i="19" s="1"/>
  <c r="B65" i="19" a="1"/>
  <c r="B65" i="19" s="1"/>
  <c r="B64" i="19" a="1"/>
  <c r="B64" i="19" s="1"/>
  <c r="B63" i="19" a="1"/>
  <c r="B63" i="19" s="1"/>
  <c r="B62" i="19" a="1"/>
  <c r="B62" i="19" s="1"/>
  <c r="B61" i="19" a="1"/>
  <c r="B61" i="19" s="1"/>
  <c r="B60" i="19" a="1"/>
  <c r="B60" i="19" s="1"/>
  <c r="B59" i="19" a="1"/>
  <c r="B59" i="19" s="1"/>
  <c r="B58" i="19" a="1"/>
  <c r="B58" i="19" s="1"/>
  <c r="B57" i="19" a="1"/>
  <c r="B57" i="19" s="1"/>
  <c r="B56" i="19" a="1"/>
  <c r="B56" i="19" s="1"/>
  <c r="B55" i="19" a="1"/>
  <c r="B55" i="19" s="1"/>
  <c r="B54" i="19" a="1"/>
  <c r="B54" i="19" s="1"/>
  <c r="B53" i="19" a="1"/>
  <c r="B53" i="19" s="1"/>
  <c r="B52" i="19" a="1"/>
  <c r="B52" i="19" s="1"/>
  <c r="B51" i="19" a="1"/>
  <c r="B51" i="19" s="1"/>
  <c r="B50" i="19" a="1"/>
  <c r="B50" i="19" s="1"/>
  <c r="B49" i="19" a="1"/>
  <c r="B49" i="19" s="1"/>
  <c r="B48" i="19" a="1"/>
  <c r="B48" i="19" s="1"/>
  <c r="B47" i="19" a="1"/>
  <c r="B47" i="19" s="1"/>
  <c r="B46" i="19" a="1"/>
  <c r="B46" i="19" s="1"/>
  <c r="B45" i="19" a="1"/>
  <c r="B45" i="19" s="1"/>
  <c r="B44" i="19" a="1"/>
  <c r="B44" i="19" s="1"/>
  <c r="B43" i="19" a="1"/>
  <c r="B43" i="19" s="1"/>
  <c r="B42" i="19" a="1"/>
  <c r="B42" i="19" s="1"/>
  <c r="B41" i="19" a="1"/>
  <c r="B41" i="19" s="1"/>
  <c r="B40" i="19" a="1"/>
  <c r="B40" i="19" s="1"/>
  <c r="B39" i="19" a="1"/>
  <c r="B39" i="19" s="1"/>
  <c r="B38" i="19" a="1"/>
  <c r="B38" i="19" s="1"/>
  <c r="B37" i="19" a="1"/>
  <c r="B37" i="19" s="1"/>
  <c r="B36" i="19" a="1"/>
  <c r="B36" i="19" s="1"/>
  <c r="B35" i="19" a="1"/>
  <c r="B35" i="19" s="1"/>
  <c r="B34" i="19" a="1"/>
  <c r="B34" i="19" s="1"/>
  <c r="B33" i="19" a="1"/>
  <c r="B33" i="19" s="1"/>
  <c r="B32" i="19" a="1"/>
  <c r="B32" i="19" s="1"/>
  <c r="B31" i="19" a="1"/>
  <c r="B31" i="19" s="1"/>
  <c r="B30" i="19" a="1"/>
  <c r="B30" i="19" s="1"/>
  <c r="B29" i="19" a="1"/>
  <c r="B29" i="19" s="1"/>
  <c r="B28" i="19" a="1"/>
  <c r="B28" i="19" s="1"/>
  <c r="B27" i="19" a="1"/>
  <c r="B27" i="19" s="1"/>
  <c r="B26" i="19" a="1"/>
  <c r="B26" i="19" s="1"/>
  <c r="B25" i="19" a="1"/>
  <c r="B25" i="19" s="1"/>
  <c r="B24" i="19" a="1"/>
  <c r="B24" i="19" s="1"/>
  <c r="B23" i="19" a="1"/>
  <c r="B23" i="19" s="1"/>
  <c r="B22" i="19" a="1"/>
  <c r="B22" i="19" s="1"/>
  <c r="B21" i="19" a="1"/>
  <c r="B21" i="19" s="1"/>
  <c r="B20" i="19"/>
  <c r="B20" i="19" a="1"/>
  <c r="B19" i="19" a="1"/>
  <c r="B19" i="19" s="1"/>
  <c r="B18" i="19" a="1"/>
  <c r="B18" i="19" s="1"/>
  <c r="B17" i="19" a="1"/>
  <c r="B17" i="19" s="1"/>
  <c r="B16" i="19" a="1"/>
  <c r="B16" i="19" s="1"/>
  <c r="B15" i="19" a="1"/>
  <c r="B15" i="19" s="1"/>
  <c r="B14" i="19" a="1"/>
  <c r="B14" i="19" s="1"/>
  <c r="B13" i="19" a="1"/>
  <c r="B13" i="19" s="1"/>
  <c r="B12" i="19" a="1"/>
  <c r="B12" i="19" s="1"/>
  <c r="B11" i="19" a="1"/>
  <c r="B11" i="19" s="1"/>
  <c r="B10" i="19" a="1"/>
  <c r="B10" i="19" s="1"/>
  <c r="B9" i="19" a="1"/>
  <c r="B9" i="19" s="1"/>
  <c r="B8" i="19" a="1"/>
  <c r="B8" i="19" s="1"/>
  <c r="B7" i="19" a="1"/>
  <c r="B7" i="19" s="1"/>
  <c r="B6" i="19" a="1"/>
  <c r="B6" i="19" s="1"/>
  <c r="B5" i="19" a="1"/>
  <c r="B5" i="19" s="1"/>
  <c r="B4" i="19" a="1"/>
  <c r="B4" i="19" s="1"/>
  <c r="B3" i="19" a="1"/>
  <c r="B3" i="19" s="1"/>
  <c r="N78" i="18"/>
  <c r="N77" i="18"/>
  <c r="N76" i="18"/>
  <c r="N75" i="18"/>
  <c r="N74" i="18"/>
  <c r="N73" i="18"/>
  <c r="N72" i="18"/>
  <c r="N71" i="18"/>
  <c r="N70" i="18"/>
  <c r="N69" i="18"/>
  <c r="N68" i="18"/>
  <c r="N67" i="18"/>
  <c r="N66" i="18"/>
  <c r="N65" i="18"/>
  <c r="N64" i="18"/>
  <c r="N63" i="18"/>
  <c r="N62" i="18"/>
  <c r="N61" i="18"/>
  <c r="N60" i="18"/>
  <c r="N59" i="18"/>
  <c r="N58" i="18"/>
  <c r="N57" i="18"/>
  <c r="N56" i="18"/>
  <c r="N55" i="18"/>
  <c r="N54" i="18"/>
  <c r="N53" i="18"/>
  <c r="N52" i="18"/>
  <c r="N51" i="18"/>
  <c r="N50" i="18"/>
  <c r="N49" i="18"/>
  <c r="N48" i="18"/>
  <c r="N47" i="18"/>
  <c r="N46" i="18"/>
  <c r="N45" i="18"/>
  <c r="N44" i="18"/>
  <c r="N43" i="18"/>
  <c r="N42" i="18"/>
  <c r="N41" i="18"/>
  <c r="N40" i="18"/>
  <c r="N39" i="18"/>
  <c r="N38" i="18"/>
  <c r="N37" i="18"/>
  <c r="N36" i="18"/>
  <c r="N35" i="18"/>
  <c r="N34" i="18"/>
  <c r="N33" i="18"/>
  <c r="N32" i="18"/>
  <c r="N31" i="18"/>
  <c r="N30" i="18"/>
  <c r="N29" i="18"/>
  <c r="N28" i="18"/>
  <c r="N27" i="18"/>
  <c r="N26" i="18"/>
  <c r="N25" i="18"/>
  <c r="N24" i="18"/>
  <c r="N23" i="18"/>
  <c r="N22" i="18"/>
  <c r="N21" i="18"/>
  <c r="N20" i="18"/>
  <c r="N19" i="18"/>
  <c r="N18" i="18"/>
  <c r="N17" i="18"/>
  <c r="N16" i="18"/>
  <c r="N15" i="18"/>
  <c r="N14" i="18"/>
  <c r="N13" i="18"/>
  <c r="N12" i="18"/>
  <c r="N11" i="18"/>
  <c r="N10" i="18"/>
  <c r="N9" i="18"/>
  <c r="N8" i="18"/>
  <c r="N7" i="18"/>
  <c r="N6" i="18"/>
  <c r="N5" i="18"/>
  <c r="N4" i="18"/>
  <c r="N3" i="18"/>
  <c r="H153" i="18" a="1"/>
  <c r="H153" i="18" s="1"/>
  <c r="H152" i="18" a="1"/>
  <c r="H152" i="18" s="1"/>
  <c r="H151" i="18"/>
  <c r="H151" i="18" a="1"/>
  <c r="H150" i="18" a="1"/>
  <c r="H150" i="18" s="1"/>
  <c r="H149" i="18" a="1"/>
  <c r="H149" i="18" s="1"/>
  <c r="H148" i="18" a="1"/>
  <c r="H148" i="18" s="1"/>
  <c r="H147" i="18" a="1"/>
  <c r="H147" i="18" s="1"/>
  <c r="H146" i="18" a="1"/>
  <c r="H146" i="18" s="1"/>
  <c r="H145" i="18"/>
  <c r="H145" i="18" a="1"/>
  <c r="H144" i="18" a="1"/>
  <c r="H144" i="18" s="1"/>
  <c r="H143" i="18" a="1"/>
  <c r="H143" i="18" s="1"/>
  <c r="H142" i="18" a="1"/>
  <c r="H142" i="18" s="1"/>
  <c r="H141" i="18" a="1"/>
  <c r="H141" i="18" s="1"/>
  <c r="H140" i="18" a="1"/>
  <c r="H140" i="18" s="1"/>
  <c r="H139" i="18" a="1"/>
  <c r="H139" i="18" s="1"/>
  <c r="H138" i="18" a="1"/>
  <c r="H138" i="18" s="1"/>
  <c r="H137" i="18" a="1"/>
  <c r="H137" i="18" s="1"/>
  <c r="H136" i="18" a="1"/>
  <c r="H136" i="18" s="1"/>
  <c r="H135" i="18" a="1"/>
  <c r="H135" i="18" s="1"/>
  <c r="H134" i="18" a="1"/>
  <c r="H134" i="18" s="1"/>
  <c r="H133" i="18" a="1"/>
  <c r="H133" i="18" s="1"/>
  <c r="H132" i="18" a="1"/>
  <c r="H132" i="18" s="1"/>
  <c r="H131" i="18" a="1"/>
  <c r="H131" i="18" s="1"/>
  <c r="H130" i="18" a="1"/>
  <c r="H130" i="18" s="1"/>
  <c r="H129" i="18" a="1"/>
  <c r="H129" i="18" s="1"/>
  <c r="H128" i="18"/>
  <c r="H128" i="18" a="1"/>
  <c r="H127" i="18" a="1"/>
  <c r="H127" i="18" s="1"/>
  <c r="H126" i="18" a="1"/>
  <c r="H126" i="18" s="1"/>
  <c r="H125" i="18" a="1"/>
  <c r="H125" i="18" s="1"/>
  <c r="H124" i="18" a="1"/>
  <c r="H124" i="18" s="1"/>
  <c r="H123" i="18" a="1"/>
  <c r="H123" i="18" s="1"/>
  <c r="H122" i="18" a="1"/>
  <c r="H122" i="18" s="1"/>
  <c r="H121" i="18" a="1"/>
  <c r="H121" i="18" s="1"/>
  <c r="H120" i="18" a="1"/>
  <c r="H120" i="18" s="1"/>
  <c r="H119" i="18" a="1"/>
  <c r="H119" i="18" s="1"/>
  <c r="H118" i="18" a="1"/>
  <c r="H118" i="18" s="1"/>
  <c r="H117" i="18" a="1"/>
  <c r="H117" i="18" s="1"/>
  <c r="H116" i="18" a="1"/>
  <c r="H116" i="18" s="1"/>
  <c r="H115" i="18" a="1"/>
  <c r="H115" i="18" s="1"/>
  <c r="H114" i="18" a="1"/>
  <c r="H114" i="18" s="1"/>
  <c r="H113" i="18" a="1"/>
  <c r="H113" i="18" s="1"/>
  <c r="H112" i="18" a="1"/>
  <c r="H112" i="18" s="1"/>
  <c r="H111" i="18" a="1"/>
  <c r="H111" i="18" s="1"/>
  <c r="H110" i="18" a="1"/>
  <c r="H110" i="18" s="1"/>
  <c r="H109" i="18" a="1"/>
  <c r="H109" i="18" s="1"/>
  <c r="H108" i="18" a="1"/>
  <c r="H108" i="18" s="1"/>
  <c r="H107" i="18"/>
  <c r="H107" i="18" a="1"/>
  <c r="H106" i="18" a="1"/>
  <c r="H106" i="18" s="1"/>
  <c r="H105" i="18" a="1"/>
  <c r="H105" i="18" s="1"/>
  <c r="H104" i="18" a="1"/>
  <c r="H104" i="18" s="1"/>
  <c r="H103" i="18" a="1"/>
  <c r="H103" i="18" s="1"/>
  <c r="H102" i="18" a="1"/>
  <c r="H102" i="18" s="1"/>
  <c r="H101" i="18" a="1"/>
  <c r="H101" i="18" s="1"/>
  <c r="H100" i="18" a="1"/>
  <c r="H100" i="18" s="1"/>
  <c r="H99" i="18" a="1"/>
  <c r="H99" i="18" s="1"/>
  <c r="H98" i="18" a="1"/>
  <c r="H98" i="18" s="1"/>
  <c r="H97" i="18" a="1"/>
  <c r="H97" i="18" s="1"/>
  <c r="H96" i="18" a="1"/>
  <c r="H96" i="18" s="1"/>
  <c r="H95" i="18" a="1"/>
  <c r="H95" i="18" s="1"/>
  <c r="H94" i="18" a="1"/>
  <c r="H94" i="18" s="1"/>
  <c r="H93" i="18" a="1"/>
  <c r="H93" i="18" s="1"/>
  <c r="H92" i="18" a="1"/>
  <c r="H92" i="18" s="1"/>
  <c r="H91" i="18" a="1"/>
  <c r="H91" i="18" s="1"/>
  <c r="H90" i="18" a="1"/>
  <c r="H90" i="18" s="1"/>
  <c r="H89" i="18" a="1"/>
  <c r="H89" i="18" s="1"/>
  <c r="H88" i="18" a="1"/>
  <c r="H88" i="18" s="1"/>
  <c r="H87" i="18" a="1"/>
  <c r="H87" i="18" s="1"/>
  <c r="H86" i="18" a="1"/>
  <c r="H86" i="18" s="1"/>
  <c r="H85" i="18"/>
  <c r="H85" i="18" a="1"/>
  <c r="H84" i="18" a="1"/>
  <c r="H84" i="18" s="1"/>
  <c r="H83" i="18" a="1"/>
  <c r="H83" i="18" s="1"/>
  <c r="H82" i="18" a="1"/>
  <c r="H82" i="18" s="1"/>
  <c r="H81" i="18" a="1"/>
  <c r="H81" i="18" s="1"/>
  <c r="H80" i="18" a="1"/>
  <c r="H80" i="18" s="1"/>
  <c r="H79" i="18" a="1"/>
  <c r="H79" i="18" s="1"/>
  <c r="H78" i="18" a="1"/>
  <c r="H78" i="18" s="1"/>
  <c r="H77" i="18" a="1"/>
  <c r="H77" i="18" s="1"/>
  <c r="H76" i="18" a="1"/>
  <c r="H76" i="18" s="1"/>
  <c r="H75" i="18" a="1"/>
  <c r="H75" i="18" s="1"/>
  <c r="H74" i="18" a="1"/>
  <c r="H74" i="18" s="1"/>
  <c r="H73" i="18" a="1"/>
  <c r="H73" i="18" s="1"/>
  <c r="H72" i="18" a="1"/>
  <c r="H72" i="18" s="1"/>
  <c r="H71" i="18" a="1"/>
  <c r="H71" i="18" s="1"/>
  <c r="H70" i="18" a="1"/>
  <c r="H70" i="18" s="1"/>
  <c r="H69" i="18" a="1"/>
  <c r="H69" i="18" s="1"/>
  <c r="H68" i="18" a="1"/>
  <c r="H68" i="18" s="1"/>
  <c r="H67" i="18"/>
  <c r="H67" i="18" a="1"/>
  <c r="H66" i="18" a="1"/>
  <c r="H66" i="18" s="1"/>
  <c r="H65" i="18" a="1"/>
  <c r="H65" i="18" s="1"/>
  <c r="H64" i="18" a="1"/>
  <c r="H64" i="18" s="1"/>
  <c r="H63" i="18" a="1"/>
  <c r="H63" i="18" s="1"/>
  <c r="H62" i="18" a="1"/>
  <c r="H62" i="18" s="1"/>
  <c r="H61" i="18"/>
  <c r="H61" i="18" a="1"/>
  <c r="H60" i="18" a="1"/>
  <c r="H60" i="18" s="1"/>
  <c r="H59" i="18" a="1"/>
  <c r="H59" i="18" s="1"/>
  <c r="H58" i="18" a="1"/>
  <c r="H58" i="18" s="1"/>
  <c r="H57" i="18" a="1"/>
  <c r="H57" i="18" s="1"/>
  <c r="H56" i="18" a="1"/>
  <c r="H56" i="18" s="1"/>
  <c r="H55" i="18" a="1"/>
  <c r="H55" i="18" s="1"/>
  <c r="H54" i="18" a="1"/>
  <c r="H54" i="18" s="1"/>
  <c r="H53" i="18" a="1"/>
  <c r="H53" i="18" s="1"/>
  <c r="H52" i="18" a="1"/>
  <c r="H52" i="18" s="1"/>
  <c r="H51" i="18" a="1"/>
  <c r="H51" i="18" s="1"/>
  <c r="H50" i="18" a="1"/>
  <c r="H50" i="18" s="1"/>
  <c r="H49" i="18" a="1"/>
  <c r="H49" i="18" s="1"/>
  <c r="H48" i="18" a="1"/>
  <c r="H48" i="18" s="1"/>
  <c r="H47" i="18" a="1"/>
  <c r="H47" i="18" s="1"/>
  <c r="H46" i="18" a="1"/>
  <c r="H46" i="18" s="1"/>
  <c r="H45" i="18" a="1"/>
  <c r="H45" i="18" s="1"/>
  <c r="H44" i="18" a="1"/>
  <c r="H44" i="18" s="1"/>
  <c r="H43" i="18" a="1"/>
  <c r="H43" i="18" s="1"/>
  <c r="H42" i="18" a="1"/>
  <c r="H42" i="18" s="1"/>
  <c r="H41" i="18" a="1"/>
  <c r="H41" i="18" s="1"/>
  <c r="H40" i="18" a="1"/>
  <c r="H40" i="18" s="1"/>
  <c r="H39" i="18" a="1"/>
  <c r="H39" i="18" s="1"/>
  <c r="H38" i="18" a="1"/>
  <c r="H38" i="18" s="1"/>
  <c r="H37" i="18" a="1"/>
  <c r="H37" i="18" s="1"/>
  <c r="H36" i="18" a="1"/>
  <c r="H36" i="18" s="1"/>
  <c r="H35" i="18" a="1"/>
  <c r="H35" i="18" s="1"/>
  <c r="H34" i="18" a="1"/>
  <c r="H34" i="18" s="1"/>
  <c r="H33" i="18" a="1"/>
  <c r="H33" i="18" s="1"/>
  <c r="H32" i="18" a="1"/>
  <c r="H32" i="18" s="1"/>
  <c r="H31" i="18" a="1"/>
  <c r="H31" i="18" s="1"/>
  <c r="H30" i="18" a="1"/>
  <c r="H30" i="18" s="1"/>
  <c r="H29" i="18" a="1"/>
  <c r="H29" i="18" s="1"/>
  <c r="H28" i="18" a="1"/>
  <c r="H28" i="18" s="1"/>
  <c r="H27" i="18" a="1"/>
  <c r="H27" i="18" s="1"/>
  <c r="H26" i="18" a="1"/>
  <c r="H26" i="18" s="1"/>
  <c r="H25" i="18" a="1"/>
  <c r="H25" i="18" s="1"/>
  <c r="H24" i="18" a="1"/>
  <c r="H24" i="18" s="1"/>
  <c r="H23" i="18" a="1"/>
  <c r="H23" i="18" s="1"/>
  <c r="H22" i="18" a="1"/>
  <c r="H22" i="18" s="1"/>
  <c r="H21" i="18" a="1"/>
  <c r="H21" i="18" s="1"/>
  <c r="H20" i="18" a="1"/>
  <c r="H20" i="18" s="1"/>
  <c r="H19" i="18" a="1"/>
  <c r="H19" i="18" s="1"/>
  <c r="H18" i="18" a="1"/>
  <c r="H18" i="18" s="1"/>
  <c r="H17" i="18" a="1"/>
  <c r="H17" i="18" s="1"/>
  <c r="H16" i="18" a="1"/>
  <c r="H16" i="18" s="1"/>
  <c r="H15" i="18" a="1"/>
  <c r="H15" i="18" s="1"/>
  <c r="H14" i="18" a="1"/>
  <c r="H14" i="18" s="1"/>
  <c r="H13" i="18" a="1"/>
  <c r="H13" i="18" s="1"/>
  <c r="H12" i="18" a="1"/>
  <c r="H12" i="18" s="1"/>
  <c r="H11" i="18" a="1"/>
  <c r="H11" i="18" s="1"/>
  <c r="H10" i="18" a="1"/>
  <c r="H10" i="18" s="1"/>
  <c r="H9" i="18" a="1"/>
  <c r="H9" i="18" s="1"/>
  <c r="H8" i="18" a="1"/>
  <c r="H8" i="18" s="1"/>
  <c r="H7" i="18" a="1"/>
  <c r="H7" i="18" s="1"/>
  <c r="H6" i="18" a="1"/>
  <c r="H6" i="18" s="1"/>
  <c r="H5" i="18" a="1"/>
  <c r="H5" i="18" s="1"/>
  <c r="H4" i="18" a="1"/>
  <c r="H4" i="18" s="1"/>
  <c r="H3" i="18" a="1"/>
  <c r="H3" i="18" s="1"/>
  <c r="B78" i="18" a="1"/>
  <c r="B78" i="18" s="1"/>
  <c r="B77" i="18" a="1"/>
  <c r="B77" i="18" s="1"/>
  <c r="B76" i="18" a="1"/>
  <c r="B76" i="18" s="1"/>
  <c r="B75" i="18" a="1"/>
  <c r="B75" i="18" s="1"/>
  <c r="B74" i="18" a="1"/>
  <c r="B74" i="18" s="1"/>
  <c r="B73" i="18" a="1"/>
  <c r="B73" i="18" s="1"/>
  <c r="B72" i="18" a="1"/>
  <c r="B72" i="18" s="1"/>
  <c r="B71" i="18" a="1"/>
  <c r="B71" i="18" s="1"/>
  <c r="B70" i="18" a="1"/>
  <c r="B70" i="18" s="1"/>
  <c r="B69" i="18" a="1"/>
  <c r="B69" i="18" s="1"/>
  <c r="B68" i="18" a="1"/>
  <c r="B68" i="18" s="1"/>
  <c r="B67" i="18" a="1"/>
  <c r="B67" i="18" s="1"/>
  <c r="B66" i="18" a="1"/>
  <c r="B66" i="18" s="1"/>
  <c r="B65" i="18" a="1"/>
  <c r="B65" i="18" s="1"/>
  <c r="B64" i="18" a="1"/>
  <c r="B64" i="18" s="1"/>
  <c r="B63" i="18" a="1"/>
  <c r="B63" i="18" s="1"/>
  <c r="B62" i="18" a="1"/>
  <c r="B62" i="18" s="1"/>
  <c r="B61" i="18" a="1"/>
  <c r="B61" i="18" s="1"/>
  <c r="B60" i="18" a="1"/>
  <c r="B60" i="18" s="1"/>
  <c r="B59" i="18" a="1"/>
  <c r="B59" i="18" s="1"/>
  <c r="B58" i="18" a="1"/>
  <c r="B58" i="18" s="1"/>
  <c r="B57" i="18" a="1"/>
  <c r="B57" i="18" s="1"/>
  <c r="B56" i="18" a="1"/>
  <c r="B56" i="18" s="1"/>
  <c r="B55" i="18" a="1"/>
  <c r="B55" i="18" s="1"/>
  <c r="B54" i="18" a="1"/>
  <c r="B54" i="18" s="1"/>
  <c r="B53" i="18" a="1"/>
  <c r="B53" i="18" s="1"/>
  <c r="B52" i="18" a="1"/>
  <c r="B52" i="18" s="1"/>
  <c r="B51" i="18" a="1"/>
  <c r="B51" i="18" s="1"/>
  <c r="B50" i="18" a="1"/>
  <c r="B50" i="18" s="1"/>
  <c r="B49" i="18" a="1"/>
  <c r="B49" i="18" s="1"/>
  <c r="B48" i="18" a="1"/>
  <c r="B48" i="18" s="1"/>
  <c r="B47" i="18" a="1"/>
  <c r="B47" i="18" s="1"/>
  <c r="B46" i="18" a="1"/>
  <c r="B46" i="18" s="1"/>
  <c r="B45" i="18" a="1"/>
  <c r="B45" i="18" s="1"/>
  <c r="B44" i="18" a="1"/>
  <c r="B44" i="18" s="1"/>
  <c r="B43" i="18" a="1"/>
  <c r="B43" i="18" s="1"/>
  <c r="B42" i="18" a="1"/>
  <c r="B42" i="18" s="1"/>
  <c r="B41" i="18" a="1"/>
  <c r="B41" i="18" s="1"/>
  <c r="B40" i="18" a="1"/>
  <c r="B40" i="18" s="1"/>
  <c r="B39" i="18" a="1"/>
  <c r="B39" i="18" s="1"/>
  <c r="B38" i="18" a="1"/>
  <c r="B38" i="18" s="1"/>
  <c r="B37" i="18" a="1"/>
  <c r="B37" i="18" s="1"/>
  <c r="B36" i="18" a="1"/>
  <c r="B36" i="18" s="1"/>
  <c r="B35" i="18" a="1"/>
  <c r="B35" i="18" s="1"/>
  <c r="B34" i="18" a="1"/>
  <c r="B34" i="18" s="1"/>
  <c r="B33" i="18" a="1"/>
  <c r="B33" i="18" s="1"/>
  <c r="B32" i="18" a="1"/>
  <c r="B32" i="18" s="1"/>
  <c r="B31" i="18" a="1"/>
  <c r="B31" i="18" s="1"/>
  <c r="B30" i="18" a="1"/>
  <c r="B30" i="18" s="1"/>
  <c r="B29" i="18" a="1"/>
  <c r="B29" i="18" s="1"/>
  <c r="B28" i="18" a="1"/>
  <c r="B28" i="18" s="1"/>
  <c r="B27" i="18" a="1"/>
  <c r="B27" i="18" s="1"/>
  <c r="B26" i="18" a="1"/>
  <c r="B26" i="18" s="1"/>
  <c r="B25" i="18" a="1"/>
  <c r="B25" i="18" s="1"/>
  <c r="B24" i="18" a="1"/>
  <c r="B24" i="18" s="1"/>
  <c r="B23" i="18" a="1"/>
  <c r="B23" i="18" s="1"/>
  <c r="B22" i="18" a="1"/>
  <c r="B22" i="18" s="1"/>
  <c r="B21" i="18" a="1"/>
  <c r="B21" i="18" s="1"/>
  <c r="B20" i="18" a="1"/>
  <c r="B20" i="18" s="1"/>
  <c r="B19" i="18" a="1"/>
  <c r="B19" i="18" s="1"/>
  <c r="B18" i="18" a="1"/>
  <c r="B18" i="18" s="1"/>
  <c r="B17" i="18" a="1"/>
  <c r="B17" i="18" s="1"/>
  <c r="B16" i="18" a="1"/>
  <c r="B16" i="18" s="1"/>
  <c r="B15" i="18" a="1"/>
  <c r="B15" i="18" s="1"/>
  <c r="B14" i="18" a="1"/>
  <c r="B14" i="18" s="1"/>
  <c r="B13" i="18" a="1"/>
  <c r="B13" i="18" s="1"/>
  <c r="B12" i="18" a="1"/>
  <c r="B12" i="18" s="1"/>
  <c r="B11" i="18" a="1"/>
  <c r="B11" i="18" s="1"/>
  <c r="B10" i="18" a="1"/>
  <c r="B10" i="18" s="1"/>
  <c r="B9" i="18" a="1"/>
  <c r="B9" i="18" s="1"/>
  <c r="B8" i="18" a="1"/>
  <c r="B8" i="18" s="1"/>
  <c r="B7" i="18" a="1"/>
  <c r="B7" i="18" s="1"/>
  <c r="B6" i="18" a="1"/>
  <c r="B6" i="18" s="1"/>
  <c r="B5" i="18" a="1"/>
  <c r="B5" i="18" s="1"/>
  <c r="B4" i="18"/>
  <c r="B4" i="18" a="1"/>
  <c r="B3" i="18" a="1"/>
  <c r="B3" i="18" s="1"/>
  <c r="N78" i="17"/>
  <c r="N77" i="17"/>
  <c r="N76" i="17"/>
  <c r="N75" i="17"/>
  <c r="N74" i="17"/>
  <c r="N73" i="17"/>
  <c r="N72" i="17"/>
  <c r="N71" i="17"/>
  <c r="N70" i="17"/>
  <c r="N69" i="17"/>
  <c r="N68" i="17"/>
  <c r="N67" i="17"/>
  <c r="N66" i="17"/>
  <c r="N65" i="17"/>
  <c r="N64" i="17"/>
  <c r="N63" i="17"/>
  <c r="N62" i="17"/>
  <c r="N61" i="17"/>
  <c r="N60" i="17"/>
  <c r="N59" i="17"/>
  <c r="N58" i="17"/>
  <c r="N57" i="17"/>
  <c r="N56" i="17"/>
  <c r="N55" i="17"/>
  <c r="N54" i="17"/>
  <c r="N53" i="17"/>
  <c r="N52" i="17"/>
  <c r="N51" i="17"/>
  <c r="N50" i="17"/>
  <c r="N49" i="17"/>
  <c r="N48" i="17"/>
  <c r="N47" i="17"/>
  <c r="N46" i="17"/>
  <c r="N45" i="17"/>
  <c r="N44" i="17"/>
  <c r="N43" i="17"/>
  <c r="N42" i="17"/>
  <c r="N41" i="17"/>
  <c r="N40" i="17"/>
  <c r="N39" i="17"/>
  <c r="N38" i="17"/>
  <c r="N37" i="17"/>
  <c r="N36" i="17"/>
  <c r="N35" i="17"/>
  <c r="N34" i="17"/>
  <c r="N33" i="17"/>
  <c r="N32" i="17"/>
  <c r="N31" i="17"/>
  <c r="N30" i="17"/>
  <c r="N29" i="17"/>
  <c r="N28" i="17"/>
  <c r="N27" i="17"/>
  <c r="N26" i="17"/>
  <c r="N25" i="17"/>
  <c r="N24" i="17"/>
  <c r="N23" i="17"/>
  <c r="N22" i="17"/>
  <c r="N21" i="17"/>
  <c r="N20" i="17"/>
  <c r="N19" i="17"/>
  <c r="N18" i="17"/>
  <c r="N17" i="17"/>
  <c r="N16" i="17"/>
  <c r="N15" i="17"/>
  <c r="N14" i="17"/>
  <c r="N13" i="17"/>
  <c r="N12" i="17"/>
  <c r="N11" i="17"/>
  <c r="N10" i="17"/>
  <c r="N9" i="17"/>
  <c r="N8" i="17"/>
  <c r="N7" i="17"/>
  <c r="N6" i="17"/>
  <c r="N5" i="17"/>
  <c r="N4" i="17"/>
  <c r="N3" i="17"/>
  <c r="H153" i="17" a="1"/>
  <c r="H153" i="17" s="1"/>
  <c r="H152" i="17" a="1"/>
  <c r="H152" i="17" s="1"/>
  <c r="H151" i="17" a="1"/>
  <c r="H151" i="17" s="1"/>
  <c r="H150" i="17" a="1"/>
  <c r="H150" i="17" s="1"/>
  <c r="H149" i="17" a="1"/>
  <c r="H149" i="17" s="1"/>
  <c r="H148" i="17" a="1"/>
  <c r="H148" i="17" s="1"/>
  <c r="H147" i="17" a="1"/>
  <c r="H147" i="17" s="1"/>
  <c r="H146" i="17" a="1"/>
  <c r="H146" i="17" s="1"/>
  <c r="H145" i="17" a="1"/>
  <c r="H145" i="17" s="1"/>
  <c r="H144" i="17" a="1"/>
  <c r="H144" i="17" s="1"/>
  <c r="H143" i="17" a="1"/>
  <c r="H143" i="17" s="1"/>
  <c r="H142" i="17" a="1"/>
  <c r="H142" i="17" s="1"/>
  <c r="H141" i="17" a="1"/>
  <c r="H141" i="17" s="1"/>
  <c r="H140" i="17" a="1"/>
  <c r="H140" i="17" s="1"/>
  <c r="H139" i="17" a="1"/>
  <c r="H139" i="17" s="1"/>
  <c r="H138" i="17" a="1"/>
  <c r="H138" i="17" s="1"/>
  <c r="H137" i="17" a="1"/>
  <c r="H137" i="17" s="1"/>
  <c r="H136" i="17" a="1"/>
  <c r="H136" i="17" s="1"/>
  <c r="H135" i="17" a="1"/>
  <c r="H135" i="17" s="1"/>
  <c r="H134" i="17" a="1"/>
  <c r="H134" i="17" s="1"/>
  <c r="H133" i="17" a="1"/>
  <c r="H133" i="17" s="1"/>
  <c r="H132" i="17" a="1"/>
  <c r="H132" i="17" s="1"/>
  <c r="H131" i="17" a="1"/>
  <c r="H131" i="17" s="1"/>
  <c r="H130" i="17" a="1"/>
  <c r="H130" i="17" s="1"/>
  <c r="H129" i="17" a="1"/>
  <c r="H129" i="17" s="1"/>
  <c r="H128" i="17" a="1"/>
  <c r="H128" i="17" s="1"/>
  <c r="H127" i="17" a="1"/>
  <c r="H127" i="17" s="1"/>
  <c r="H126" i="17" a="1"/>
  <c r="H126" i="17" s="1"/>
  <c r="H125" i="17" a="1"/>
  <c r="H125" i="17" s="1"/>
  <c r="H124" i="17" a="1"/>
  <c r="H124" i="17" s="1"/>
  <c r="H123" i="17" a="1"/>
  <c r="H123" i="17" s="1"/>
  <c r="H122" i="17" a="1"/>
  <c r="H122" i="17" s="1"/>
  <c r="H121" i="17" a="1"/>
  <c r="H121" i="17" s="1"/>
  <c r="H120" i="17" a="1"/>
  <c r="H120" i="17" s="1"/>
  <c r="H119" i="17" a="1"/>
  <c r="H119" i="17" s="1"/>
  <c r="H118" i="17" a="1"/>
  <c r="H118" i="17" s="1"/>
  <c r="H117" i="17" a="1"/>
  <c r="H117" i="17" s="1"/>
  <c r="H116" i="17" a="1"/>
  <c r="H116" i="17" s="1"/>
  <c r="H115" i="17" a="1"/>
  <c r="H115" i="17" s="1"/>
  <c r="H114" i="17" a="1"/>
  <c r="H114" i="17" s="1"/>
  <c r="H113" i="17" a="1"/>
  <c r="H113" i="17" s="1"/>
  <c r="H112" i="17" a="1"/>
  <c r="H112" i="17" s="1"/>
  <c r="H111" i="17" a="1"/>
  <c r="H111" i="17" s="1"/>
  <c r="H110" i="17" a="1"/>
  <c r="H110" i="17" s="1"/>
  <c r="H109" i="17" a="1"/>
  <c r="H109" i="17" s="1"/>
  <c r="H108" i="17" a="1"/>
  <c r="H108" i="17" s="1"/>
  <c r="H107" i="17" a="1"/>
  <c r="H107" i="17" s="1"/>
  <c r="H106" i="17" a="1"/>
  <c r="H106" i="17" s="1"/>
  <c r="H105" i="17" a="1"/>
  <c r="H105" i="17" s="1"/>
  <c r="H104" i="17" a="1"/>
  <c r="H104" i="17" s="1"/>
  <c r="H103" i="17" a="1"/>
  <c r="H103" i="17" s="1"/>
  <c r="H102" i="17" a="1"/>
  <c r="H102" i="17" s="1"/>
  <c r="H101" i="17" a="1"/>
  <c r="H101" i="17" s="1"/>
  <c r="H100" i="17" a="1"/>
  <c r="H100" i="17" s="1"/>
  <c r="H99" i="17" a="1"/>
  <c r="H99" i="17" s="1"/>
  <c r="H98" i="17" a="1"/>
  <c r="H98" i="17" s="1"/>
  <c r="H97" i="17" a="1"/>
  <c r="H97" i="17" s="1"/>
  <c r="H96" i="17" a="1"/>
  <c r="H96" i="17" s="1"/>
  <c r="H95" i="17" a="1"/>
  <c r="H95" i="17" s="1"/>
  <c r="H94" i="17" a="1"/>
  <c r="H94" i="17" s="1"/>
  <c r="H93" i="17" a="1"/>
  <c r="H93" i="17" s="1"/>
  <c r="H92" i="17" a="1"/>
  <c r="H92" i="17" s="1"/>
  <c r="H91" i="17" a="1"/>
  <c r="H91" i="17" s="1"/>
  <c r="H90" i="17" a="1"/>
  <c r="H90" i="17" s="1"/>
  <c r="H89" i="17" a="1"/>
  <c r="H89" i="17" s="1"/>
  <c r="H88" i="17" a="1"/>
  <c r="H88" i="17" s="1"/>
  <c r="H87" i="17" a="1"/>
  <c r="H87" i="17" s="1"/>
  <c r="H86" i="17" a="1"/>
  <c r="H86" i="17" s="1"/>
  <c r="H85" i="17" a="1"/>
  <c r="H85" i="17" s="1"/>
  <c r="H84" i="17" a="1"/>
  <c r="H84" i="17" s="1"/>
  <c r="H83" i="17" a="1"/>
  <c r="H83" i="17" s="1"/>
  <c r="H82" i="17" a="1"/>
  <c r="H82" i="17" s="1"/>
  <c r="H81" i="17" a="1"/>
  <c r="H81" i="17" s="1"/>
  <c r="H80" i="17" a="1"/>
  <c r="H80" i="17" s="1"/>
  <c r="H79" i="17" a="1"/>
  <c r="H79" i="17" s="1"/>
  <c r="H78" i="17" a="1"/>
  <c r="H78" i="17" s="1"/>
  <c r="H77" i="17" a="1"/>
  <c r="H77" i="17" s="1"/>
  <c r="H76" i="17" a="1"/>
  <c r="H76" i="17" s="1"/>
  <c r="H75" i="17" a="1"/>
  <c r="H75" i="17" s="1"/>
  <c r="H74" i="17" a="1"/>
  <c r="H74" i="17" s="1"/>
  <c r="H73" i="17" a="1"/>
  <c r="H73" i="17" s="1"/>
  <c r="H72" i="17" a="1"/>
  <c r="H72" i="17" s="1"/>
  <c r="H71" i="17" a="1"/>
  <c r="H71" i="17" s="1"/>
  <c r="H70" i="17" a="1"/>
  <c r="H70" i="17" s="1"/>
  <c r="H69" i="17" a="1"/>
  <c r="H69" i="17" s="1"/>
  <c r="H68" i="17" a="1"/>
  <c r="H68" i="17" s="1"/>
  <c r="H67" i="17" a="1"/>
  <c r="H67" i="17" s="1"/>
  <c r="H66" i="17" a="1"/>
  <c r="H66" i="17" s="1"/>
  <c r="H65" i="17" a="1"/>
  <c r="H65" i="17" s="1"/>
  <c r="H64" i="17" a="1"/>
  <c r="H64" i="17" s="1"/>
  <c r="H63" i="17" a="1"/>
  <c r="H63" i="17" s="1"/>
  <c r="H62" i="17" a="1"/>
  <c r="H62" i="17" s="1"/>
  <c r="H61" i="17" a="1"/>
  <c r="H61" i="17" s="1"/>
  <c r="H60" i="17" a="1"/>
  <c r="H60" i="17" s="1"/>
  <c r="H59" i="17" a="1"/>
  <c r="H59" i="17" s="1"/>
  <c r="H58" i="17" a="1"/>
  <c r="H58" i="17" s="1"/>
  <c r="H57" i="17" a="1"/>
  <c r="H57" i="17" s="1"/>
  <c r="H56" i="17" a="1"/>
  <c r="H56" i="17" s="1"/>
  <c r="H55" i="17" a="1"/>
  <c r="H55" i="17" s="1"/>
  <c r="H54" i="17" a="1"/>
  <c r="H54" i="17" s="1"/>
  <c r="H53" i="17" a="1"/>
  <c r="H53" i="17" s="1"/>
  <c r="H52" i="17" a="1"/>
  <c r="H52" i="17" s="1"/>
  <c r="H51" i="17" a="1"/>
  <c r="H51" i="17" s="1"/>
  <c r="H50" i="17" a="1"/>
  <c r="H50" i="17" s="1"/>
  <c r="H49" i="17" a="1"/>
  <c r="H49" i="17" s="1"/>
  <c r="H48" i="17" a="1"/>
  <c r="H48" i="17" s="1"/>
  <c r="H47" i="17" a="1"/>
  <c r="H47" i="17" s="1"/>
  <c r="H46" i="17" a="1"/>
  <c r="H46" i="17" s="1"/>
  <c r="H45" i="17" a="1"/>
  <c r="H45" i="17" s="1"/>
  <c r="H44" i="17" a="1"/>
  <c r="H44" i="17" s="1"/>
  <c r="H43" i="17" a="1"/>
  <c r="H43" i="17" s="1"/>
  <c r="H42" i="17" a="1"/>
  <c r="H42" i="17" s="1"/>
  <c r="H41" i="17" a="1"/>
  <c r="H41" i="17" s="1"/>
  <c r="H40" i="17" a="1"/>
  <c r="H40" i="17" s="1"/>
  <c r="H39" i="17" a="1"/>
  <c r="H39" i="17" s="1"/>
  <c r="H38" i="17" a="1"/>
  <c r="H38" i="17" s="1"/>
  <c r="H37" i="17" a="1"/>
  <c r="H37" i="17" s="1"/>
  <c r="H36" i="17" a="1"/>
  <c r="H36" i="17" s="1"/>
  <c r="H35" i="17" a="1"/>
  <c r="H35" i="17" s="1"/>
  <c r="H34" i="17" a="1"/>
  <c r="H34" i="17" s="1"/>
  <c r="H33" i="17" a="1"/>
  <c r="H33" i="17" s="1"/>
  <c r="H32" i="17" a="1"/>
  <c r="H32" i="17" s="1"/>
  <c r="H31" i="17" a="1"/>
  <c r="H31" i="17" s="1"/>
  <c r="H30" i="17" a="1"/>
  <c r="H30" i="17" s="1"/>
  <c r="H29" i="17" a="1"/>
  <c r="H29" i="17" s="1"/>
  <c r="H28" i="17" a="1"/>
  <c r="H28" i="17" s="1"/>
  <c r="H27" i="17" a="1"/>
  <c r="H27" i="17" s="1"/>
  <c r="H26" i="17" a="1"/>
  <c r="H26" i="17" s="1"/>
  <c r="H25" i="17" a="1"/>
  <c r="H25" i="17" s="1"/>
  <c r="H24" i="17" a="1"/>
  <c r="H24" i="17" s="1"/>
  <c r="H23" i="17" a="1"/>
  <c r="H23" i="17" s="1"/>
  <c r="H22" i="17" a="1"/>
  <c r="H22" i="17" s="1"/>
  <c r="H21" i="17" a="1"/>
  <c r="H21" i="17" s="1"/>
  <c r="H20" i="17" a="1"/>
  <c r="H20" i="17" s="1"/>
  <c r="H19" i="17" a="1"/>
  <c r="H19" i="17" s="1"/>
  <c r="H18" i="17" a="1"/>
  <c r="H18" i="17" s="1"/>
  <c r="H17" i="17" a="1"/>
  <c r="H17" i="17" s="1"/>
  <c r="H16" i="17" a="1"/>
  <c r="H16" i="17" s="1"/>
  <c r="H15" i="17" a="1"/>
  <c r="H15" i="17" s="1"/>
  <c r="H14" i="17" a="1"/>
  <c r="H14" i="17" s="1"/>
  <c r="H13" i="17" a="1"/>
  <c r="H13" i="17" s="1"/>
  <c r="H12" i="17" a="1"/>
  <c r="H12" i="17" s="1"/>
  <c r="H11" i="17" a="1"/>
  <c r="H11" i="17" s="1"/>
  <c r="H10" i="17" a="1"/>
  <c r="H10" i="17" s="1"/>
  <c r="H9" i="17" a="1"/>
  <c r="H9" i="17" s="1"/>
  <c r="H8" i="17" a="1"/>
  <c r="H8" i="17" s="1"/>
  <c r="H7" i="17" a="1"/>
  <c r="H7" i="17" s="1"/>
  <c r="H6" i="17" a="1"/>
  <c r="H6" i="17" s="1"/>
  <c r="H5" i="17" a="1"/>
  <c r="H5" i="17" s="1"/>
  <c r="H4" i="17" a="1"/>
  <c r="H4" i="17" s="1"/>
  <c r="H3" i="17" a="1"/>
  <c r="H3" i="17" s="1"/>
  <c r="B78" i="17" a="1"/>
  <c r="B78" i="17" s="1"/>
  <c r="B77" i="17"/>
  <c r="B77" i="17" a="1"/>
  <c r="B76" i="17" a="1"/>
  <c r="B76" i="17" s="1"/>
  <c r="B75" i="17" a="1"/>
  <c r="B75" i="17" s="1"/>
  <c r="B74" i="17" a="1"/>
  <c r="B74" i="17" s="1"/>
  <c r="B73" i="17" a="1"/>
  <c r="B73" i="17" s="1"/>
  <c r="B72" i="17" a="1"/>
  <c r="B72" i="17" s="1"/>
  <c r="B71" i="17" a="1"/>
  <c r="B71" i="17" s="1"/>
  <c r="B70" i="17" a="1"/>
  <c r="B70" i="17" s="1"/>
  <c r="B69" i="17" a="1"/>
  <c r="B69" i="17" s="1"/>
  <c r="B68" i="17" a="1"/>
  <c r="B68" i="17" s="1"/>
  <c r="B67" i="17" a="1"/>
  <c r="B67" i="17" s="1"/>
  <c r="B66" i="17" a="1"/>
  <c r="B66" i="17" s="1"/>
  <c r="B65" i="17" a="1"/>
  <c r="B65" i="17" s="1"/>
  <c r="B64" i="17" a="1"/>
  <c r="B64" i="17" s="1"/>
  <c r="B63" i="17" a="1"/>
  <c r="B63" i="17" s="1"/>
  <c r="B62" i="17" a="1"/>
  <c r="B62" i="17" s="1"/>
  <c r="B61" i="17" a="1"/>
  <c r="B61" i="17" s="1"/>
  <c r="B60" i="17" a="1"/>
  <c r="B60" i="17" s="1"/>
  <c r="B59" i="17" a="1"/>
  <c r="B59" i="17" s="1"/>
  <c r="B58" i="17" a="1"/>
  <c r="B58" i="17" s="1"/>
  <c r="B57" i="17" a="1"/>
  <c r="B57" i="17" s="1"/>
  <c r="B56" i="17" a="1"/>
  <c r="B56" i="17" s="1"/>
  <c r="B55" i="17" a="1"/>
  <c r="B55" i="17" s="1"/>
  <c r="B54" i="17" a="1"/>
  <c r="B54" i="17" s="1"/>
  <c r="B53" i="17" a="1"/>
  <c r="B53" i="17" s="1"/>
  <c r="B52" i="17" a="1"/>
  <c r="B52" i="17" s="1"/>
  <c r="B51" i="17" a="1"/>
  <c r="B51" i="17" s="1"/>
  <c r="B50" i="17" a="1"/>
  <c r="B50" i="17" s="1"/>
  <c r="B49" i="17" a="1"/>
  <c r="B49" i="17" s="1"/>
  <c r="B48" i="17" a="1"/>
  <c r="B48" i="17" s="1"/>
  <c r="B47" i="17" a="1"/>
  <c r="B47" i="17" s="1"/>
  <c r="B46" i="17" a="1"/>
  <c r="B46" i="17" s="1"/>
  <c r="B45" i="17" a="1"/>
  <c r="B45" i="17" s="1"/>
  <c r="B44" i="17" a="1"/>
  <c r="B44" i="17" s="1"/>
  <c r="B43" i="17" a="1"/>
  <c r="B43" i="17" s="1"/>
  <c r="B42" i="17" a="1"/>
  <c r="B42" i="17" s="1"/>
  <c r="B41" i="17" a="1"/>
  <c r="B41" i="17" s="1"/>
  <c r="B40" i="17" a="1"/>
  <c r="B40" i="17" s="1"/>
  <c r="B39" i="17" a="1"/>
  <c r="B39" i="17" s="1"/>
  <c r="B38" i="17" a="1"/>
  <c r="B38" i="17" s="1"/>
  <c r="B37" i="17" a="1"/>
  <c r="B37" i="17" s="1"/>
  <c r="B36" i="17" a="1"/>
  <c r="B36" i="17" s="1"/>
  <c r="B35" i="17" a="1"/>
  <c r="B35" i="17" s="1"/>
  <c r="B34" i="17" a="1"/>
  <c r="B34" i="17" s="1"/>
  <c r="B33" i="17"/>
  <c r="B33" i="17" a="1"/>
  <c r="B32" i="17" a="1"/>
  <c r="B32" i="17" s="1"/>
  <c r="B31" i="17" a="1"/>
  <c r="B31" i="17" s="1"/>
  <c r="B30" i="17" a="1"/>
  <c r="B30" i="17" s="1"/>
  <c r="B29" i="17" a="1"/>
  <c r="B29" i="17" s="1"/>
  <c r="B28" i="17" a="1"/>
  <c r="B28" i="17" s="1"/>
  <c r="B27" i="17" a="1"/>
  <c r="B27" i="17" s="1"/>
  <c r="B26" i="17" a="1"/>
  <c r="B26" i="17" s="1"/>
  <c r="B25" i="17" a="1"/>
  <c r="B25" i="17" s="1"/>
  <c r="B24" i="17" a="1"/>
  <c r="B24" i="17" s="1"/>
  <c r="B23" i="17"/>
  <c r="B23" i="17" a="1"/>
  <c r="B22" i="17" a="1"/>
  <c r="B22" i="17" s="1"/>
  <c r="B21" i="17" a="1"/>
  <c r="B21" i="17" s="1"/>
  <c r="B20" i="17" a="1"/>
  <c r="B20" i="17" s="1"/>
  <c r="B19" i="17" a="1"/>
  <c r="B19" i="17" s="1"/>
  <c r="B18" i="17" a="1"/>
  <c r="B18" i="17" s="1"/>
  <c r="B17" i="17" a="1"/>
  <c r="B17" i="17" s="1"/>
  <c r="B16" i="17" a="1"/>
  <c r="B16" i="17" s="1"/>
  <c r="B15" i="17" a="1"/>
  <c r="B15" i="17" s="1"/>
  <c r="B14" i="17" a="1"/>
  <c r="B14" i="17" s="1"/>
  <c r="B13" i="17" a="1"/>
  <c r="B13" i="17" s="1"/>
  <c r="B12" i="17" a="1"/>
  <c r="B12" i="17" s="1"/>
  <c r="B11" i="17" a="1"/>
  <c r="B11" i="17" s="1"/>
  <c r="B10" i="17" a="1"/>
  <c r="B10" i="17" s="1"/>
  <c r="B9" i="17" a="1"/>
  <c r="B9" i="17" s="1"/>
  <c r="B8" i="17" a="1"/>
  <c r="B8" i="17" s="1"/>
  <c r="B7" i="17" a="1"/>
  <c r="B7" i="17" s="1"/>
  <c r="B6" i="17" a="1"/>
  <c r="B6" i="17" s="1"/>
  <c r="B5" i="17" a="1"/>
  <c r="B5" i="17" s="1"/>
  <c r="B4" i="17" a="1"/>
  <c r="B4" i="17" s="1"/>
  <c r="B3" i="17" a="1"/>
  <c r="B3" i="17" s="1"/>
  <c r="N78" i="16"/>
  <c r="N77" i="16"/>
  <c r="N76" i="16"/>
  <c r="N75" i="16"/>
  <c r="N74" i="16"/>
  <c r="N73" i="16"/>
  <c r="N72" i="16"/>
  <c r="N71" i="16"/>
  <c r="N70" i="16"/>
  <c r="N69" i="16"/>
  <c r="N68" i="16"/>
  <c r="N67" i="16"/>
  <c r="N66" i="16"/>
  <c r="N65" i="16"/>
  <c r="N64" i="16"/>
  <c r="N63" i="16"/>
  <c r="N62" i="16"/>
  <c r="N61" i="16"/>
  <c r="N60" i="16"/>
  <c r="N59" i="16"/>
  <c r="N58" i="16"/>
  <c r="N57" i="16"/>
  <c r="N56" i="16"/>
  <c r="N55" i="16"/>
  <c r="N54" i="16"/>
  <c r="N53" i="16"/>
  <c r="N52" i="16"/>
  <c r="N51" i="16"/>
  <c r="N50" i="16"/>
  <c r="N49" i="16"/>
  <c r="N48" i="16"/>
  <c r="N47" i="16"/>
  <c r="N46" i="16"/>
  <c r="N45" i="16"/>
  <c r="N44" i="16"/>
  <c r="N43" i="16"/>
  <c r="N42" i="16"/>
  <c r="N41" i="16"/>
  <c r="N40" i="16"/>
  <c r="N39" i="16"/>
  <c r="N38" i="16"/>
  <c r="N37" i="16"/>
  <c r="N36" i="16"/>
  <c r="N35" i="16"/>
  <c r="N34" i="16"/>
  <c r="N33" i="16"/>
  <c r="N32" i="16"/>
  <c r="N31" i="16"/>
  <c r="N30" i="16"/>
  <c r="N29" i="16"/>
  <c r="N28" i="16"/>
  <c r="N27" i="16"/>
  <c r="N26" i="16"/>
  <c r="N25" i="16"/>
  <c r="N24" i="16"/>
  <c r="N23" i="16"/>
  <c r="N22" i="16"/>
  <c r="N21" i="16"/>
  <c r="N20" i="16"/>
  <c r="N19" i="16"/>
  <c r="N18" i="16"/>
  <c r="N17" i="16"/>
  <c r="N16" i="16"/>
  <c r="N15" i="16"/>
  <c r="N14" i="16"/>
  <c r="N13" i="16"/>
  <c r="N12" i="16"/>
  <c r="N11" i="16"/>
  <c r="N10" i="16"/>
  <c r="N9" i="16"/>
  <c r="N8" i="16"/>
  <c r="N7" i="16"/>
  <c r="N6" i="16"/>
  <c r="N5" i="16"/>
  <c r="N4" i="16"/>
  <c r="N3" i="16"/>
  <c r="H153" i="16" a="1"/>
  <c r="H153" i="16" s="1"/>
  <c r="H152" i="16" a="1"/>
  <c r="H152" i="16" s="1"/>
  <c r="H151" i="16" a="1"/>
  <c r="H151" i="16" s="1"/>
  <c r="H150" i="16" a="1"/>
  <c r="H150" i="16" s="1"/>
  <c r="H149" i="16" a="1"/>
  <c r="H149" i="16" s="1"/>
  <c r="H148" i="16" a="1"/>
  <c r="H148" i="16" s="1"/>
  <c r="H147" i="16" a="1"/>
  <c r="H147" i="16" s="1"/>
  <c r="H146" i="16" a="1"/>
  <c r="H146" i="16" s="1"/>
  <c r="H145" i="16" a="1"/>
  <c r="H145" i="16" s="1"/>
  <c r="H144" i="16" a="1"/>
  <c r="H144" i="16" s="1"/>
  <c r="H143" i="16" a="1"/>
  <c r="H143" i="16" s="1"/>
  <c r="H142" i="16" a="1"/>
  <c r="H142" i="16" s="1"/>
  <c r="H141" i="16" a="1"/>
  <c r="H141" i="16" s="1"/>
  <c r="H140" i="16" a="1"/>
  <c r="H140" i="16" s="1"/>
  <c r="H139" i="16" a="1"/>
  <c r="H139" i="16" s="1"/>
  <c r="H138" i="16" a="1"/>
  <c r="H138" i="16" s="1"/>
  <c r="H137" i="16" a="1"/>
  <c r="H137" i="16" s="1"/>
  <c r="H136" i="16" a="1"/>
  <c r="H136" i="16" s="1"/>
  <c r="H135" i="16" a="1"/>
  <c r="H135" i="16" s="1"/>
  <c r="H134" i="16" a="1"/>
  <c r="H134" i="16" s="1"/>
  <c r="H133" i="16" a="1"/>
  <c r="H133" i="16" s="1"/>
  <c r="H132" i="16" a="1"/>
  <c r="H132" i="16" s="1"/>
  <c r="H131" i="16" a="1"/>
  <c r="H131" i="16" s="1"/>
  <c r="H130" i="16" a="1"/>
  <c r="H130" i="16" s="1"/>
  <c r="H129" i="16" a="1"/>
  <c r="H129" i="16" s="1"/>
  <c r="H128" i="16" a="1"/>
  <c r="H128" i="16" s="1"/>
  <c r="H127" i="16" a="1"/>
  <c r="H127" i="16" s="1"/>
  <c r="H126" i="16" a="1"/>
  <c r="H126" i="16" s="1"/>
  <c r="H125" i="16" a="1"/>
  <c r="H125" i="16" s="1"/>
  <c r="H124" i="16"/>
  <c r="H124" i="16" a="1"/>
  <c r="H123" i="16" a="1"/>
  <c r="H123" i="16" s="1"/>
  <c r="H122" i="16" a="1"/>
  <c r="H122" i="16" s="1"/>
  <c r="H121" i="16" a="1"/>
  <c r="H121" i="16" s="1"/>
  <c r="H120" i="16" a="1"/>
  <c r="H120" i="16" s="1"/>
  <c r="H119" i="16" a="1"/>
  <c r="H119" i="16" s="1"/>
  <c r="H118" i="16" a="1"/>
  <c r="H118" i="16" s="1"/>
  <c r="H117" i="16" a="1"/>
  <c r="H117" i="16" s="1"/>
  <c r="H116" i="16" a="1"/>
  <c r="H116" i="16" s="1"/>
  <c r="H115" i="16" a="1"/>
  <c r="H115" i="16" s="1"/>
  <c r="H114" i="16" a="1"/>
  <c r="H114" i="16" s="1"/>
  <c r="H113" i="16" a="1"/>
  <c r="H113" i="16" s="1"/>
  <c r="H112" i="16" a="1"/>
  <c r="H112" i="16" s="1"/>
  <c r="H111" i="16" a="1"/>
  <c r="H111" i="16" s="1"/>
  <c r="H110" i="16" a="1"/>
  <c r="H110" i="16" s="1"/>
  <c r="H109" i="16" a="1"/>
  <c r="H109" i="16" s="1"/>
  <c r="H108" i="16" a="1"/>
  <c r="H108" i="16" s="1"/>
  <c r="H107" i="16" a="1"/>
  <c r="H107" i="16" s="1"/>
  <c r="H106" i="16" a="1"/>
  <c r="H106" i="16" s="1"/>
  <c r="H105" i="16" a="1"/>
  <c r="H105" i="16" s="1"/>
  <c r="H104" i="16" a="1"/>
  <c r="H104" i="16" s="1"/>
  <c r="H103" i="16" a="1"/>
  <c r="H103" i="16" s="1"/>
  <c r="H102" i="16" a="1"/>
  <c r="H102" i="16" s="1"/>
  <c r="H101" i="16" a="1"/>
  <c r="H101" i="16" s="1"/>
  <c r="H100" i="16" a="1"/>
  <c r="H100" i="16" s="1"/>
  <c r="H99" i="16" a="1"/>
  <c r="H99" i="16" s="1"/>
  <c r="H98" i="16" a="1"/>
  <c r="H98" i="16" s="1"/>
  <c r="H97" i="16" a="1"/>
  <c r="H97" i="16" s="1"/>
  <c r="H96" i="16" a="1"/>
  <c r="H96" i="16" s="1"/>
  <c r="H95" i="16" a="1"/>
  <c r="H95" i="16" s="1"/>
  <c r="H94" i="16" a="1"/>
  <c r="H94" i="16" s="1"/>
  <c r="H93" i="16" a="1"/>
  <c r="H93" i="16" s="1"/>
  <c r="H92" i="16" a="1"/>
  <c r="H92" i="16" s="1"/>
  <c r="H91" i="16" a="1"/>
  <c r="H91" i="16" s="1"/>
  <c r="H90" i="16" a="1"/>
  <c r="H90" i="16" s="1"/>
  <c r="H89" i="16" a="1"/>
  <c r="H89" i="16" s="1"/>
  <c r="H88" i="16" a="1"/>
  <c r="H88" i="16" s="1"/>
  <c r="H87" i="16" a="1"/>
  <c r="H87" i="16" s="1"/>
  <c r="H86" i="16" a="1"/>
  <c r="H86" i="16" s="1"/>
  <c r="H85" i="16" a="1"/>
  <c r="H85" i="16" s="1"/>
  <c r="H84" i="16" a="1"/>
  <c r="H84" i="16" s="1"/>
  <c r="H83" i="16" a="1"/>
  <c r="H83" i="16" s="1"/>
  <c r="H82" i="16" a="1"/>
  <c r="H82" i="16" s="1"/>
  <c r="H81" i="16" a="1"/>
  <c r="H81" i="16" s="1"/>
  <c r="H80" i="16" a="1"/>
  <c r="H80" i="16" s="1"/>
  <c r="H79" i="16" a="1"/>
  <c r="H79" i="16" s="1"/>
  <c r="H78" i="16" a="1"/>
  <c r="H78" i="16" s="1"/>
  <c r="H77" i="16" a="1"/>
  <c r="H77" i="16" s="1"/>
  <c r="H76" i="16" a="1"/>
  <c r="H76" i="16" s="1"/>
  <c r="H75" i="16" a="1"/>
  <c r="H75" i="16" s="1"/>
  <c r="H74" i="16"/>
  <c r="H74" i="16" a="1"/>
  <c r="H73" i="16" a="1"/>
  <c r="H73" i="16" s="1"/>
  <c r="H72" i="16" a="1"/>
  <c r="H72" i="16" s="1"/>
  <c r="H71" i="16" a="1"/>
  <c r="H71" i="16" s="1"/>
  <c r="H70" i="16" a="1"/>
  <c r="H70" i="16" s="1"/>
  <c r="H69" i="16" a="1"/>
  <c r="H69" i="16" s="1"/>
  <c r="H68" i="16" a="1"/>
  <c r="H68" i="16" s="1"/>
  <c r="H67" i="16" a="1"/>
  <c r="H67" i="16" s="1"/>
  <c r="H66" i="16" a="1"/>
  <c r="H66" i="16" s="1"/>
  <c r="H65" i="16" a="1"/>
  <c r="H65" i="16" s="1"/>
  <c r="H64" i="16" a="1"/>
  <c r="H64" i="16" s="1"/>
  <c r="H63" i="16" a="1"/>
  <c r="H63" i="16" s="1"/>
  <c r="H62" i="16" a="1"/>
  <c r="H62" i="16" s="1"/>
  <c r="H61" i="16" a="1"/>
  <c r="H61" i="16" s="1"/>
  <c r="H60" i="16" a="1"/>
  <c r="H60" i="16" s="1"/>
  <c r="H59" i="16" a="1"/>
  <c r="H59" i="16" s="1"/>
  <c r="H58" i="16" a="1"/>
  <c r="H58" i="16" s="1"/>
  <c r="H57" i="16" a="1"/>
  <c r="H57" i="16" s="1"/>
  <c r="H56" i="16" a="1"/>
  <c r="H56" i="16" s="1"/>
  <c r="H55" i="16" a="1"/>
  <c r="H55" i="16" s="1"/>
  <c r="H54" i="16" a="1"/>
  <c r="H54" i="16" s="1"/>
  <c r="H53" i="16" a="1"/>
  <c r="H53" i="16" s="1"/>
  <c r="H52" i="16" a="1"/>
  <c r="H52" i="16" s="1"/>
  <c r="H51" i="16" a="1"/>
  <c r="H51" i="16" s="1"/>
  <c r="H50" i="16" a="1"/>
  <c r="H50" i="16" s="1"/>
  <c r="H49" i="16" a="1"/>
  <c r="H49" i="16" s="1"/>
  <c r="H48" i="16" a="1"/>
  <c r="H48" i="16" s="1"/>
  <c r="H47" i="16" a="1"/>
  <c r="H47" i="16" s="1"/>
  <c r="H46" i="16" a="1"/>
  <c r="H46" i="16" s="1"/>
  <c r="H45" i="16" a="1"/>
  <c r="H45" i="16" s="1"/>
  <c r="H44" i="16" a="1"/>
  <c r="H44" i="16" s="1"/>
  <c r="H43" i="16" a="1"/>
  <c r="H43" i="16" s="1"/>
  <c r="H42" i="16" a="1"/>
  <c r="H42" i="16" s="1"/>
  <c r="H41" i="16" a="1"/>
  <c r="H41" i="16" s="1"/>
  <c r="H40" i="16" a="1"/>
  <c r="H40" i="16" s="1"/>
  <c r="H39" i="16" a="1"/>
  <c r="H39" i="16" s="1"/>
  <c r="H38" i="16" a="1"/>
  <c r="H38" i="16" s="1"/>
  <c r="H37" i="16" a="1"/>
  <c r="H37" i="16" s="1"/>
  <c r="H36" i="16" a="1"/>
  <c r="H36" i="16" s="1"/>
  <c r="H35" i="16" a="1"/>
  <c r="H35" i="16" s="1"/>
  <c r="H34" i="16" a="1"/>
  <c r="H34" i="16" s="1"/>
  <c r="H33" i="16" a="1"/>
  <c r="H33" i="16" s="1"/>
  <c r="H32" i="16" a="1"/>
  <c r="H32" i="16" s="1"/>
  <c r="H31" i="16" a="1"/>
  <c r="H31" i="16" s="1"/>
  <c r="H30" i="16" a="1"/>
  <c r="H30" i="16" s="1"/>
  <c r="H29" i="16" a="1"/>
  <c r="H29" i="16" s="1"/>
  <c r="H28" i="16" a="1"/>
  <c r="H28" i="16" s="1"/>
  <c r="H27" i="16" a="1"/>
  <c r="H27" i="16" s="1"/>
  <c r="H26" i="16" a="1"/>
  <c r="H26" i="16" s="1"/>
  <c r="H25" i="16" a="1"/>
  <c r="H25" i="16" s="1"/>
  <c r="H24" i="16" a="1"/>
  <c r="H24" i="16" s="1"/>
  <c r="H23" i="16" a="1"/>
  <c r="H23" i="16" s="1"/>
  <c r="H22" i="16" a="1"/>
  <c r="H22" i="16" s="1"/>
  <c r="H21" i="16" a="1"/>
  <c r="H21" i="16" s="1"/>
  <c r="H20" i="16" a="1"/>
  <c r="H20" i="16" s="1"/>
  <c r="H19" i="16" a="1"/>
  <c r="H19" i="16" s="1"/>
  <c r="H18" i="16" a="1"/>
  <c r="H18" i="16" s="1"/>
  <c r="H17" i="16" a="1"/>
  <c r="H17" i="16" s="1"/>
  <c r="H16" i="16" a="1"/>
  <c r="H16" i="16" s="1"/>
  <c r="H15" i="16" a="1"/>
  <c r="H15" i="16" s="1"/>
  <c r="H14" i="16" a="1"/>
  <c r="H14" i="16" s="1"/>
  <c r="H13" i="16" a="1"/>
  <c r="H13" i="16" s="1"/>
  <c r="H12" i="16" a="1"/>
  <c r="H12" i="16" s="1"/>
  <c r="H11" i="16" a="1"/>
  <c r="H11" i="16" s="1"/>
  <c r="H10" i="16" a="1"/>
  <c r="H10" i="16" s="1"/>
  <c r="H9" i="16" a="1"/>
  <c r="H9" i="16" s="1"/>
  <c r="H8" i="16" a="1"/>
  <c r="H8" i="16" s="1"/>
  <c r="H7" i="16" a="1"/>
  <c r="H7" i="16" s="1"/>
  <c r="H6" i="16" a="1"/>
  <c r="H6" i="16" s="1"/>
  <c r="H5" i="16" a="1"/>
  <c r="H5" i="16" s="1"/>
  <c r="H4" i="16" a="1"/>
  <c r="H4" i="16" s="1"/>
  <c r="H3" i="16" a="1"/>
  <c r="H3" i="16" s="1"/>
  <c r="B78" i="16" a="1"/>
  <c r="B78" i="16" s="1"/>
  <c r="B77" i="16" a="1"/>
  <c r="B77" i="16" s="1"/>
  <c r="B76" i="16" a="1"/>
  <c r="B76" i="16" s="1"/>
  <c r="B75" i="16" a="1"/>
  <c r="B75" i="16" s="1"/>
  <c r="B74" i="16" a="1"/>
  <c r="B74" i="16" s="1"/>
  <c r="B73" i="16" a="1"/>
  <c r="B73" i="16" s="1"/>
  <c r="B72" i="16" a="1"/>
  <c r="B72" i="16" s="1"/>
  <c r="B71" i="16" a="1"/>
  <c r="B71" i="16" s="1"/>
  <c r="B70" i="16" a="1"/>
  <c r="B70" i="16" s="1"/>
  <c r="B69" i="16" a="1"/>
  <c r="B69" i="16" s="1"/>
  <c r="B68" i="16" a="1"/>
  <c r="B68" i="16" s="1"/>
  <c r="B67" i="16" a="1"/>
  <c r="B67" i="16" s="1"/>
  <c r="B66" i="16" a="1"/>
  <c r="B66" i="16" s="1"/>
  <c r="B65" i="16" a="1"/>
  <c r="B65" i="16" s="1"/>
  <c r="B64" i="16" a="1"/>
  <c r="B64" i="16" s="1"/>
  <c r="B63" i="16" a="1"/>
  <c r="B63" i="16" s="1"/>
  <c r="B62" i="16" a="1"/>
  <c r="B62" i="16" s="1"/>
  <c r="B61" i="16" a="1"/>
  <c r="B61" i="16" s="1"/>
  <c r="B60" i="16" a="1"/>
  <c r="B60" i="16" s="1"/>
  <c r="B59" i="16" a="1"/>
  <c r="B59" i="16" s="1"/>
  <c r="B58" i="16" a="1"/>
  <c r="B58" i="16" s="1"/>
  <c r="B57" i="16" a="1"/>
  <c r="B57" i="16" s="1"/>
  <c r="B56" i="16" a="1"/>
  <c r="B56" i="16" s="1"/>
  <c r="B55" i="16" a="1"/>
  <c r="B55" i="16" s="1"/>
  <c r="B54" i="16" a="1"/>
  <c r="B54" i="16" s="1"/>
  <c r="B53" i="16" a="1"/>
  <c r="B53" i="16" s="1"/>
  <c r="B52" i="16" a="1"/>
  <c r="B52" i="16" s="1"/>
  <c r="B51" i="16" a="1"/>
  <c r="B51" i="16" s="1"/>
  <c r="B50" i="16" a="1"/>
  <c r="B50" i="16" s="1"/>
  <c r="B49" i="16" a="1"/>
  <c r="B49" i="16" s="1"/>
  <c r="B48" i="16" a="1"/>
  <c r="B48" i="16" s="1"/>
  <c r="B47" i="16" a="1"/>
  <c r="B47" i="16" s="1"/>
  <c r="B46" i="16" a="1"/>
  <c r="B46" i="16" s="1"/>
  <c r="B45" i="16" a="1"/>
  <c r="B45" i="16" s="1"/>
  <c r="B44" i="16" a="1"/>
  <c r="B44" i="16" s="1"/>
  <c r="B43" i="16" a="1"/>
  <c r="B43" i="16" s="1"/>
  <c r="B42" i="16" a="1"/>
  <c r="B42" i="16" s="1"/>
  <c r="B41" i="16" a="1"/>
  <c r="B41" i="16" s="1"/>
  <c r="B40" i="16" a="1"/>
  <c r="B40" i="16" s="1"/>
  <c r="B39" i="16" a="1"/>
  <c r="B39" i="16" s="1"/>
  <c r="B38" i="16" a="1"/>
  <c r="B38" i="16" s="1"/>
  <c r="B37" i="16" a="1"/>
  <c r="B37" i="16" s="1"/>
  <c r="B36" i="16" a="1"/>
  <c r="B36" i="16" s="1"/>
  <c r="B35" i="16" a="1"/>
  <c r="B35" i="16" s="1"/>
  <c r="B34" i="16" a="1"/>
  <c r="B34" i="16" s="1"/>
  <c r="B33" i="16" a="1"/>
  <c r="B33" i="16" s="1"/>
  <c r="B32" i="16" a="1"/>
  <c r="B32" i="16" s="1"/>
  <c r="B31" i="16" a="1"/>
  <c r="B31" i="16" s="1"/>
  <c r="B30" i="16" a="1"/>
  <c r="B30" i="16" s="1"/>
  <c r="B29" i="16" a="1"/>
  <c r="B29" i="16" s="1"/>
  <c r="B28" i="16" a="1"/>
  <c r="B28" i="16" s="1"/>
  <c r="B27" i="16" a="1"/>
  <c r="B27" i="16" s="1"/>
  <c r="B26" i="16" a="1"/>
  <c r="B26" i="16" s="1"/>
  <c r="B25" i="16" a="1"/>
  <c r="B25" i="16" s="1"/>
  <c r="B24" i="16" a="1"/>
  <c r="B24" i="16" s="1"/>
  <c r="B23" i="16" a="1"/>
  <c r="B23" i="16" s="1"/>
  <c r="B22" i="16" a="1"/>
  <c r="B22" i="16" s="1"/>
  <c r="B21" i="16" a="1"/>
  <c r="B21" i="16" s="1"/>
  <c r="B20" i="16" a="1"/>
  <c r="B20" i="16" s="1"/>
  <c r="B19" i="16" a="1"/>
  <c r="B19" i="16" s="1"/>
  <c r="B18" i="16" a="1"/>
  <c r="B18" i="16" s="1"/>
  <c r="B17" i="16" a="1"/>
  <c r="B17" i="16" s="1"/>
  <c r="B16" i="16" a="1"/>
  <c r="B16" i="16" s="1"/>
  <c r="B15" i="16" a="1"/>
  <c r="B15" i="16" s="1"/>
  <c r="B14" i="16" a="1"/>
  <c r="B14" i="16" s="1"/>
  <c r="B13" i="16" a="1"/>
  <c r="B13" i="16" s="1"/>
  <c r="B12" i="16" a="1"/>
  <c r="B12" i="16" s="1"/>
  <c r="B11" i="16" a="1"/>
  <c r="B11" i="16" s="1"/>
  <c r="B10" i="16"/>
  <c r="B10" i="16" a="1"/>
  <c r="B9" i="16" a="1"/>
  <c r="B9" i="16" s="1"/>
  <c r="B8" i="16" a="1"/>
  <c r="B8" i="16" s="1"/>
  <c r="B7" i="16" a="1"/>
  <c r="B7" i="16" s="1"/>
  <c r="B6" i="16" a="1"/>
  <c r="B6" i="16" s="1"/>
  <c r="B5" i="16" a="1"/>
  <c r="B5" i="16" s="1"/>
  <c r="B4" i="16" a="1"/>
  <c r="B4" i="16" s="1"/>
  <c r="B3" i="16" a="1"/>
  <c r="B3" i="16" s="1"/>
  <c r="D3" i="22"/>
  <c r="D3" i="21"/>
  <c r="D3" i="20"/>
  <c r="D3" i="19"/>
  <c r="D3" i="18"/>
  <c r="D3" i="17"/>
  <c r="D3" i="16"/>
  <c r="H153" i="14" a="1"/>
  <c r="H153" i="14" s="1"/>
  <c r="H152" i="14" a="1"/>
  <c r="H152" i="14" s="1"/>
  <c r="H151" i="14" a="1"/>
  <c r="H151" i="14" s="1"/>
  <c r="H150" i="14" a="1"/>
  <c r="H150" i="14" s="1"/>
  <c r="H149" i="14" a="1"/>
  <c r="H149" i="14" s="1"/>
  <c r="H148" i="14" a="1"/>
  <c r="H148" i="14" s="1"/>
  <c r="H147" i="14" a="1"/>
  <c r="H147" i="14" s="1"/>
  <c r="H146" i="14" a="1"/>
  <c r="H146" i="14" s="1"/>
  <c r="H145" i="14" a="1"/>
  <c r="H145" i="14" s="1"/>
  <c r="H144" i="14" a="1"/>
  <c r="H144" i="14" s="1"/>
  <c r="H143" i="14" a="1"/>
  <c r="H143" i="14" s="1"/>
  <c r="H142" i="14" a="1"/>
  <c r="H142" i="14" s="1"/>
  <c r="H141" i="14" a="1"/>
  <c r="H141" i="14" s="1"/>
  <c r="H140" i="14" a="1"/>
  <c r="H140" i="14" s="1"/>
  <c r="H139" i="14" a="1"/>
  <c r="H139" i="14" s="1"/>
  <c r="H138" i="14" a="1"/>
  <c r="H138" i="14" s="1"/>
  <c r="H137" i="14" a="1"/>
  <c r="H137" i="14" s="1"/>
  <c r="H136" i="14" a="1"/>
  <c r="H136" i="14" s="1"/>
  <c r="H135" i="14" a="1"/>
  <c r="H135" i="14" s="1"/>
  <c r="H134" i="14" a="1"/>
  <c r="H134" i="14" s="1"/>
  <c r="H133" i="14" a="1"/>
  <c r="H133" i="14" s="1"/>
  <c r="H132" i="14" a="1"/>
  <c r="H132" i="14" s="1"/>
  <c r="H131" i="14" a="1"/>
  <c r="H131" i="14" s="1"/>
  <c r="H130" i="14" a="1"/>
  <c r="H130" i="14" s="1"/>
  <c r="H129" i="14" a="1"/>
  <c r="H129" i="14" s="1"/>
  <c r="H128" i="14" a="1"/>
  <c r="H128" i="14" s="1"/>
  <c r="H127" i="14" a="1"/>
  <c r="H127" i="14" s="1"/>
  <c r="H126" i="14" a="1"/>
  <c r="H126" i="14" s="1"/>
  <c r="H125" i="14" a="1"/>
  <c r="H125" i="14" s="1"/>
  <c r="H124" i="14" a="1"/>
  <c r="H124" i="14" s="1"/>
  <c r="H123" i="14" a="1"/>
  <c r="H123" i="14" s="1"/>
  <c r="H122" i="14" a="1"/>
  <c r="H122" i="14" s="1"/>
  <c r="H121" i="14" a="1"/>
  <c r="H121" i="14" s="1"/>
  <c r="H120" i="14" a="1"/>
  <c r="H120" i="14" s="1"/>
  <c r="H119" i="14" a="1"/>
  <c r="H119" i="14" s="1"/>
  <c r="H118" i="14" a="1"/>
  <c r="H118" i="14" s="1"/>
  <c r="H117" i="14" a="1"/>
  <c r="H117" i="14" s="1"/>
  <c r="H116" i="14" a="1"/>
  <c r="H116" i="14" s="1"/>
  <c r="H115" i="14" a="1"/>
  <c r="H115" i="14" s="1"/>
  <c r="H114" i="14" a="1"/>
  <c r="H114" i="14" s="1"/>
  <c r="H113" i="14" a="1"/>
  <c r="H113" i="14" s="1"/>
  <c r="H112" i="14" a="1"/>
  <c r="H112" i="14" s="1"/>
  <c r="H111" i="14" a="1"/>
  <c r="H111" i="14" s="1"/>
  <c r="H110" i="14" a="1"/>
  <c r="H110" i="14" s="1"/>
  <c r="H109" i="14" a="1"/>
  <c r="H109" i="14" s="1"/>
  <c r="H108" i="14" a="1"/>
  <c r="H108" i="14" s="1"/>
  <c r="H107" i="14" a="1"/>
  <c r="H107" i="14" s="1"/>
  <c r="H106" i="14" a="1"/>
  <c r="H106" i="14" s="1"/>
  <c r="H105" i="14" a="1"/>
  <c r="H105" i="14" s="1"/>
  <c r="H104" i="14" a="1"/>
  <c r="H104" i="14" s="1"/>
  <c r="H103" i="14" a="1"/>
  <c r="H103" i="14" s="1"/>
  <c r="H102" i="14" a="1"/>
  <c r="H102" i="14" s="1"/>
  <c r="H101" i="14" a="1"/>
  <c r="H101" i="14" s="1"/>
  <c r="H100" i="14" a="1"/>
  <c r="H100" i="14" s="1"/>
  <c r="H99" i="14" a="1"/>
  <c r="H99" i="14" s="1"/>
  <c r="H98" i="14" a="1"/>
  <c r="H98" i="14" s="1"/>
  <c r="H97" i="14" a="1"/>
  <c r="H97" i="14" s="1"/>
  <c r="H96" i="14" a="1"/>
  <c r="H96" i="14" s="1"/>
  <c r="H95" i="14" a="1"/>
  <c r="H95" i="14" s="1"/>
  <c r="H94" i="14" a="1"/>
  <c r="H94" i="14" s="1"/>
  <c r="H93" i="14" a="1"/>
  <c r="H93" i="14" s="1"/>
  <c r="H92" i="14" a="1"/>
  <c r="H92" i="14" s="1"/>
  <c r="H91" i="14" a="1"/>
  <c r="H91" i="14" s="1"/>
  <c r="H90" i="14" a="1"/>
  <c r="H90" i="14" s="1"/>
  <c r="H89" i="14" a="1"/>
  <c r="H89" i="14" s="1"/>
  <c r="H88" i="14" a="1"/>
  <c r="H88" i="14" s="1"/>
  <c r="H87" i="14" a="1"/>
  <c r="H87" i="14" s="1"/>
  <c r="H86" i="14" a="1"/>
  <c r="H86" i="14" s="1"/>
  <c r="H85" i="14" a="1"/>
  <c r="H85" i="14" s="1"/>
  <c r="H84" i="14" a="1"/>
  <c r="H84" i="14" s="1"/>
  <c r="H83" i="14" a="1"/>
  <c r="H83" i="14" s="1"/>
  <c r="H82" i="14" a="1"/>
  <c r="H82" i="14" s="1"/>
  <c r="H81" i="14" a="1"/>
  <c r="H81" i="14" s="1"/>
  <c r="H80" i="14" a="1"/>
  <c r="H80" i="14" s="1"/>
  <c r="H79" i="14" a="1"/>
  <c r="H79" i="14" s="1"/>
  <c r="H78" i="14" a="1"/>
  <c r="H78" i="14" s="1"/>
  <c r="H77" i="14" a="1"/>
  <c r="H77" i="14" s="1"/>
  <c r="H76" i="14" a="1"/>
  <c r="H76" i="14" s="1"/>
  <c r="H75" i="14" a="1"/>
  <c r="H75" i="14" s="1"/>
  <c r="H74" i="14" a="1"/>
  <c r="H74" i="14" s="1"/>
  <c r="H73" i="14" a="1"/>
  <c r="H73" i="14" s="1"/>
  <c r="H72" i="14" a="1"/>
  <c r="H72" i="14" s="1"/>
  <c r="H71" i="14" a="1"/>
  <c r="H71" i="14" s="1"/>
  <c r="H70" i="14" a="1"/>
  <c r="H70" i="14" s="1"/>
  <c r="H69" i="14" a="1"/>
  <c r="H69" i="14" s="1"/>
  <c r="H68" i="14" a="1"/>
  <c r="H68" i="14" s="1"/>
  <c r="H67" i="14" a="1"/>
  <c r="H67" i="14" s="1"/>
  <c r="I67" i="14" s="1"/>
  <c r="J67" i="14" s="1"/>
  <c r="H66" i="14" a="1"/>
  <c r="H66" i="14" s="1"/>
  <c r="H65" i="14" a="1"/>
  <c r="H65" i="14" s="1"/>
  <c r="H64" i="14" a="1"/>
  <c r="H64" i="14" s="1"/>
  <c r="H63" i="14" a="1"/>
  <c r="H63" i="14" s="1"/>
  <c r="H62" i="14" a="1"/>
  <c r="H62" i="14" s="1"/>
  <c r="H61" i="14" a="1"/>
  <c r="H61" i="14" s="1"/>
  <c r="H60" i="14" a="1"/>
  <c r="H60" i="14" s="1"/>
  <c r="H59" i="14" a="1"/>
  <c r="H59" i="14" s="1"/>
  <c r="H58" i="14" a="1"/>
  <c r="H58" i="14" s="1"/>
  <c r="H57" i="14" a="1"/>
  <c r="H57" i="14" s="1"/>
  <c r="H56" i="14" a="1"/>
  <c r="H56" i="14" s="1"/>
  <c r="H55" i="14" a="1"/>
  <c r="H55" i="14" s="1"/>
  <c r="H54" i="14" a="1"/>
  <c r="H54" i="14" s="1"/>
  <c r="H53" i="14" a="1"/>
  <c r="H53" i="14" s="1"/>
  <c r="H52" i="14" a="1"/>
  <c r="H52" i="14" s="1"/>
  <c r="H51" i="14" a="1"/>
  <c r="H51" i="14" s="1"/>
  <c r="H50" i="14" a="1"/>
  <c r="H50" i="14" s="1"/>
  <c r="H49" i="14" a="1"/>
  <c r="H49" i="14" s="1"/>
  <c r="H48" i="14" a="1"/>
  <c r="H48" i="14" s="1"/>
  <c r="H47" i="14" a="1"/>
  <c r="H47" i="14" s="1"/>
  <c r="H46" i="14" a="1"/>
  <c r="H46" i="14" s="1"/>
  <c r="H45" i="14" a="1"/>
  <c r="H45" i="14" s="1"/>
  <c r="H44" i="14" a="1"/>
  <c r="H44" i="14" s="1"/>
  <c r="H43" i="14" a="1"/>
  <c r="H43" i="14" s="1"/>
  <c r="H42" i="14" a="1"/>
  <c r="H42" i="14" s="1"/>
  <c r="H41" i="14" a="1"/>
  <c r="H41" i="14" s="1"/>
  <c r="H40" i="14" a="1"/>
  <c r="H40" i="14" s="1"/>
  <c r="H39" i="14" a="1"/>
  <c r="H39" i="14" s="1"/>
  <c r="H38" i="14" a="1"/>
  <c r="H38" i="14" s="1"/>
  <c r="H37" i="14" a="1"/>
  <c r="H37" i="14" s="1"/>
  <c r="H36" i="14" a="1"/>
  <c r="H36" i="14" s="1"/>
  <c r="H35" i="14" a="1"/>
  <c r="H35" i="14" s="1"/>
  <c r="H34" i="14" a="1"/>
  <c r="H34" i="14" s="1"/>
  <c r="H33" i="14" a="1"/>
  <c r="H33" i="14" s="1"/>
  <c r="H32" i="14" a="1"/>
  <c r="H32" i="14" s="1"/>
  <c r="H31" i="14" a="1"/>
  <c r="H31" i="14" s="1"/>
  <c r="H30" i="14" a="1"/>
  <c r="H30" i="14" s="1"/>
  <c r="H29" i="14" a="1"/>
  <c r="H29" i="14" s="1"/>
  <c r="H28" i="14" a="1"/>
  <c r="H28" i="14" s="1"/>
  <c r="H27" i="14" a="1"/>
  <c r="H27" i="14" s="1"/>
  <c r="H26" i="14" a="1"/>
  <c r="H26" i="14" s="1"/>
  <c r="H25" i="14" a="1"/>
  <c r="H25" i="14" s="1"/>
  <c r="H24" i="14" a="1"/>
  <c r="H24" i="14" s="1"/>
  <c r="H23" i="14" a="1"/>
  <c r="H23" i="14" s="1"/>
  <c r="H22" i="14" a="1"/>
  <c r="H22" i="14" s="1"/>
  <c r="H21" i="14" a="1"/>
  <c r="H21" i="14" s="1"/>
  <c r="H20" i="14" a="1"/>
  <c r="H20" i="14" s="1"/>
  <c r="H19" i="14" a="1"/>
  <c r="H19" i="14" s="1"/>
  <c r="H18" i="14" a="1"/>
  <c r="H18" i="14" s="1"/>
  <c r="H17" i="14" a="1"/>
  <c r="H17" i="14" s="1"/>
  <c r="H16" i="14" a="1"/>
  <c r="H16" i="14" s="1"/>
  <c r="H15" i="14" a="1"/>
  <c r="H15" i="14" s="1"/>
  <c r="H14" i="14" a="1"/>
  <c r="H14" i="14" s="1"/>
  <c r="H13" i="14" a="1"/>
  <c r="H13" i="14" s="1"/>
  <c r="H12" i="14" a="1"/>
  <c r="H12" i="14" s="1"/>
  <c r="H11" i="14" a="1"/>
  <c r="H11" i="14" s="1"/>
  <c r="H10" i="14" a="1"/>
  <c r="H10" i="14" s="1"/>
  <c r="H9" i="14" a="1"/>
  <c r="H9" i="14" s="1"/>
  <c r="H8" i="14" a="1"/>
  <c r="H8" i="14" s="1"/>
  <c r="H7" i="14" a="1"/>
  <c r="H7" i="14" s="1"/>
  <c r="H6" i="14" a="1"/>
  <c r="H6" i="14" s="1"/>
  <c r="H5" i="14" a="1"/>
  <c r="H5" i="14" s="1"/>
  <c r="H4" i="14" a="1"/>
  <c r="H4" i="14" s="1"/>
  <c r="H3" i="14" a="1"/>
  <c r="H3" i="14" s="1"/>
  <c r="B4" i="14" a="1"/>
  <c r="B4" i="14" s="1"/>
  <c r="D3" i="14"/>
  <c r="B3" i="10" a="1"/>
  <c r="B3" i="10" s="1"/>
  <c r="C3" i="10" a="1"/>
  <c r="C3" i="10" s="1"/>
  <c r="D3" i="10" a="1"/>
  <c r="D3" i="10" s="1"/>
  <c r="E3" i="10" a="1"/>
  <c r="E3" i="10" s="1"/>
  <c r="F3" i="10" a="1"/>
  <c r="F3" i="10" s="1"/>
  <c r="G3" i="10" a="1"/>
  <c r="G3" i="10" s="1"/>
  <c r="H3" i="10" a="1"/>
  <c r="H3" i="10" s="1"/>
  <c r="I3" i="10" a="1"/>
  <c r="I3" i="10" s="1"/>
  <c r="J3" i="10" a="1"/>
  <c r="J3" i="10" s="1"/>
  <c r="K3" i="10" a="1"/>
  <c r="K3" i="10" s="1"/>
  <c r="B78" i="14" a="1"/>
  <c r="B78" i="14" s="1"/>
  <c r="B77" i="14" a="1"/>
  <c r="B77" i="14" s="1"/>
  <c r="B76" i="14" a="1"/>
  <c r="B76" i="14" s="1"/>
  <c r="B75" i="14" a="1"/>
  <c r="B75" i="14" s="1"/>
  <c r="B74" i="14" a="1"/>
  <c r="B74" i="14" s="1"/>
  <c r="B73" i="14" a="1"/>
  <c r="B73" i="14" s="1"/>
  <c r="B72" i="14" a="1"/>
  <c r="B72" i="14" s="1"/>
  <c r="B71" i="14" a="1"/>
  <c r="B71" i="14" s="1"/>
  <c r="B70" i="14" a="1"/>
  <c r="B70" i="14" s="1"/>
  <c r="B69" i="14" a="1"/>
  <c r="B69" i="14" s="1"/>
  <c r="B68" i="14" a="1"/>
  <c r="B68" i="14" s="1"/>
  <c r="B67" i="14" a="1"/>
  <c r="B67" i="14" s="1"/>
  <c r="B66" i="14" a="1"/>
  <c r="B66" i="14" s="1"/>
  <c r="B65" i="14" a="1"/>
  <c r="B65" i="14" s="1"/>
  <c r="B64" i="14" a="1"/>
  <c r="B64" i="14" s="1"/>
  <c r="B63" i="14" a="1"/>
  <c r="B63" i="14" s="1"/>
  <c r="B62" i="14" a="1"/>
  <c r="B62" i="14" s="1"/>
  <c r="B61" i="14" a="1"/>
  <c r="B61" i="14" s="1"/>
  <c r="B60" i="14" a="1"/>
  <c r="B60" i="14" s="1"/>
  <c r="B59" i="14" a="1"/>
  <c r="B59" i="14" s="1"/>
  <c r="B58" i="14" a="1"/>
  <c r="B58" i="14" s="1"/>
  <c r="B57" i="14" a="1"/>
  <c r="B57" i="14" s="1"/>
  <c r="B56" i="14" a="1"/>
  <c r="B56" i="14" s="1"/>
  <c r="B55" i="14" a="1"/>
  <c r="B55" i="14" s="1"/>
  <c r="B54" i="14" a="1"/>
  <c r="B54" i="14" s="1"/>
  <c r="B53" i="14" a="1"/>
  <c r="B53" i="14" s="1"/>
  <c r="B52" i="14" a="1"/>
  <c r="B52" i="14" s="1"/>
  <c r="B51" i="14" a="1"/>
  <c r="B51" i="14" s="1"/>
  <c r="B50" i="14" a="1"/>
  <c r="B50" i="14" s="1"/>
  <c r="B49" i="14" a="1"/>
  <c r="B49" i="14" s="1"/>
  <c r="B48" i="14" a="1"/>
  <c r="B48" i="14" s="1"/>
  <c r="B47" i="14" a="1"/>
  <c r="B47" i="14" s="1"/>
  <c r="B46" i="14" a="1"/>
  <c r="B46" i="14" s="1"/>
  <c r="B45" i="14" a="1"/>
  <c r="B45" i="14" s="1"/>
  <c r="B44" i="14" a="1"/>
  <c r="B44" i="14" s="1"/>
  <c r="B43" i="14" a="1"/>
  <c r="B43" i="14" s="1"/>
  <c r="B42" i="14" a="1"/>
  <c r="B42" i="14" s="1"/>
  <c r="B41" i="14" a="1"/>
  <c r="B41" i="14" s="1"/>
  <c r="B40" i="14" a="1"/>
  <c r="B40" i="14" s="1"/>
  <c r="B39" i="14" a="1"/>
  <c r="B39" i="14" s="1"/>
  <c r="B38" i="14" a="1"/>
  <c r="B38" i="14" s="1"/>
  <c r="B37" i="14" a="1"/>
  <c r="B37" i="14" s="1"/>
  <c r="B36" i="14" a="1"/>
  <c r="B36" i="14" s="1"/>
  <c r="B35" i="14" a="1"/>
  <c r="B35" i="14" s="1"/>
  <c r="B34" i="14" a="1"/>
  <c r="B34" i="14" s="1"/>
  <c r="B33" i="14" a="1"/>
  <c r="B33" i="14" s="1"/>
  <c r="B32" i="14" a="1"/>
  <c r="B32" i="14" s="1"/>
  <c r="B31" i="14" a="1"/>
  <c r="B31" i="14" s="1"/>
  <c r="B30" i="14" a="1"/>
  <c r="B30" i="14" s="1"/>
  <c r="B29" i="14" a="1"/>
  <c r="B29" i="14" s="1"/>
  <c r="B28" i="14" a="1"/>
  <c r="B28" i="14" s="1"/>
  <c r="B27" i="14" a="1"/>
  <c r="B27" i="14" s="1"/>
  <c r="B26" i="14" a="1"/>
  <c r="B26" i="14" s="1"/>
  <c r="B25" i="14" a="1"/>
  <c r="B25" i="14" s="1"/>
  <c r="B24" i="14" a="1"/>
  <c r="B24" i="14" s="1"/>
  <c r="B23" i="14" a="1"/>
  <c r="B23" i="14" s="1"/>
  <c r="B22" i="14" a="1"/>
  <c r="B22" i="14" s="1"/>
  <c r="B21" i="14" a="1"/>
  <c r="B21" i="14" s="1"/>
  <c r="B20" i="14" a="1"/>
  <c r="B20" i="14" s="1"/>
  <c r="B19" i="14" a="1"/>
  <c r="B19" i="14" s="1"/>
  <c r="B18" i="14" a="1"/>
  <c r="B18" i="14" s="1"/>
  <c r="B17" i="14" a="1"/>
  <c r="B17" i="14" s="1"/>
  <c r="B16" i="14" a="1"/>
  <c r="B16" i="14" s="1"/>
  <c r="B15" i="14" a="1"/>
  <c r="B15" i="14" s="1"/>
  <c r="B14" i="14" a="1"/>
  <c r="B14" i="14" s="1"/>
  <c r="B13" i="14" a="1"/>
  <c r="B13" i="14" s="1"/>
  <c r="B12" i="14" a="1"/>
  <c r="B12" i="14" s="1"/>
  <c r="B11" i="14" a="1"/>
  <c r="B11" i="14" s="1"/>
  <c r="B10" i="14" a="1"/>
  <c r="B10" i="14" s="1"/>
  <c r="B9" i="14" a="1"/>
  <c r="B9" i="14" s="1"/>
  <c r="B8" i="14" a="1"/>
  <c r="B8" i="14" s="1"/>
  <c r="B7" i="14" a="1"/>
  <c r="B7" i="14" s="1"/>
  <c r="B6" i="14" a="1"/>
  <c r="B6" i="14" s="1"/>
  <c r="D5" i="10" a="1"/>
  <c r="D5" i="10" s="1"/>
  <c r="C4" i="12"/>
  <c r="C5" i="12"/>
  <c r="C6" i="12"/>
  <c r="C7" i="12"/>
  <c r="C8" i="12"/>
  <c r="C9" i="12"/>
  <c r="C10" i="12"/>
  <c r="C11" i="12"/>
  <c r="C12" i="12"/>
  <c r="C3" i="12"/>
  <c r="W4" i="10" a="1"/>
  <c r="W4" i="10" s="1"/>
  <c r="W3" i="10" a="1"/>
  <c r="W3" i="10" s="1"/>
  <c r="W5" i="10" a="1"/>
  <c r="W5" i="10" s="1"/>
  <c r="W6" i="10" a="1"/>
  <c r="W6" i="10" s="1"/>
  <c r="W7" i="10" a="1"/>
  <c r="W7" i="10" s="1"/>
  <c r="W8" i="10" a="1"/>
  <c r="W8" i="10" s="1"/>
  <c r="W9" i="10" a="1"/>
  <c r="W9" i="10" s="1"/>
  <c r="W10" i="10" a="1"/>
  <c r="W10" i="10" s="1"/>
  <c r="W11" i="10" a="1"/>
  <c r="W11" i="10" s="1"/>
  <c r="W12" i="10" a="1"/>
  <c r="W12" i="10" s="1"/>
  <c r="W13" i="10" a="1"/>
  <c r="W13" i="10" s="1"/>
  <c r="W14" i="10" a="1"/>
  <c r="W14" i="10" s="1"/>
  <c r="W15" i="10" a="1"/>
  <c r="W15" i="10" s="1"/>
  <c r="W16" i="10" a="1"/>
  <c r="W16" i="10" s="1"/>
  <c r="W17" i="10" a="1"/>
  <c r="W17" i="10" s="1"/>
  <c r="W18" i="10" a="1"/>
  <c r="W18" i="10" s="1"/>
  <c r="W19" i="10" a="1"/>
  <c r="W19" i="10" s="1"/>
  <c r="W20" i="10" a="1"/>
  <c r="W20" i="10" s="1"/>
  <c r="W21" i="10" a="1"/>
  <c r="W21" i="10" s="1"/>
  <c r="W22" i="10" a="1"/>
  <c r="W22" i="10" s="1"/>
  <c r="W23" i="10" a="1"/>
  <c r="W23" i="10" s="1"/>
  <c r="W24" i="10" a="1"/>
  <c r="W24" i="10" s="1"/>
  <c r="W25" i="10" a="1"/>
  <c r="W25" i="10" s="1"/>
  <c r="W26" i="10" a="1"/>
  <c r="W26" i="10" s="1"/>
  <c r="W27" i="10" a="1"/>
  <c r="W27" i="10" s="1"/>
  <c r="W28" i="10" a="1"/>
  <c r="W28" i="10" s="1"/>
  <c r="W29" i="10" a="1"/>
  <c r="W29" i="10" s="1"/>
  <c r="W30" i="10" a="1"/>
  <c r="W30" i="10" s="1"/>
  <c r="W31" i="10" a="1"/>
  <c r="W31" i="10" s="1"/>
  <c r="W32" i="10" a="1"/>
  <c r="W32" i="10" s="1"/>
  <c r="W33" i="10" a="1"/>
  <c r="W33" i="10" s="1"/>
  <c r="W34" i="10" a="1"/>
  <c r="W34" i="10" s="1"/>
  <c r="W35" i="10" a="1"/>
  <c r="W35" i="10" s="1"/>
  <c r="W36" i="10" a="1"/>
  <c r="W36" i="10" s="1"/>
  <c r="W37" i="10" a="1"/>
  <c r="W37" i="10" s="1"/>
  <c r="W38" i="10" a="1"/>
  <c r="W38" i="10" s="1"/>
  <c r="W39" i="10" a="1"/>
  <c r="W39" i="10" s="1"/>
  <c r="W40" i="10" a="1"/>
  <c r="W40" i="10" s="1"/>
  <c r="W41" i="10" a="1"/>
  <c r="W41" i="10" s="1"/>
  <c r="W42" i="10" a="1"/>
  <c r="W42" i="10" s="1"/>
  <c r="W43" i="10" a="1"/>
  <c r="W43" i="10" s="1"/>
  <c r="W44" i="10" a="1"/>
  <c r="W44" i="10" s="1"/>
  <c r="W45" i="10" a="1"/>
  <c r="W45" i="10" s="1"/>
  <c r="W46" i="10" a="1"/>
  <c r="W46" i="10" s="1"/>
  <c r="W47" i="10" a="1"/>
  <c r="W47" i="10" s="1"/>
  <c r="W48" i="10" a="1"/>
  <c r="W48" i="10" s="1"/>
  <c r="W49" i="10" a="1"/>
  <c r="W49" i="10" s="1"/>
  <c r="W50" i="10" a="1"/>
  <c r="W50" i="10" s="1"/>
  <c r="W51" i="10" a="1"/>
  <c r="W51" i="10" s="1"/>
  <c r="W52" i="10" a="1"/>
  <c r="W52" i="10" s="1"/>
  <c r="W53" i="10" a="1"/>
  <c r="W53" i="10" s="1"/>
  <c r="W54" i="10" a="1"/>
  <c r="W54" i="10" s="1"/>
  <c r="W55" i="10" a="1"/>
  <c r="W55" i="10" s="1"/>
  <c r="W56" i="10" a="1"/>
  <c r="W56" i="10" s="1"/>
  <c r="W57" i="10" a="1"/>
  <c r="W57" i="10" s="1"/>
  <c r="W58" i="10" a="1"/>
  <c r="W58" i="10" s="1"/>
  <c r="W59" i="10" a="1"/>
  <c r="W59" i="10" s="1"/>
  <c r="W60" i="10" a="1"/>
  <c r="W60" i="10" s="1"/>
  <c r="W61" i="10" a="1"/>
  <c r="W61" i="10" s="1"/>
  <c r="W62" i="10" a="1"/>
  <c r="W62" i="10" s="1"/>
  <c r="W63" i="10" a="1"/>
  <c r="W63" i="10" s="1"/>
  <c r="W64" i="10" a="1"/>
  <c r="W64" i="10" s="1"/>
  <c r="W65" i="10" a="1"/>
  <c r="W65" i="10" s="1"/>
  <c r="W66" i="10" a="1"/>
  <c r="W66" i="10" s="1"/>
  <c r="W67" i="10" a="1"/>
  <c r="W67" i="10" s="1"/>
  <c r="W68" i="10" a="1"/>
  <c r="W68" i="10" s="1"/>
  <c r="W69" i="10" a="1"/>
  <c r="W69" i="10" s="1"/>
  <c r="W70" i="10" a="1"/>
  <c r="W70" i="10" s="1"/>
  <c r="W71" i="10" a="1"/>
  <c r="W71" i="10" s="1"/>
  <c r="W72" i="10" a="1"/>
  <c r="W72" i="10" s="1"/>
  <c r="W73" i="10" a="1"/>
  <c r="W73" i="10" s="1"/>
  <c r="W74" i="10" a="1"/>
  <c r="W74" i="10" s="1"/>
  <c r="W75" i="10" a="1"/>
  <c r="W75" i="10" s="1"/>
  <c r="W76" i="10" a="1"/>
  <c r="W76" i="10" s="1"/>
  <c r="W77" i="10" a="1"/>
  <c r="W77" i="10" s="1"/>
  <c r="W78" i="10" a="1"/>
  <c r="W78" i="10" s="1"/>
  <c r="W79" i="10" a="1"/>
  <c r="W79" i="10" s="1"/>
  <c r="W80" i="10" a="1"/>
  <c r="W80" i="10" s="1"/>
  <c r="W81" i="10" a="1"/>
  <c r="W81" i="10" s="1"/>
  <c r="W82" i="10" a="1"/>
  <c r="W82" i="10" s="1"/>
  <c r="W83" i="10" a="1"/>
  <c r="W83" i="10" s="1"/>
  <c r="W84" i="10" a="1"/>
  <c r="W84" i="10" s="1"/>
  <c r="W85" i="10" a="1"/>
  <c r="W85" i="10" s="1"/>
  <c r="W86" i="10" a="1"/>
  <c r="W86" i="10" s="1"/>
  <c r="W87" i="10" a="1"/>
  <c r="W87" i="10" s="1"/>
  <c r="W88" i="10" a="1"/>
  <c r="W88" i="10" s="1"/>
  <c r="W89" i="10" a="1"/>
  <c r="W89" i="10" s="1"/>
  <c r="W90" i="10" a="1"/>
  <c r="W90" i="10" s="1"/>
  <c r="W91" i="10" a="1"/>
  <c r="W91" i="10" s="1"/>
  <c r="W92" i="10" a="1"/>
  <c r="W92" i="10" s="1"/>
  <c r="W93" i="10" a="1"/>
  <c r="W93" i="10" s="1"/>
  <c r="W94" i="10" a="1"/>
  <c r="W94" i="10" s="1"/>
  <c r="W95" i="10" a="1"/>
  <c r="W95" i="10" s="1"/>
  <c r="W96" i="10" a="1"/>
  <c r="W96" i="10" s="1"/>
  <c r="W97" i="10" a="1"/>
  <c r="W97" i="10" s="1"/>
  <c r="W98" i="10" a="1"/>
  <c r="W98" i="10" s="1"/>
  <c r="W99" i="10" a="1"/>
  <c r="W99" i="10" s="1"/>
  <c r="W100" i="10" a="1"/>
  <c r="W100" i="10" s="1"/>
  <c r="W101" i="10" a="1"/>
  <c r="W101" i="10" s="1"/>
  <c r="W102" i="10" a="1"/>
  <c r="W102" i="10" s="1"/>
  <c r="W103" i="10" a="1"/>
  <c r="W103" i="10" s="1"/>
  <c r="W104" i="10" a="1"/>
  <c r="W104" i="10" s="1"/>
  <c r="W105" i="10" a="1"/>
  <c r="W105" i="10" s="1"/>
  <c r="W106" i="10" a="1"/>
  <c r="W106" i="10" s="1"/>
  <c r="W107" i="10" a="1"/>
  <c r="W107" i="10" s="1"/>
  <c r="W108" i="10" a="1"/>
  <c r="W108" i="10" s="1"/>
  <c r="W109" i="10" a="1"/>
  <c r="W109" i="10" s="1"/>
  <c r="W110" i="10" a="1"/>
  <c r="W110" i="10" s="1"/>
  <c r="W111" i="10" a="1"/>
  <c r="W111" i="10" s="1"/>
  <c r="W112" i="10" a="1"/>
  <c r="W112" i="10" s="1"/>
  <c r="W113" i="10" a="1"/>
  <c r="W113" i="10" s="1"/>
  <c r="W114" i="10" a="1"/>
  <c r="W114" i="10" s="1"/>
  <c r="W115" i="10" a="1"/>
  <c r="W115" i="10" s="1"/>
  <c r="W116" i="10" a="1"/>
  <c r="W116" i="10" s="1"/>
  <c r="W117" i="10" a="1"/>
  <c r="W117" i="10" s="1"/>
  <c r="W118" i="10" a="1"/>
  <c r="W118" i="10" s="1"/>
  <c r="W119" i="10" a="1"/>
  <c r="W119" i="10" s="1"/>
  <c r="W120" i="10" a="1"/>
  <c r="W120" i="10" s="1"/>
  <c r="W121" i="10" a="1"/>
  <c r="W121" i="10" s="1"/>
  <c r="W122" i="10" a="1"/>
  <c r="W122" i="10" s="1"/>
  <c r="W123" i="10" a="1"/>
  <c r="W123" i="10" s="1"/>
  <c r="W124" i="10" a="1"/>
  <c r="W124" i="10" s="1"/>
  <c r="W125" i="10" a="1"/>
  <c r="W125" i="10" s="1"/>
  <c r="W126" i="10" a="1"/>
  <c r="W126" i="10" s="1"/>
  <c r="W127" i="10" a="1"/>
  <c r="W127" i="10" s="1"/>
  <c r="W128" i="10" a="1"/>
  <c r="W128" i="10" s="1"/>
  <c r="W129" i="10" a="1"/>
  <c r="W129" i="10" s="1"/>
  <c r="W130" i="10" a="1"/>
  <c r="W130" i="10" s="1"/>
  <c r="W131" i="10" a="1"/>
  <c r="W131" i="10" s="1"/>
  <c r="W132" i="10" a="1"/>
  <c r="W132" i="10" s="1"/>
  <c r="W133" i="10" a="1"/>
  <c r="W133" i="10" s="1"/>
  <c r="W134" i="10" a="1"/>
  <c r="W134" i="10" s="1"/>
  <c r="W135" i="10" a="1"/>
  <c r="W135" i="10" s="1"/>
  <c r="W136" i="10" a="1"/>
  <c r="W136" i="10" s="1"/>
  <c r="W137" i="10" a="1"/>
  <c r="W137" i="10" s="1"/>
  <c r="W138" i="10" a="1"/>
  <c r="W138" i="10" s="1"/>
  <c r="W139" i="10" a="1"/>
  <c r="W139" i="10" s="1"/>
  <c r="W140" i="10" a="1"/>
  <c r="W140" i="10" s="1"/>
  <c r="W141" i="10" a="1"/>
  <c r="W141" i="10" s="1"/>
  <c r="W142" i="10" a="1"/>
  <c r="W142" i="10" s="1"/>
  <c r="W143" i="10" a="1"/>
  <c r="W143" i="10" s="1"/>
  <c r="W144" i="10" a="1"/>
  <c r="W144" i="10" s="1"/>
  <c r="W145" i="10" a="1"/>
  <c r="W145" i="10" s="1"/>
  <c r="W146" i="10" a="1"/>
  <c r="W146" i="10" s="1"/>
  <c r="W147" i="10" a="1"/>
  <c r="W147" i="10" s="1"/>
  <c r="W148" i="10" a="1"/>
  <c r="W148" i="10" s="1"/>
  <c r="W149" i="10" a="1"/>
  <c r="W149" i="10" s="1"/>
  <c r="W150" i="10" a="1"/>
  <c r="W150" i="10" s="1"/>
  <c r="W151" i="10" a="1"/>
  <c r="W151" i="10" s="1"/>
  <c r="W152" i="10" a="1"/>
  <c r="W152" i="10" s="1"/>
  <c r="W153" i="10" a="1"/>
  <c r="W153" i="10" s="1"/>
  <c r="V3" i="10" a="1"/>
  <c r="V3" i="10" s="1"/>
  <c r="V4" i="10" a="1"/>
  <c r="V4" i="10" s="1"/>
  <c r="V5" i="10" a="1"/>
  <c r="V5" i="10" s="1"/>
  <c r="V6" i="10" a="1"/>
  <c r="V6" i="10" s="1"/>
  <c r="V7" i="10" a="1"/>
  <c r="V7" i="10" s="1"/>
  <c r="V8" i="10" a="1"/>
  <c r="V8" i="10" s="1"/>
  <c r="V9" i="10" a="1"/>
  <c r="V9" i="10" s="1"/>
  <c r="V10" i="10" a="1"/>
  <c r="V10" i="10" s="1"/>
  <c r="V11" i="10" a="1"/>
  <c r="V11" i="10" s="1"/>
  <c r="V12" i="10" a="1"/>
  <c r="V12" i="10" s="1"/>
  <c r="V13" i="10" a="1"/>
  <c r="V13" i="10" s="1"/>
  <c r="V14" i="10" a="1"/>
  <c r="V14" i="10" s="1"/>
  <c r="V15" i="10" a="1"/>
  <c r="V15" i="10" s="1"/>
  <c r="V16" i="10" a="1"/>
  <c r="V16" i="10" s="1"/>
  <c r="V17" i="10" a="1"/>
  <c r="V17" i="10" s="1"/>
  <c r="V18" i="10" a="1"/>
  <c r="V18" i="10" s="1"/>
  <c r="V19" i="10" a="1"/>
  <c r="V19" i="10" s="1"/>
  <c r="V20" i="10" a="1"/>
  <c r="V20" i="10" s="1"/>
  <c r="V21" i="10" a="1"/>
  <c r="V21" i="10" s="1"/>
  <c r="V22" i="10" a="1"/>
  <c r="V22" i="10" s="1"/>
  <c r="V23" i="10" a="1"/>
  <c r="V23" i="10" s="1"/>
  <c r="V24" i="10" a="1"/>
  <c r="V24" i="10" s="1"/>
  <c r="V25" i="10" a="1"/>
  <c r="V25" i="10" s="1"/>
  <c r="V26" i="10" a="1"/>
  <c r="V26" i="10" s="1"/>
  <c r="V27" i="10" a="1"/>
  <c r="V27" i="10" s="1"/>
  <c r="V28" i="10" a="1"/>
  <c r="V28" i="10" s="1"/>
  <c r="V29" i="10" a="1"/>
  <c r="V29" i="10" s="1"/>
  <c r="V30" i="10" a="1"/>
  <c r="V30" i="10" s="1"/>
  <c r="V31" i="10" a="1"/>
  <c r="V31" i="10" s="1"/>
  <c r="V32" i="10" a="1"/>
  <c r="V32" i="10" s="1"/>
  <c r="V33" i="10" a="1"/>
  <c r="V33" i="10" s="1"/>
  <c r="V34" i="10" a="1"/>
  <c r="V34" i="10" s="1"/>
  <c r="V35" i="10" a="1"/>
  <c r="V35" i="10" s="1"/>
  <c r="V36" i="10" a="1"/>
  <c r="V36" i="10" s="1"/>
  <c r="V37" i="10" a="1"/>
  <c r="V37" i="10" s="1"/>
  <c r="V38" i="10" a="1"/>
  <c r="V38" i="10" s="1"/>
  <c r="V39" i="10" a="1"/>
  <c r="V39" i="10" s="1"/>
  <c r="V40" i="10" a="1"/>
  <c r="V40" i="10" s="1"/>
  <c r="V41" i="10" a="1"/>
  <c r="V41" i="10" s="1"/>
  <c r="V42" i="10" a="1"/>
  <c r="V42" i="10" s="1"/>
  <c r="V43" i="10" a="1"/>
  <c r="V43" i="10" s="1"/>
  <c r="V44" i="10" a="1"/>
  <c r="V44" i="10" s="1"/>
  <c r="V45" i="10" a="1"/>
  <c r="V45" i="10" s="1"/>
  <c r="V46" i="10" a="1"/>
  <c r="V46" i="10" s="1"/>
  <c r="V47" i="10" a="1"/>
  <c r="V47" i="10" s="1"/>
  <c r="V48" i="10" a="1"/>
  <c r="V48" i="10" s="1"/>
  <c r="V49" i="10" a="1"/>
  <c r="V49" i="10" s="1"/>
  <c r="V50" i="10" a="1"/>
  <c r="V50" i="10" s="1"/>
  <c r="V51" i="10" a="1"/>
  <c r="V51" i="10" s="1"/>
  <c r="V52" i="10" a="1"/>
  <c r="V52" i="10" s="1"/>
  <c r="V53" i="10" a="1"/>
  <c r="V53" i="10" s="1"/>
  <c r="V54" i="10" a="1"/>
  <c r="V54" i="10" s="1"/>
  <c r="V55" i="10" a="1"/>
  <c r="V55" i="10" s="1"/>
  <c r="V56" i="10" a="1"/>
  <c r="V56" i="10" s="1"/>
  <c r="V57" i="10" a="1"/>
  <c r="V57" i="10" s="1"/>
  <c r="V58" i="10" a="1"/>
  <c r="V58" i="10" s="1"/>
  <c r="V59" i="10" a="1"/>
  <c r="V59" i="10" s="1"/>
  <c r="V60" i="10" a="1"/>
  <c r="V60" i="10" s="1"/>
  <c r="V61" i="10" a="1"/>
  <c r="V61" i="10" s="1"/>
  <c r="V62" i="10" a="1"/>
  <c r="V62" i="10" s="1"/>
  <c r="V63" i="10" a="1"/>
  <c r="V63" i="10" s="1"/>
  <c r="V64" i="10" a="1"/>
  <c r="V64" i="10" s="1"/>
  <c r="V65" i="10" a="1"/>
  <c r="V65" i="10" s="1"/>
  <c r="V66" i="10" a="1"/>
  <c r="V66" i="10" s="1"/>
  <c r="V67" i="10" a="1"/>
  <c r="V67" i="10" s="1"/>
  <c r="V68" i="10" a="1"/>
  <c r="V68" i="10" s="1"/>
  <c r="V69" i="10" a="1"/>
  <c r="V69" i="10" s="1"/>
  <c r="V70" i="10" a="1"/>
  <c r="V70" i="10" s="1"/>
  <c r="V71" i="10" a="1"/>
  <c r="V71" i="10" s="1"/>
  <c r="V72" i="10" a="1"/>
  <c r="V72" i="10" s="1"/>
  <c r="V73" i="10" a="1"/>
  <c r="V73" i="10" s="1"/>
  <c r="V74" i="10" a="1"/>
  <c r="V74" i="10" s="1"/>
  <c r="V75" i="10" a="1"/>
  <c r="V75" i="10" s="1"/>
  <c r="V76" i="10" a="1"/>
  <c r="V76" i="10" s="1"/>
  <c r="V77" i="10" a="1"/>
  <c r="V77" i="10" s="1"/>
  <c r="V78" i="10" a="1"/>
  <c r="V78" i="10" s="1"/>
  <c r="V79" i="10" a="1"/>
  <c r="V79" i="10" s="1"/>
  <c r="V80" i="10" a="1"/>
  <c r="V80" i="10" s="1"/>
  <c r="V81" i="10" a="1"/>
  <c r="V81" i="10" s="1"/>
  <c r="V82" i="10" a="1"/>
  <c r="V82" i="10" s="1"/>
  <c r="V83" i="10" a="1"/>
  <c r="V83" i="10" s="1"/>
  <c r="V84" i="10" a="1"/>
  <c r="V84" i="10" s="1"/>
  <c r="V85" i="10" a="1"/>
  <c r="V85" i="10" s="1"/>
  <c r="V86" i="10" a="1"/>
  <c r="V86" i="10" s="1"/>
  <c r="V87" i="10" a="1"/>
  <c r="V87" i="10" s="1"/>
  <c r="V88" i="10" a="1"/>
  <c r="V88" i="10" s="1"/>
  <c r="V89" i="10" a="1"/>
  <c r="V89" i="10" s="1"/>
  <c r="V90" i="10" a="1"/>
  <c r="V90" i="10" s="1"/>
  <c r="V91" i="10" a="1"/>
  <c r="V91" i="10" s="1"/>
  <c r="V92" i="10" a="1"/>
  <c r="V92" i="10" s="1"/>
  <c r="V93" i="10" a="1"/>
  <c r="V93" i="10" s="1"/>
  <c r="V94" i="10" a="1"/>
  <c r="V94" i="10" s="1"/>
  <c r="V95" i="10" a="1"/>
  <c r="V95" i="10" s="1"/>
  <c r="V96" i="10" a="1"/>
  <c r="V96" i="10" s="1"/>
  <c r="V97" i="10" a="1"/>
  <c r="V97" i="10" s="1"/>
  <c r="V98" i="10" a="1"/>
  <c r="V98" i="10" s="1"/>
  <c r="V99" i="10" a="1"/>
  <c r="V99" i="10" s="1"/>
  <c r="V100" i="10" a="1"/>
  <c r="V100" i="10" s="1"/>
  <c r="V101" i="10" a="1"/>
  <c r="V101" i="10" s="1"/>
  <c r="V102" i="10" a="1"/>
  <c r="V102" i="10" s="1"/>
  <c r="V103" i="10" a="1"/>
  <c r="V103" i="10" s="1"/>
  <c r="V104" i="10" a="1"/>
  <c r="V104" i="10" s="1"/>
  <c r="V105" i="10" a="1"/>
  <c r="V105" i="10" s="1"/>
  <c r="V106" i="10" a="1"/>
  <c r="V106" i="10" s="1"/>
  <c r="V107" i="10" a="1"/>
  <c r="V107" i="10" s="1"/>
  <c r="V108" i="10" a="1"/>
  <c r="V108" i="10" s="1"/>
  <c r="V109" i="10" a="1"/>
  <c r="V109" i="10" s="1"/>
  <c r="V110" i="10" a="1"/>
  <c r="V110" i="10" s="1"/>
  <c r="V111" i="10" a="1"/>
  <c r="V111" i="10" s="1"/>
  <c r="V112" i="10" a="1"/>
  <c r="V112" i="10" s="1"/>
  <c r="V113" i="10" a="1"/>
  <c r="V113" i="10" s="1"/>
  <c r="V114" i="10" a="1"/>
  <c r="V114" i="10" s="1"/>
  <c r="V115" i="10" a="1"/>
  <c r="V115" i="10" s="1"/>
  <c r="V116" i="10" a="1"/>
  <c r="V116" i="10" s="1"/>
  <c r="V117" i="10" a="1"/>
  <c r="V117" i="10" s="1"/>
  <c r="V118" i="10" a="1"/>
  <c r="V118" i="10" s="1"/>
  <c r="V119" i="10" a="1"/>
  <c r="V119" i="10" s="1"/>
  <c r="V120" i="10" a="1"/>
  <c r="V120" i="10" s="1"/>
  <c r="V121" i="10" a="1"/>
  <c r="V121" i="10" s="1"/>
  <c r="V122" i="10" a="1"/>
  <c r="V122" i="10" s="1"/>
  <c r="V123" i="10" a="1"/>
  <c r="V123" i="10" s="1"/>
  <c r="V124" i="10" a="1"/>
  <c r="V124" i="10" s="1"/>
  <c r="V125" i="10" a="1"/>
  <c r="V125" i="10" s="1"/>
  <c r="V126" i="10" a="1"/>
  <c r="V126" i="10" s="1"/>
  <c r="V127" i="10" a="1"/>
  <c r="V127" i="10" s="1"/>
  <c r="V128" i="10" a="1"/>
  <c r="V128" i="10" s="1"/>
  <c r="V129" i="10" a="1"/>
  <c r="V129" i="10" s="1"/>
  <c r="V130" i="10" a="1"/>
  <c r="V130" i="10" s="1"/>
  <c r="V131" i="10" a="1"/>
  <c r="V131" i="10" s="1"/>
  <c r="V132" i="10" a="1"/>
  <c r="V132" i="10" s="1"/>
  <c r="V133" i="10" a="1"/>
  <c r="V133" i="10" s="1"/>
  <c r="V134" i="10" a="1"/>
  <c r="V134" i="10" s="1"/>
  <c r="V135" i="10" a="1"/>
  <c r="V135" i="10" s="1"/>
  <c r="V136" i="10" a="1"/>
  <c r="V136" i="10" s="1"/>
  <c r="V137" i="10" a="1"/>
  <c r="V137" i="10" s="1"/>
  <c r="V138" i="10" a="1"/>
  <c r="V138" i="10" s="1"/>
  <c r="V139" i="10" a="1"/>
  <c r="V139" i="10" s="1"/>
  <c r="V140" i="10" a="1"/>
  <c r="V140" i="10" s="1"/>
  <c r="V141" i="10" a="1"/>
  <c r="V141" i="10" s="1"/>
  <c r="V142" i="10" a="1"/>
  <c r="V142" i="10" s="1"/>
  <c r="V143" i="10" a="1"/>
  <c r="V143" i="10" s="1"/>
  <c r="V144" i="10" a="1"/>
  <c r="V144" i="10" s="1"/>
  <c r="V145" i="10" a="1"/>
  <c r="V145" i="10" s="1"/>
  <c r="V146" i="10" a="1"/>
  <c r="V146" i="10" s="1"/>
  <c r="V147" i="10" a="1"/>
  <c r="V147" i="10" s="1"/>
  <c r="V148" i="10" a="1"/>
  <c r="V148" i="10" s="1"/>
  <c r="V149" i="10" a="1"/>
  <c r="V149" i="10" s="1"/>
  <c r="V150" i="10" a="1"/>
  <c r="V150" i="10" s="1"/>
  <c r="V151" i="10" a="1"/>
  <c r="V151" i="10" s="1"/>
  <c r="V152" i="10" a="1"/>
  <c r="V152" i="10" s="1"/>
  <c r="V153" i="10" a="1"/>
  <c r="V153" i="10" s="1"/>
  <c r="U3" i="10" a="1"/>
  <c r="U3" i="10" s="1"/>
  <c r="U4" i="10" a="1"/>
  <c r="U4" i="10" s="1"/>
  <c r="U5" i="10" a="1"/>
  <c r="U5" i="10" s="1"/>
  <c r="U6" i="10" a="1"/>
  <c r="U6" i="10" s="1"/>
  <c r="U7" i="10" a="1"/>
  <c r="U7" i="10" s="1"/>
  <c r="U8" i="10" a="1"/>
  <c r="U8" i="10" s="1"/>
  <c r="U9" i="10" a="1"/>
  <c r="U9" i="10" s="1"/>
  <c r="U10" i="10" a="1"/>
  <c r="U10" i="10" s="1"/>
  <c r="U11" i="10" a="1"/>
  <c r="U11" i="10" s="1"/>
  <c r="U12" i="10" a="1"/>
  <c r="U12" i="10" s="1"/>
  <c r="U13" i="10" a="1"/>
  <c r="U13" i="10" s="1"/>
  <c r="U14" i="10" a="1"/>
  <c r="U14" i="10" s="1"/>
  <c r="U15" i="10" a="1"/>
  <c r="U15" i="10" s="1"/>
  <c r="U16" i="10" a="1"/>
  <c r="U16" i="10" s="1"/>
  <c r="U17" i="10" a="1"/>
  <c r="U17" i="10" s="1"/>
  <c r="U18" i="10" a="1"/>
  <c r="U18" i="10" s="1"/>
  <c r="U19" i="10" a="1"/>
  <c r="U19" i="10" s="1"/>
  <c r="U20" i="10" a="1"/>
  <c r="U20" i="10" s="1"/>
  <c r="U21" i="10" a="1"/>
  <c r="U21" i="10" s="1"/>
  <c r="U22" i="10" a="1"/>
  <c r="U22" i="10" s="1"/>
  <c r="U23" i="10" a="1"/>
  <c r="U23" i="10" s="1"/>
  <c r="U24" i="10" a="1"/>
  <c r="U24" i="10" s="1"/>
  <c r="U25" i="10" a="1"/>
  <c r="U25" i="10" s="1"/>
  <c r="U26" i="10" a="1"/>
  <c r="U26" i="10" s="1"/>
  <c r="U27" i="10" a="1"/>
  <c r="U27" i="10" s="1"/>
  <c r="U28" i="10" a="1"/>
  <c r="U28" i="10" s="1"/>
  <c r="U29" i="10" a="1"/>
  <c r="U29" i="10" s="1"/>
  <c r="U30" i="10" a="1"/>
  <c r="U30" i="10" s="1"/>
  <c r="U31" i="10" a="1"/>
  <c r="U31" i="10" s="1"/>
  <c r="U32" i="10" a="1"/>
  <c r="U32" i="10" s="1"/>
  <c r="U33" i="10" a="1"/>
  <c r="U33" i="10" s="1"/>
  <c r="U34" i="10" a="1"/>
  <c r="U34" i="10" s="1"/>
  <c r="U35" i="10" a="1"/>
  <c r="U35" i="10" s="1"/>
  <c r="U36" i="10" a="1"/>
  <c r="U36" i="10" s="1"/>
  <c r="U37" i="10" a="1"/>
  <c r="U37" i="10" s="1"/>
  <c r="U38" i="10" a="1"/>
  <c r="U38" i="10" s="1"/>
  <c r="U39" i="10" a="1"/>
  <c r="U39" i="10" s="1"/>
  <c r="U40" i="10" a="1"/>
  <c r="U40" i="10" s="1"/>
  <c r="U41" i="10" a="1"/>
  <c r="U41" i="10" s="1"/>
  <c r="U42" i="10" a="1"/>
  <c r="U42" i="10" s="1"/>
  <c r="U43" i="10" a="1"/>
  <c r="U43" i="10" s="1"/>
  <c r="U44" i="10" a="1"/>
  <c r="U44" i="10" s="1"/>
  <c r="U45" i="10" a="1"/>
  <c r="U45" i="10" s="1"/>
  <c r="U46" i="10" a="1"/>
  <c r="U46" i="10" s="1"/>
  <c r="U47" i="10" a="1"/>
  <c r="U47" i="10" s="1"/>
  <c r="U48" i="10" a="1"/>
  <c r="U48" i="10" s="1"/>
  <c r="U49" i="10" a="1"/>
  <c r="U49" i="10" s="1"/>
  <c r="U50" i="10" a="1"/>
  <c r="U50" i="10" s="1"/>
  <c r="U51" i="10" a="1"/>
  <c r="U51" i="10" s="1"/>
  <c r="U52" i="10" a="1"/>
  <c r="U52" i="10" s="1"/>
  <c r="U53" i="10" a="1"/>
  <c r="U53" i="10" s="1"/>
  <c r="U54" i="10" a="1"/>
  <c r="U54" i="10" s="1"/>
  <c r="U55" i="10" a="1"/>
  <c r="U55" i="10" s="1"/>
  <c r="U56" i="10" a="1"/>
  <c r="U56" i="10" s="1"/>
  <c r="U57" i="10" a="1"/>
  <c r="U57" i="10" s="1"/>
  <c r="U58" i="10" a="1"/>
  <c r="U58" i="10" s="1"/>
  <c r="U59" i="10" a="1"/>
  <c r="U59" i="10" s="1"/>
  <c r="U60" i="10" a="1"/>
  <c r="U60" i="10" s="1"/>
  <c r="U61" i="10" a="1"/>
  <c r="U61" i="10" s="1"/>
  <c r="U62" i="10" a="1"/>
  <c r="U62" i="10" s="1"/>
  <c r="U63" i="10" a="1"/>
  <c r="U63" i="10" s="1"/>
  <c r="U64" i="10" a="1"/>
  <c r="U64" i="10"/>
  <c r="U65" i="10" a="1"/>
  <c r="U65" i="10" s="1"/>
  <c r="U66" i="10" a="1"/>
  <c r="U66" i="10" s="1"/>
  <c r="U67" i="10" a="1"/>
  <c r="U67" i="10" s="1"/>
  <c r="U68" i="10" a="1"/>
  <c r="U68" i="10" s="1"/>
  <c r="U69" i="10" a="1"/>
  <c r="U69" i="10" s="1"/>
  <c r="U70" i="10" a="1"/>
  <c r="U70" i="10" s="1"/>
  <c r="U71" i="10" a="1"/>
  <c r="U71" i="10" s="1"/>
  <c r="U72" i="10" a="1"/>
  <c r="U72" i="10" s="1"/>
  <c r="U73" i="10" a="1"/>
  <c r="U73" i="10" s="1"/>
  <c r="U74" i="10" a="1"/>
  <c r="U74" i="10" s="1"/>
  <c r="U75" i="10" a="1"/>
  <c r="U75" i="10" s="1"/>
  <c r="U76" i="10" a="1"/>
  <c r="U76" i="10" s="1"/>
  <c r="U77" i="10" a="1"/>
  <c r="U77" i="10" s="1"/>
  <c r="U78" i="10" a="1"/>
  <c r="U78" i="10" s="1"/>
  <c r="U79" i="10" a="1"/>
  <c r="U79" i="10" s="1"/>
  <c r="U80" i="10" a="1"/>
  <c r="U80" i="10" s="1"/>
  <c r="U81" i="10" a="1"/>
  <c r="U81" i="10" s="1"/>
  <c r="U82" i="10" a="1"/>
  <c r="U82" i="10" s="1"/>
  <c r="U83" i="10" a="1"/>
  <c r="U83" i="10" s="1"/>
  <c r="U84" i="10" a="1"/>
  <c r="U84" i="10" s="1"/>
  <c r="U85" i="10" a="1"/>
  <c r="U85" i="10" s="1"/>
  <c r="U86" i="10" a="1"/>
  <c r="U86" i="10" s="1"/>
  <c r="U87" i="10" a="1"/>
  <c r="U87" i="10" s="1"/>
  <c r="U88" i="10" a="1"/>
  <c r="U88" i="10" s="1"/>
  <c r="U89" i="10" a="1"/>
  <c r="U89" i="10" s="1"/>
  <c r="U90" i="10" a="1"/>
  <c r="U90" i="10" s="1"/>
  <c r="U91" i="10" a="1"/>
  <c r="U91" i="10" s="1"/>
  <c r="U92" i="10" a="1"/>
  <c r="U92" i="10" s="1"/>
  <c r="U93" i="10" a="1"/>
  <c r="U93" i="10" s="1"/>
  <c r="U94" i="10" a="1"/>
  <c r="U94" i="10" s="1"/>
  <c r="U95" i="10" a="1"/>
  <c r="U95" i="10" s="1"/>
  <c r="U96" i="10" a="1"/>
  <c r="U96" i="10" s="1"/>
  <c r="U97" i="10" a="1"/>
  <c r="U97" i="10" s="1"/>
  <c r="U98" i="10" a="1"/>
  <c r="U98" i="10" s="1"/>
  <c r="U99" i="10" a="1"/>
  <c r="U99" i="10" s="1"/>
  <c r="U100" i="10" a="1"/>
  <c r="U100" i="10" s="1"/>
  <c r="U101" i="10" a="1"/>
  <c r="U101" i="10" s="1"/>
  <c r="U102" i="10" a="1"/>
  <c r="U102" i="10" s="1"/>
  <c r="U103" i="10" a="1"/>
  <c r="U103" i="10" s="1"/>
  <c r="U104" i="10" a="1"/>
  <c r="U104" i="10" s="1"/>
  <c r="U105" i="10" a="1"/>
  <c r="U105" i="10" s="1"/>
  <c r="U106" i="10" a="1"/>
  <c r="U106" i="10" s="1"/>
  <c r="U107" i="10" a="1"/>
  <c r="U107" i="10" s="1"/>
  <c r="U108" i="10" a="1"/>
  <c r="U108" i="10" s="1"/>
  <c r="U109" i="10" a="1"/>
  <c r="U109" i="10" s="1"/>
  <c r="U110" i="10" a="1"/>
  <c r="U110" i="10" s="1"/>
  <c r="U111" i="10" a="1"/>
  <c r="U111" i="10" s="1"/>
  <c r="U112" i="10" a="1"/>
  <c r="U112" i="10" s="1"/>
  <c r="U113" i="10" a="1"/>
  <c r="U113" i="10" s="1"/>
  <c r="U114" i="10" a="1"/>
  <c r="U114" i="10" s="1"/>
  <c r="U115" i="10" a="1"/>
  <c r="U115" i="10" s="1"/>
  <c r="U116" i="10" a="1"/>
  <c r="U116" i="10" s="1"/>
  <c r="U117" i="10" a="1"/>
  <c r="U117" i="10" s="1"/>
  <c r="U118" i="10" a="1"/>
  <c r="U118" i="10" s="1"/>
  <c r="U119" i="10" a="1"/>
  <c r="U119" i="10" s="1"/>
  <c r="U120" i="10" a="1"/>
  <c r="U120" i="10" s="1"/>
  <c r="U121" i="10" a="1"/>
  <c r="U121" i="10" s="1"/>
  <c r="U122" i="10" a="1"/>
  <c r="U122" i="10" s="1"/>
  <c r="U123" i="10" a="1"/>
  <c r="U123" i="10" s="1"/>
  <c r="U124" i="10" a="1"/>
  <c r="U124" i="10" s="1"/>
  <c r="U125" i="10" a="1"/>
  <c r="U125" i="10" s="1"/>
  <c r="U126" i="10" a="1"/>
  <c r="U126" i="10" s="1"/>
  <c r="U127" i="10" a="1"/>
  <c r="U127" i="10" s="1"/>
  <c r="U128" i="10" a="1"/>
  <c r="U128" i="10" s="1"/>
  <c r="U129" i="10" a="1"/>
  <c r="U129" i="10" s="1"/>
  <c r="U130" i="10" a="1"/>
  <c r="U130" i="10" s="1"/>
  <c r="U131" i="10" a="1"/>
  <c r="U131" i="10" s="1"/>
  <c r="U132" i="10" a="1"/>
  <c r="U132" i="10" s="1"/>
  <c r="U133" i="10" a="1"/>
  <c r="U133" i="10" s="1"/>
  <c r="U134" i="10" a="1"/>
  <c r="U134" i="10" s="1"/>
  <c r="U135" i="10" a="1"/>
  <c r="U135" i="10" s="1"/>
  <c r="U136" i="10" a="1"/>
  <c r="U136" i="10" s="1"/>
  <c r="U137" i="10" a="1"/>
  <c r="U137" i="10" s="1"/>
  <c r="U138" i="10" a="1"/>
  <c r="U138" i="10" s="1"/>
  <c r="U139" i="10" a="1"/>
  <c r="U139" i="10" s="1"/>
  <c r="U140" i="10" a="1"/>
  <c r="U140" i="10" s="1"/>
  <c r="U141" i="10" a="1"/>
  <c r="U141" i="10" s="1"/>
  <c r="U142" i="10" a="1"/>
  <c r="U142" i="10" s="1"/>
  <c r="U143" i="10" a="1"/>
  <c r="U143" i="10" s="1"/>
  <c r="U144" i="10" a="1"/>
  <c r="U144" i="10" s="1"/>
  <c r="U145" i="10" a="1"/>
  <c r="U145" i="10" s="1"/>
  <c r="U146" i="10" a="1"/>
  <c r="U146" i="10" s="1"/>
  <c r="U147" i="10" a="1"/>
  <c r="U147" i="10" s="1"/>
  <c r="U148" i="10" a="1"/>
  <c r="U148" i="10" s="1"/>
  <c r="U149" i="10" a="1"/>
  <c r="U149" i="10" s="1"/>
  <c r="U150" i="10" a="1"/>
  <c r="U150" i="10" s="1"/>
  <c r="U151" i="10" a="1"/>
  <c r="U151" i="10" s="1"/>
  <c r="U152" i="10" a="1"/>
  <c r="U152" i="10" s="1"/>
  <c r="U153" i="10" a="1"/>
  <c r="U153" i="10" s="1"/>
  <c r="T3" i="10" a="1"/>
  <c r="T3" i="10" s="1"/>
  <c r="T4" i="10" a="1"/>
  <c r="T4" i="10" s="1"/>
  <c r="T5" i="10" a="1"/>
  <c r="T5" i="10" s="1"/>
  <c r="T6" i="10" a="1"/>
  <c r="T6" i="10" s="1"/>
  <c r="T7" i="10" a="1"/>
  <c r="T7" i="10" s="1"/>
  <c r="T8" i="10" a="1"/>
  <c r="T8" i="10" s="1"/>
  <c r="T9" i="10" a="1"/>
  <c r="T9" i="10" s="1"/>
  <c r="T10" i="10" a="1"/>
  <c r="T10" i="10" s="1"/>
  <c r="T11" i="10" a="1"/>
  <c r="T11" i="10" s="1"/>
  <c r="T12" i="10" a="1"/>
  <c r="T12" i="10" s="1"/>
  <c r="T13" i="10" a="1"/>
  <c r="T13" i="10" s="1"/>
  <c r="T14" i="10" a="1"/>
  <c r="T14" i="10" s="1"/>
  <c r="T15" i="10" a="1"/>
  <c r="T15" i="10" s="1"/>
  <c r="T16" i="10" a="1"/>
  <c r="T16" i="10" s="1"/>
  <c r="T17" i="10" a="1"/>
  <c r="T17" i="10" s="1"/>
  <c r="T18" i="10" a="1"/>
  <c r="T18" i="10" s="1"/>
  <c r="T19" i="10" a="1"/>
  <c r="T19" i="10" s="1"/>
  <c r="T20" i="10" a="1"/>
  <c r="T20" i="10" s="1"/>
  <c r="T21" i="10" a="1"/>
  <c r="T21" i="10" s="1"/>
  <c r="T22" i="10" a="1"/>
  <c r="T22" i="10" s="1"/>
  <c r="T23" i="10" a="1"/>
  <c r="T23" i="10" s="1"/>
  <c r="T24" i="10" a="1"/>
  <c r="T24" i="10" s="1"/>
  <c r="T25" i="10" a="1"/>
  <c r="T25" i="10" s="1"/>
  <c r="T26" i="10" a="1"/>
  <c r="T26" i="10" s="1"/>
  <c r="T27" i="10" a="1"/>
  <c r="T27" i="10" s="1"/>
  <c r="T28" i="10" a="1"/>
  <c r="T28" i="10" s="1"/>
  <c r="T29" i="10" a="1"/>
  <c r="T29" i="10" s="1"/>
  <c r="T30" i="10" a="1"/>
  <c r="T30" i="10" s="1"/>
  <c r="T31" i="10" a="1"/>
  <c r="T31" i="10" s="1"/>
  <c r="T32" i="10" a="1"/>
  <c r="T32" i="10" s="1"/>
  <c r="T33" i="10" a="1"/>
  <c r="T33" i="10" s="1"/>
  <c r="T34" i="10" a="1"/>
  <c r="T34" i="10" s="1"/>
  <c r="T35" i="10" a="1"/>
  <c r="T35" i="10" s="1"/>
  <c r="T36" i="10" a="1"/>
  <c r="T36" i="10" s="1"/>
  <c r="T37" i="10" a="1"/>
  <c r="T37" i="10" s="1"/>
  <c r="T38" i="10" a="1"/>
  <c r="T38" i="10" s="1"/>
  <c r="T39" i="10" a="1"/>
  <c r="T39" i="10" s="1"/>
  <c r="T40" i="10" a="1"/>
  <c r="T40" i="10" s="1"/>
  <c r="T41" i="10" a="1"/>
  <c r="T41" i="10" s="1"/>
  <c r="T42" i="10" a="1"/>
  <c r="T42" i="10" s="1"/>
  <c r="T43" i="10" a="1"/>
  <c r="T43" i="10" s="1"/>
  <c r="T44" i="10" a="1"/>
  <c r="T44" i="10" s="1"/>
  <c r="T45" i="10" a="1"/>
  <c r="T45" i="10" s="1"/>
  <c r="T46" i="10" a="1"/>
  <c r="T46" i="10" s="1"/>
  <c r="T47" i="10" a="1"/>
  <c r="T47" i="10" s="1"/>
  <c r="T48" i="10" a="1"/>
  <c r="T48" i="10" s="1"/>
  <c r="T49" i="10" a="1"/>
  <c r="T49" i="10" s="1"/>
  <c r="T50" i="10" a="1"/>
  <c r="T50" i="10" s="1"/>
  <c r="T51" i="10" a="1"/>
  <c r="T51" i="10" s="1"/>
  <c r="T52" i="10" a="1"/>
  <c r="T52" i="10" s="1"/>
  <c r="T53" i="10" a="1"/>
  <c r="T53" i="10" s="1"/>
  <c r="T54" i="10" a="1"/>
  <c r="T54" i="10" s="1"/>
  <c r="T55" i="10" a="1"/>
  <c r="T55" i="10" s="1"/>
  <c r="T56" i="10" a="1"/>
  <c r="T56" i="10" s="1"/>
  <c r="T57" i="10" a="1"/>
  <c r="T57" i="10" s="1"/>
  <c r="T58" i="10" a="1"/>
  <c r="T58" i="10" s="1"/>
  <c r="T59" i="10" a="1"/>
  <c r="T59" i="10" s="1"/>
  <c r="T60" i="10" a="1"/>
  <c r="T60" i="10" s="1"/>
  <c r="T61" i="10" a="1"/>
  <c r="T61" i="10" s="1"/>
  <c r="T62" i="10" a="1"/>
  <c r="T62" i="10" s="1"/>
  <c r="T63" i="10" a="1"/>
  <c r="T63" i="10" s="1"/>
  <c r="T64" i="10" a="1"/>
  <c r="T64" i="10" s="1"/>
  <c r="T65" i="10" a="1"/>
  <c r="T65" i="10" s="1"/>
  <c r="T66" i="10" a="1"/>
  <c r="T66" i="10" s="1"/>
  <c r="T67" i="10" a="1"/>
  <c r="T67" i="10" s="1"/>
  <c r="T68" i="10" a="1"/>
  <c r="T68" i="10" s="1"/>
  <c r="T69" i="10" a="1"/>
  <c r="T69" i="10" s="1"/>
  <c r="T70" i="10" a="1"/>
  <c r="T70" i="10" s="1"/>
  <c r="T71" i="10" a="1"/>
  <c r="T71" i="10" s="1"/>
  <c r="T72" i="10" a="1"/>
  <c r="T72" i="10" s="1"/>
  <c r="T73" i="10" a="1"/>
  <c r="T73" i="10" s="1"/>
  <c r="T74" i="10" a="1"/>
  <c r="T74" i="10" s="1"/>
  <c r="T75" i="10" a="1"/>
  <c r="T75" i="10" s="1"/>
  <c r="T76" i="10" a="1"/>
  <c r="T76" i="10" s="1"/>
  <c r="T77" i="10" a="1"/>
  <c r="T77" i="10" s="1"/>
  <c r="T78" i="10" a="1"/>
  <c r="T78" i="10" s="1"/>
  <c r="T79" i="10" a="1"/>
  <c r="T79" i="10" s="1"/>
  <c r="T80" i="10" a="1"/>
  <c r="T80" i="10" s="1"/>
  <c r="T81" i="10" a="1"/>
  <c r="T81" i="10" s="1"/>
  <c r="T82" i="10" a="1"/>
  <c r="T82" i="10" s="1"/>
  <c r="T83" i="10" a="1"/>
  <c r="T83" i="10" s="1"/>
  <c r="T84" i="10" a="1"/>
  <c r="T84" i="10" s="1"/>
  <c r="T85" i="10" a="1"/>
  <c r="T85" i="10" s="1"/>
  <c r="T86" i="10" a="1"/>
  <c r="T86" i="10" s="1"/>
  <c r="T87" i="10" a="1"/>
  <c r="T87" i="10" s="1"/>
  <c r="T88" i="10" a="1"/>
  <c r="T88" i="10" s="1"/>
  <c r="T89" i="10" a="1"/>
  <c r="T89" i="10" s="1"/>
  <c r="T90" i="10" a="1"/>
  <c r="T90" i="10" s="1"/>
  <c r="T91" i="10" a="1"/>
  <c r="T91" i="10" s="1"/>
  <c r="T92" i="10" a="1"/>
  <c r="T92" i="10" s="1"/>
  <c r="T93" i="10" a="1"/>
  <c r="T93" i="10" s="1"/>
  <c r="T94" i="10" a="1"/>
  <c r="T94" i="10" s="1"/>
  <c r="T95" i="10" a="1"/>
  <c r="T95" i="10" s="1"/>
  <c r="T96" i="10" a="1"/>
  <c r="T96" i="10" s="1"/>
  <c r="T97" i="10" a="1"/>
  <c r="T97" i="10" s="1"/>
  <c r="T98" i="10" a="1"/>
  <c r="T98" i="10" s="1"/>
  <c r="T99" i="10" a="1"/>
  <c r="T99" i="10" s="1"/>
  <c r="T100" i="10" a="1"/>
  <c r="T100" i="10" s="1"/>
  <c r="T101" i="10" a="1"/>
  <c r="T101" i="10" s="1"/>
  <c r="T102" i="10" a="1"/>
  <c r="T102" i="10" s="1"/>
  <c r="T103" i="10" a="1"/>
  <c r="T103" i="10" s="1"/>
  <c r="T104" i="10" a="1"/>
  <c r="T104" i="10" s="1"/>
  <c r="T105" i="10" a="1"/>
  <c r="T105" i="10" s="1"/>
  <c r="T106" i="10" a="1"/>
  <c r="T106" i="10" s="1"/>
  <c r="T107" i="10" a="1"/>
  <c r="T107" i="10" s="1"/>
  <c r="T108" i="10" a="1"/>
  <c r="T108" i="10" s="1"/>
  <c r="T109" i="10" a="1"/>
  <c r="T109" i="10" s="1"/>
  <c r="T110" i="10" a="1"/>
  <c r="T110" i="10" s="1"/>
  <c r="T111" i="10" a="1"/>
  <c r="T111" i="10" s="1"/>
  <c r="T112" i="10" a="1"/>
  <c r="T112" i="10" s="1"/>
  <c r="T113" i="10" a="1"/>
  <c r="T113" i="10" s="1"/>
  <c r="T114" i="10" a="1"/>
  <c r="T114" i="10" s="1"/>
  <c r="T115" i="10" a="1"/>
  <c r="T115" i="10" s="1"/>
  <c r="T116" i="10" a="1"/>
  <c r="T116" i="10" s="1"/>
  <c r="T117" i="10" a="1"/>
  <c r="T117" i="10" s="1"/>
  <c r="T118" i="10" a="1"/>
  <c r="T118" i="10" s="1"/>
  <c r="T119" i="10" a="1"/>
  <c r="T119" i="10" s="1"/>
  <c r="T120" i="10" a="1"/>
  <c r="T120" i="10" s="1"/>
  <c r="T121" i="10" a="1"/>
  <c r="T121" i="10" s="1"/>
  <c r="T122" i="10" a="1"/>
  <c r="T122" i="10" s="1"/>
  <c r="T123" i="10" a="1"/>
  <c r="T123" i="10" s="1"/>
  <c r="T124" i="10" a="1"/>
  <c r="T124" i="10" s="1"/>
  <c r="T125" i="10" a="1"/>
  <c r="T125" i="10" s="1"/>
  <c r="T126" i="10" a="1"/>
  <c r="T126" i="10" s="1"/>
  <c r="T127" i="10" a="1"/>
  <c r="T127" i="10" s="1"/>
  <c r="T128" i="10" a="1"/>
  <c r="T128" i="10" s="1"/>
  <c r="T129" i="10" a="1"/>
  <c r="T129" i="10" s="1"/>
  <c r="T130" i="10" a="1"/>
  <c r="T130" i="10" s="1"/>
  <c r="T131" i="10" a="1"/>
  <c r="T131" i="10" s="1"/>
  <c r="T132" i="10" a="1"/>
  <c r="T132" i="10" s="1"/>
  <c r="T133" i="10" a="1"/>
  <c r="T133" i="10" s="1"/>
  <c r="T134" i="10" a="1"/>
  <c r="T134" i="10" s="1"/>
  <c r="T135" i="10" a="1"/>
  <c r="T135" i="10" s="1"/>
  <c r="T136" i="10" a="1"/>
  <c r="T136" i="10" s="1"/>
  <c r="T137" i="10" a="1"/>
  <c r="T137" i="10" s="1"/>
  <c r="T138" i="10" a="1"/>
  <c r="T138" i="10" s="1"/>
  <c r="T139" i="10" a="1"/>
  <c r="T139" i="10" s="1"/>
  <c r="T140" i="10" a="1"/>
  <c r="T140" i="10" s="1"/>
  <c r="T141" i="10" a="1"/>
  <c r="T141" i="10" s="1"/>
  <c r="T142" i="10" a="1"/>
  <c r="T142" i="10" s="1"/>
  <c r="T143" i="10" a="1"/>
  <c r="T143" i="10" s="1"/>
  <c r="T144" i="10" a="1"/>
  <c r="T144" i="10" s="1"/>
  <c r="T145" i="10" a="1"/>
  <c r="T145" i="10" s="1"/>
  <c r="T146" i="10" a="1"/>
  <c r="T146" i="10" s="1"/>
  <c r="T147" i="10" a="1"/>
  <c r="T147" i="10" s="1"/>
  <c r="T148" i="10" a="1"/>
  <c r="T148" i="10" s="1"/>
  <c r="T149" i="10" a="1"/>
  <c r="T149" i="10" s="1"/>
  <c r="T150" i="10" a="1"/>
  <c r="T150" i="10" s="1"/>
  <c r="T151" i="10" a="1"/>
  <c r="T151" i="10" s="1"/>
  <c r="T152" i="10" a="1"/>
  <c r="T152" i="10" s="1"/>
  <c r="T153" i="10" a="1"/>
  <c r="T153" i="10" s="1"/>
  <c r="S3" i="10" a="1"/>
  <c r="S3" i="10" s="1"/>
  <c r="S4" i="10" a="1"/>
  <c r="S4" i="10" s="1"/>
  <c r="S5" i="10" a="1"/>
  <c r="S5" i="10" s="1"/>
  <c r="S6" i="10" a="1"/>
  <c r="S6" i="10" s="1"/>
  <c r="S7" i="10" a="1"/>
  <c r="S7" i="10" s="1"/>
  <c r="S8" i="10" a="1"/>
  <c r="S8" i="10" s="1"/>
  <c r="S9" i="10" a="1"/>
  <c r="S9" i="10" s="1"/>
  <c r="S10" i="10" a="1"/>
  <c r="S10" i="10" s="1"/>
  <c r="S11" i="10" a="1"/>
  <c r="S11" i="10" s="1"/>
  <c r="S12" i="10" a="1"/>
  <c r="S12" i="10" s="1"/>
  <c r="S13" i="10" a="1"/>
  <c r="S13" i="10" s="1"/>
  <c r="S14" i="10" a="1"/>
  <c r="S14" i="10" s="1"/>
  <c r="S15" i="10" a="1"/>
  <c r="S15" i="10" s="1"/>
  <c r="S16" i="10" a="1"/>
  <c r="S16" i="10" s="1"/>
  <c r="S17" i="10" a="1"/>
  <c r="S17" i="10" s="1"/>
  <c r="S18" i="10" a="1"/>
  <c r="S18" i="10" s="1"/>
  <c r="S19" i="10" a="1"/>
  <c r="S19" i="10" s="1"/>
  <c r="S20" i="10" a="1"/>
  <c r="S20" i="10" s="1"/>
  <c r="S21" i="10" a="1"/>
  <c r="S21" i="10" s="1"/>
  <c r="S22" i="10" a="1"/>
  <c r="S22" i="10" s="1"/>
  <c r="S23" i="10" a="1"/>
  <c r="S23" i="10" s="1"/>
  <c r="S24" i="10" a="1"/>
  <c r="S24" i="10" s="1"/>
  <c r="S25" i="10" a="1"/>
  <c r="S25" i="10" s="1"/>
  <c r="S26" i="10" a="1"/>
  <c r="S26" i="10" s="1"/>
  <c r="S27" i="10" a="1"/>
  <c r="S27" i="10" s="1"/>
  <c r="S28" i="10" a="1"/>
  <c r="S28" i="10" s="1"/>
  <c r="S29" i="10" a="1"/>
  <c r="S29" i="10" s="1"/>
  <c r="S30" i="10" a="1"/>
  <c r="S30" i="10" s="1"/>
  <c r="S31" i="10" a="1"/>
  <c r="S31" i="10" s="1"/>
  <c r="S32" i="10" a="1"/>
  <c r="S32" i="10" s="1"/>
  <c r="S33" i="10" a="1"/>
  <c r="S33" i="10" s="1"/>
  <c r="S34" i="10" a="1"/>
  <c r="S34" i="10" s="1"/>
  <c r="S35" i="10" a="1"/>
  <c r="S35" i="10" s="1"/>
  <c r="S36" i="10" a="1"/>
  <c r="S36" i="10" s="1"/>
  <c r="S37" i="10" a="1"/>
  <c r="S37" i="10" s="1"/>
  <c r="S38" i="10" a="1"/>
  <c r="S38" i="10" s="1"/>
  <c r="S39" i="10" a="1"/>
  <c r="S39" i="10" s="1"/>
  <c r="S40" i="10" a="1"/>
  <c r="S40" i="10" s="1"/>
  <c r="S41" i="10" a="1"/>
  <c r="S41" i="10" s="1"/>
  <c r="S42" i="10" a="1"/>
  <c r="S42" i="10" s="1"/>
  <c r="S43" i="10" a="1"/>
  <c r="S43" i="10" s="1"/>
  <c r="S44" i="10" a="1"/>
  <c r="S44" i="10" s="1"/>
  <c r="S45" i="10" a="1"/>
  <c r="S45" i="10" s="1"/>
  <c r="S46" i="10" a="1"/>
  <c r="S46" i="10" s="1"/>
  <c r="S47" i="10" a="1"/>
  <c r="S47" i="10" s="1"/>
  <c r="S48" i="10" a="1"/>
  <c r="S48" i="10" s="1"/>
  <c r="S49" i="10" a="1"/>
  <c r="S49" i="10" s="1"/>
  <c r="S50" i="10" a="1"/>
  <c r="S50" i="10" s="1"/>
  <c r="S51" i="10" a="1"/>
  <c r="S51" i="10" s="1"/>
  <c r="S52" i="10" a="1"/>
  <c r="S52" i="10" s="1"/>
  <c r="S53" i="10" a="1"/>
  <c r="S53" i="10" s="1"/>
  <c r="S54" i="10" a="1"/>
  <c r="S54" i="10" s="1"/>
  <c r="S55" i="10" a="1"/>
  <c r="S55" i="10" s="1"/>
  <c r="S56" i="10" a="1"/>
  <c r="S56" i="10" s="1"/>
  <c r="S57" i="10" a="1"/>
  <c r="S57" i="10" s="1"/>
  <c r="S58" i="10" a="1"/>
  <c r="S58" i="10" s="1"/>
  <c r="S59" i="10" a="1"/>
  <c r="S59" i="10" s="1"/>
  <c r="S60" i="10" a="1"/>
  <c r="S60" i="10" s="1"/>
  <c r="S61" i="10" a="1"/>
  <c r="S61" i="10" s="1"/>
  <c r="S62" i="10" a="1"/>
  <c r="S62" i="10" s="1"/>
  <c r="S63" i="10" a="1"/>
  <c r="S63" i="10" s="1"/>
  <c r="S64" i="10" a="1"/>
  <c r="S64" i="10" s="1"/>
  <c r="S65" i="10" a="1"/>
  <c r="S65" i="10" s="1"/>
  <c r="S66" i="10" a="1"/>
  <c r="S66" i="10" s="1"/>
  <c r="S67" i="10" a="1"/>
  <c r="S67" i="10" s="1"/>
  <c r="S68" i="10" a="1"/>
  <c r="S68" i="10" s="1"/>
  <c r="S69" i="10" a="1"/>
  <c r="S69" i="10" s="1"/>
  <c r="S70" i="10" a="1"/>
  <c r="S70" i="10" s="1"/>
  <c r="S71" i="10" a="1"/>
  <c r="S71" i="10" s="1"/>
  <c r="S72" i="10" a="1"/>
  <c r="S72" i="10" s="1"/>
  <c r="S73" i="10" a="1"/>
  <c r="S73" i="10" s="1"/>
  <c r="S74" i="10" a="1"/>
  <c r="S74" i="10" s="1"/>
  <c r="S75" i="10" a="1"/>
  <c r="S75" i="10" s="1"/>
  <c r="S76" i="10" a="1"/>
  <c r="S76" i="10" s="1"/>
  <c r="S77" i="10" a="1"/>
  <c r="S77" i="10" s="1"/>
  <c r="S78" i="10" a="1"/>
  <c r="S78" i="10" s="1"/>
  <c r="S79" i="10" a="1"/>
  <c r="S79" i="10" s="1"/>
  <c r="S80" i="10" a="1"/>
  <c r="S80" i="10" s="1"/>
  <c r="S81" i="10" a="1"/>
  <c r="S81" i="10" s="1"/>
  <c r="S82" i="10" a="1"/>
  <c r="S82" i="10" s="1"/>
  <c r="S83" i="10" a="1"/>
  <c r="S83" i="10" s="1"/>
  <c r="S84" i="10" a="1"/>
  <c r="S84" i="10" s="1"/>
  <c r="S85" i="10" a="1"/>
  <c r="S85" i="10" s="1"/>
  <c r="S86" i="10" a="1"/>
  <c r="S86" i="10" s="1"/>
  <c r="S87" i="10" a="1"/>
  <c r="S87" i="10" s="1"/>
  <c r="S88" i="10" a="1"/>
  <c r="S88" i="10" s="1"/>
  <c r="S89" i="10" a="1"/>
  <c r="S89" i="10" s="1"/>
  <c r="S90" i="10" a="1"/>
  <c r="S90" i="10" s="1"/>
  <c r="S91" i="10" a="1"/>
  <c r="S91" i="10" s="1"/>
  <c r="S92" i="10" a="1"/>
  <c r="S92" i="10" s="1"/>
  <c r="S93" i="10" a="1"/>
  <c r="S93" i="10" s="1"/>
  <c r="S94" i="10" a="1"/>
  <c r="S94" i="10" s="1"/>
  <c r="S95" i="10" a="1"/>
  <c r="S95" i="10" s="1"/>
  <c r="S96" i="10" a="1"/>
  <c r="S96" i="10" s="1"/>
  <c r="S97" i="10" a="1"/>
  <c r="S97" i="10" s="1"/>
  <c r="S98" i="10" a="1"/>
  <c r="S98" i="10" s="1"/>
  <c r="S99" i="10" a="1"/>
  <c r="S99" i="10" s="1"/>
  <c r="S100" i="10" a="1"/>
  <c r="S100" i="10" s="1"/>
  <c r="S101" i="10" a="1"/>
  <c r="S101" i="10" s="1"/>
  <c r="S102" i="10" a="1"/>
  <c r="S102" i="10" s="1"/>
  <c r="S103" i="10" a="1"/>
  <c r="S103" i="10" s="1"/>
  <c r="S104" i="10" a="1"/>
  <c r="S104" i="10" s="1"/>
  <c r="S105" i="10" a="1"/>
  <c r="S105" i="10" s="1"/>
  <c r="S106" i="10" a="1"/>
  <c r="S106" i="10" s="1"/>
  <c r="S107" i="10" a="1"/>
  <c r="S107" i="10" s="1"/>
  <c r="S108" i="10" a="1"/>
  <c r="S108" i="10" s="1"/>
  <c r="S109" i="10" a="1"/>
  <c r="S109" i="10" s="1"/>
  <c r="S110" i="10" a="1"/>
  <c r="S110" i="10" s="1"/>
  <c r="S111" i="10" a="1"/>
  <c r="S111" i="10" s="1"/>
  <c r="S112" i="10" a="1"/>
  <c r="S112" i="10" s="1"/>
  <c r="S113" i="10" a="1"/>
  <c r="S113" i="10" s="1"/>
  <c r="S114" i="10" a="1"/>
  <c r="S114" i="10" s="1"/>
  <c r="S115" i="10" a="1"/>
  <c r="S115" i="10" s="1"/>
  <c r="S116" i="10" a="1"/>
  <c r="S116" i="10" s="1"/>
  <c r="S117" i="10" a="1"/>
  <c r="S117" i="10" s="1"/>
  <c r="S118" i="10" a="1"/>
  <c r="S118" i="10" s="1"/>
  <c r="S119" i="10" a="1"/>
  <c r="S119" i="10" s="1"/>
  <c r="S120" i="10" a="1"/>
  <c r="S120" i="10" s="1"/>
  <c r="S121" i="10" a="1"/>
  <c r="S121" i="10" s="1"/>
  <c r="S122" i="10" a="1"/>
  <c r="S122" i="10" s="1"/>
  <c r="S123" i="10" a="1"/>
  <c r="S123" i="10" s="1"/>
  <c r="S124" i="10" a="1"/>
  <c r="S124" i="10" s="1"/>
  <c r="S125" i="10" a="1"/>
  <c r="S125" i="10" s="1"/>
  <c r="S126" i="10" a="1"/>
  <c r="S126" i="10" s="1"/>
  <c r="S127" i="10" a="1"/>
  <c r="S127" i="10" s="1"/>
  <c r="S128" i="10" a="1"/>
  <c r="S128" i="10" s="1"/>
  <c r="S129" i="10" a="1"/>
  <c r="S129" i="10" s="1"/>
  <c r="S130" i="10" a="1"/>
  <c r="S130" i="10" s="1"/>
  <c r="S131" i="10" a="1"/>
  <c r="S131" i="10" s="1"/>
  <c r="S132" i="10" a="1"/>
  <c r="S132" i="10" s="1"/>
  <c r="S133" i="10" a="1"/>
  <c r="S133" i="10" s="1"/>
  <c r="S134" i="10" a="1"/>
  <c r="S134" i="10" s="1"/>
  <c r="S135" i="10" a="1"/>
  <c r="S135" i="10" s="1"/>
  <c r="S136" i="10" a="1"/>
  <c r="S136" i="10" s="1"/>
  <c r="S137" i="10" a="1"/>
  <c r="S137" i="10" s="1"/>
  <c r="S138" i="10" a="1"/>
  <c r="S138" i="10" s="1"/>
  <c r="S139" i="10" a="1"/>
  <c r="S139" i="10" s="1"/>
  <c r="S140" i="10" a="1"/>
  <c r="S140" i="10" s="1"/>
  <c r="S141" i="10" a="1"/>
  <c r="S141" i="10" s="1"/>
  <c r="S142" i="10" a="1"/>
  <c r="S142" i="10" s="1"/>
  <c r="S143" i="10" a="1"/>
  <c r="S143" i="10" s="1"/>
  <c r="S144" i="10" a="1"/>
  <c r="S144" i="10" s="1"/>
  <c r="S145" i="10" a="1"/>
  <c r="S145" i="10" s="1"/>
  <c r="S146" i="10" a="1"/>
  <c r="S146" i="10" s="1"/>
  <c r="S147" i="10" a="1"/>
  <c r="S147" i="10" s="1"/>
  <c r="S148" i="10" a="1"/>
  <c r="S148" i="10" s="1"/>
  <c r="S149" i="10" a="1"/>
  <c r="S149" i="10" s="1"/>
  <c r="S150" i="10" a="1"/>
  <c r="S150" i="10" s="1"/>
  <c r="S151" i="10" a="1"/>
  <c r="S151" i="10" s="1"/>
  <c r="S152" i="10" a="1"/>
  <c r="S152" i="10" s="1"/>
  <c r="S153" i="10" a="1"/>
  <c r="S153" i="10" s="1"/>
  <c r="R3" i="10" a="1"/>
  <c r="R3" i="10" s="1"/>
  <c r="R4" i="10" a="1"/>
  <c r="R4" i="10" s="1"/>
  <c r="R5" i="10" a="1"/>
  <c r="R5" i="10" s="1"/>
  <c r="R6" i="10" a="1"/>
  <c r="R6" i="10" s="1"/>
  <c r="R7" i="10" a="1"/>
  <c r="R7" i="10" s="1"/>
  <c r="R8" i="10" a="1"/>
  <c r="R8" i="10" s="1"/>
  <c r="R9" i="10" a="1"/>
  <c r="R9" i="10" s="1"/>
  <c r="R10" i="10" a="1"/>
  <c r="R10" i="10" s="1"/>
  <c r="R11" i="10" a="1"/>
  <c r="R11" i="10" s="1"/>
  <c r="R12" i="10" a="1"/>
  <c r="R12" i="10" s="1"/>
  <c r="R13" i="10" a="1"/>
  <c r="R13" i="10" s="1"/>
  <c r="R14" i="10" a="1"/>
  <c r="R14" i="10" s="1"/>
  <c r="R15" i="10" a="1"/>
  <c r="R15" i="10" s="1"/>
  <c r="R16" i="10" a="1"/>
  <c r="R16" i="10" s="1"/>
  <c r="R17" i="10" a="1"/>
  <c r="R17" i="10" s="1"/>
  <c r="R18" i="10" a="1"/>
  <c r="R18" i="10" s="1"/>
  <c r="R19" i="10" a="1"/>
  <c r="R19" i="10" s="1"/>
  <c r="R20" i="10" a="1"/>
  <c r="R20" i="10" s="1"/>
  <c r="R21" i="10" a="1"/>
  <c r="R21" i="10" s="1"/>
  <c r="R22" i="10" a="1"/>
  <c r="R22" i="10" s="1"/>
  <c r="R23" i="10" a="1"/>
  <c r="R23" i="10" s="1"/>
  <c r="R24" i="10" a="1"/>
  <c r="R24" i="10" s="1"/>
  <c r="R25" i="10" a="1"/>
  <c r="R25" i="10" s="1"/>
  <c r="R26" i="10" a="1"/>
  <c r="R26" i="10" s="1"/>
  <c r="R27" i="10" a="1"/>
  <c r="R27" i="10" s="1"/>
  <c r="R28" i="10" a="1"/>
  <c r="R28" i="10" s="1"/>
  <c r="R29" i="10" a="1"/>
  <c r="R29" i="10" s="1"/>
  <c r="R30" i="10" a="1"/>
  <c r="R30" i="10" s="1"/>
  <c r="R31" i="10" a="1"/>
  <c r="R31" i="10" s="1"/>
  <c r="R32" i="10" a="1"/>
  <c r="R32" i="10" s="1"/>
  <c r="R33" i="10" a="1"/>
  <c r="R33" i="10" s="1"/>
  <c r="R34" i="10" a="1"/>
  <c r="R34" i="10" s="1"/>
  <c r="R35" i="10" a="1"/>
  <c r="R35" i="10" s="1"/>
  <c r="R36" i="10" a="1"/>
  <c r="R36" i="10" s="1"/>
  <c r="R37" i="10" a="1"/>
  <c r="R37" i="10" s="1"/>
  <c r="R38" i="10" a="1"/>
  <c r="R38" i="10" s="1"/>
  <c r="R39" i="10" a="1"/>
  <c r="R39" i="10" s="1"/>
  <c r="R40" i="10" a="1"/>
  <c r="R40" i="10" s="1"/>
  <c r="R41" i="10" a="1"/>
  <c r="R41" i="10" s="1"/>
  <c r="R42" i="10" a="1"/>
  <c r="R42" i="10" s="1"/>
  <c r="R43" i="10" a="1"/>
  <c r="R43" i="10" s="1"/>
  <c r="R44" i="10" a="1"/>
  <c r="R44" i="10" s="1"/>
  <c r="R45" i="10" a="1"/>
  <c r="R45" i="10" s="1"/>
  <c r="R46" i="10" a="1"/>
  <c r="R46" i="10" s="1"/>
  <c r="R47" i="10" a="1"/>
  <c r="R47" i="10" s="1"/>
  <c r="R48" i="10" a="1"/>
  <c r="R48" i="10" s="1"/>
  <c r="R49" i="10" a="1"/>
  <c r="R49" i="10" s="1"/>
  <c r="R50" i="10" a="1"/>
  <c r="R50" i="10" s="1"/>
  <c r="R51" i="10" a="1"/>
  <c r="R51" i="10" s="1"/>
  <c r="R52" i="10" a="1"/>
  <c r="R52" i="10" s="1"/>
  <c r="R53" i="10" a="1"/>
  <c r="R53" i="10" s="1"/>
  <c r="R54" i="10" a="1"/>
  <c r="R54" i="10" s="1"/>
  <c r="R55" i="10" a="1"/>
  <c r="R55" i="10" s="1"/>
  <c r="R56" i="10" a="1"/>
  <c r="R56" i="10" s="1"/>
  <c r="R57" i="10" a="1"/>
  <c r="R57" i="10" s="1"/>
  <c r="R58" i="10" a="1"/>
  <c r="R58" i="10" s="1"/>
  <c r="R59" i="10" a="1"/>
  <c r="R59" i="10" s="1"/>
  <c r="R60" i="10" a="1"/>
  <c r="R60" i="10" s="1"/>
  <c r="R61" i="10" a="1"/>
  <c r="R61" i="10" s="1"/>
  <c r="R62" i="10" a="1"/>
  <c r="R62" i="10" s="1"/>
  <c r="R63" i="10" a="1"/>
  <c r="R63" i="10" s="1"/>
  <c r="R64" i="10" a="1"/>
  <c r="R64" i="10" s="1"/>
  <c r="R65" i="10" a="1"/>
  <c r="R65" i="10" s="1"/>
  <c r="R66" i="10" a="1"/>
  <c r="R66" i="10" s="1"/>
  <c r="R67" i="10" a="1"/>
  <c r="R67" i="10" s="1"/>
  <c r="R68" i="10" a="1"/>
  <c r="R68" i="10" s="1"/>
  <c r="R69" i="10" a="1"/>
  <c r="R69" i="10" s="1"/>
  <c r="R70" i="10" a="1"/>
  <c r="R70" i="10" s="1"/>
  <c r="R71" i="10" a="1"/>
  <c r="R71" i="10" s="1"/>
  <c r="R72" i="10" a="1"/>
  <c r="R72" i="10" s="1"/>
  <c r="R73" i="10" a="1"/>
  <c r="R73" i="10" s="1"/>
  <c r="R74" i="10" a="1"/>
  <c r="R74" i="10" s="1"/>
  <c r="R75" i="10" a="1"/>
  <c r="R75" i="10" s="1"/>
  <c r="R76" i="10" a="1"/>
  <c r="R76" i="10" s="1"/>
  <c r="R77" i="10" a="1"/>
  <c r="R77" i="10" s="1"/>
  <c r="R78" i="10" a="1"/>
  <c r="R78" i="10" s="1"/>
  <c r="R79" i="10" a="1"/>
  <c r="R79" i="10" s="1"/>
  <c r="R80" i="10" a="1"/>
  <c r="R80" i="10" s="1"/>
  <c r="R81" i="10" a="1"/>
  <c r="R81" i="10" s="1"/>
  <c r="R82" i="10" a="1"/>
  <c r="R82" i="10" s="1"/>
  <c r="R83" i="10" a="1"/>
  <c r="R83" i="10" s="1"/>
  <c r="R84" i="10" a="1"/>
  <c r="R84" i="10" s="1"/>
  <c r="R85" i="10" a="1"/>
  <c r="R85" i="10" s="1"/>
  <c r="R86" i="10" a="1"/>
  <c r="R86" i="10" s="1"/>
  <c r="R87" i="10" a="1"/>
  <c r="R87" i="10" s="1"/>
  <c r="R88" i="10" a="1"/>
  <c r="R88" i="10" s="1"/>
  <c r="R89" i="10" a="1"/>
  <c r="R89" i="10" s="1"/>
  <c r="R90" i="10" a="1"/>
  <c r="R90" i="10" s="1"/>
  <c r="R91" i="10" a="1"/>
  <c r="R91" i="10" s="1"/>
  <c r="R92" i="10" a="1"/>
  <c r="R92" i="10" s="1"/>
  <c r="R93" i="10" a="1"/>
  <c r="R93" i="10" s="1"/>
  <c r="R94" i="10" a="1"/>
  <c r="R94" i="10" s="1"/>
  <c r="R95" i="10" a="1"/>
  <c r="R95" i="10" s="1"/>
  <c r="R96" i="10" a="1"/>
  <c r="R96" i="10" s="1"/>
  <c r="R97" i="10" a="1"/>
  <c r="R97" i="10" s="1"/>
  <c r="R98" i="10" a="1"/>
  <c r="R98" i="10" s="1"/>
  <c r="R99" i="10" a="1"/>
  <c r="R99" i="10" s="1"/>
  <c r="R100" i="10" a="1"/>
  <c r="R100" i="10" s="1"/>
  <c r="R101" i="10" a="1"/>
  <c r="R101" i="10" s="1"/>
  <c r="R102" i="10" a="1"/>
  <c r="R102" i="10" s="1"/>
  <c r="R103" i="10" a="1"/>
  <c r="R103" i="10" s="1"/>
  <c r="R104" i="10" a="1"/>
  <c r="R104" i="10" s="1"/>
  <c r="R105" i="10" a="1"/>
  <c r="R105" i="10" s="1"/>
  <c r="R106" i="10" a="1"/>
  <c r="R106" i="10" s="1"/>
  <c r="R107" i="10" a="1"/>
  <c r="R107" i="10" s="1"/>
  <c r="R108" i="10" a="1"/>
  <c r="R108" i="10" s="1"/>
  <c r="R109" i="10" a="1"/>
  <c r="R109" i="10" s="1"/>
  <c r="R110" i="10" a="1"/>
  <c r="R110" i="10" s="1"/>
  <c r="R111" i="10" a="1"/>
  <c r="R111" i="10" s="1"/>
  <c r="R112" i="10" a="1"/>
  <c r="R112" i="10" s="1"/>
  <c r="R113" i="10" a="1"/>
  <c r="R113" i="10" s="1"/>
  <c r="R114" i="10" a="1"/>
  <c r="R114" i="10" s="1"/>
  <c r="R115" i="10" a="1"/>
  <c r="R115" i="10" s="1"/>
  <c r="R116" i="10" a="1"/>
  <c r="R116" i="10" s="1"/>
  <c r="R117" i="10" a="1"/>
  <c r="R117" i="10" s="1"/>
  <c r="R118" i="10" a="1"/>
  <c r="R118" i="10" s="1"/>
  <c r="R119" i="10" a="1"/>
  <c r="R119" i="10" s="1"/>
  <c r="R120" i="10" a="1"/>
  <c r="R120" i="10" s="1"/>
  <c r="R121" i="10" a="1"/>
  <c r="R121" i="10" s="1"/>
  <c r="R122" i="10" a="1"/>
  <c r="R122" i="10" s="1"/>
  <c r="R123" i="10" a="1"/>
  <c r="R123" i="10" s="1"/>
  <c r="R124" i="10" a="1"/>
  <c r="R124" i="10" s="1"/>
  <c r="R125" i="10" a="1"/>
  <c r="R125" i="10" s="1"/>
  <c r="R126" i="10" a="1"/>
  <c r="R126" i="10" s="1"/>
  <c r="R127" i="10" a="1"/>
  <c r="R127" i="10" s="1"/>
  <c r="R128" i="10" a="1"/>
  <c r="R128" i="10" s="1"/>
  <c r="R129" i="10" a="1"/>
  <c r="R129" i="10" s="1"/>
  <c r="R130" i="10" a="1"/>
  <c r="R130" i="10" s="1"/>
  <c r="R131" i="10" a="1"/>
  <c r="R131" i="10" s="1"/>
  <c r="R132" i="10" a="1"/>
  <c r="R132" i="10" s="1"/>
  <c r="R133" i="10" a="1"/>
  <c r="R133" i="10" s="1"/>
  <c r="R134" i="10" a="1"/>
  <c r="R134" i="10" s="1"/>
  <c r="R135" i="10" a="1"/>
  <c r="R135" i="10" s="1"/>
  <c r="R136" i="10" a="1"/>
  <c r="R136" i="10" s="1"/>
  <c r="R137" i="10" a="1"/>
  <c r="R137" i="10" s="1"/>
  <c r="R138" i="10" a="1"/>
  <c r="R138" i="10" s="1"/>
  <c r="R139" i="10" a="1"/>
  <c r="R139" i="10" s="1"/>
  <c r="R140" i="10" a="1"/>
  <c r="R140" i="10" s="1"/>
  <c r="R141" i="10" a="1"/>
  <c r="R141" i="10" s="1"/>
  <c r="R142" i="10" a="1"/>
  <c r="R142" i="10" s="1"/>
  <c r="R143" i="10" a="1"/>
  <c r="R143" i="10" s="1"/>
  <c r="R144" i="10" a="1"/>
  <c r="R144" i="10" s="1"/>
  <c r="R145" i="10" a="1"/>
  <c r="R145" i="10" s="1"/>
  <c r="R146" i="10" a="1"/>
  <c r="R146" i="10" s="1"/>
  <c r="R147" i="10" a="1"/>
  <c r="R147" i="10" s="1"/>
  <c r="R148" i="10" a="1"/>
  <c r="R148" i="10" s="1"/>
  <c r="R149" i="10" a="1"/>
  <c r="R149" i="10" s="1"/>
  <c r="R150" i="10" a="1"/>
  <c r="R150" i="10" s="1"/>
  <c r="R151" i="10" a="1"/>
  <c r="R151" i="10" s="1"/>
  <c r="R152" i="10" a="1"/>
  <c r="R152" i="10" s="1"/>
  <c r="R153" i="10" a="1"/>
  <c r="R153" i="10" s="1"/>
  <c r="Q3" i="10" a="1"/>
  <c r="Q3" i="10" s="1"/>
  <c r="Q4" i="10" a="1"/>
  <c r="Q4" i="10" s="1"/>
  <c r="Q5" i="10" a="1"/>
  <c r="Q5" i="10" s="1"/>
  <c r="Q6" i="10" a="1"/>
  <c r="Q6" i="10" s="1"/>
  <c r="Q7" i="10" a="1"/>
  <c r="Q7" i="10" s="1"/>
  <c r="Q8" i="10" a="1"/>
  <c r="Q8" i="10" s="1"/>
  <c r="Q9" i="10" a="1"/>
  <c r="Q9" i="10" s="1"/>
  <c r="Q10" i="10" a="1"/>
  <c r="Q10" i="10" s="1"/>
  <c r="Q11" i="10" a="1"/>
  <c r="Q11" i="10" s="1"/>
  <c r="Q12" i="10" a="1"/>
  <c r="Q12" i="10" s="1"/>
  <c r="Q13" i="10" a="1"/>
  <c r="Q13" i="10" s="1"/>
  <c r="Q14" i="10" a="1"/>
  <c r="Q14" i="10" s="1"/>
  <c r="Q15" i="10" a="1"/>
  <c r="Q15" i="10" s="1"/>
  <c r="Q16" i="10" a="1"/>
  <c r="Q16" i="10" s="1"/>
  <c r="Q17" i="10" a="1"/>
  <c r="Q17" i="10" s="1"/>
  <c r="Q18" i="10" a="1"/>
  <c r="Q18" i="10" s="1"/>
  <c r="Q19" i="10" a="1"/>
  <c r="Q19" i="10" s="1"/>
  <c r="Q20" i="10" a="1"/>
  <c r="Q20" i="10" s="1"/>
  <c r="Q21" i="10" a="1"/>
  <c r="Q21" i="10" s="1"/>
  <c r="Q22" i="10" a="1"/>
  <c r="Q22" i="10" s="1"/>
  <c r="Q23" i="10" a="1"/>
  <c r="Q23" i="10" s="1"/>
  <c r="Q24" i="10" a="1"/>
  <c r="Q24" i="10" s="1"/>
  <c r="Q25" i="10" a="1"/>
  <c r="Q25" i="10" s="1"/>
  <c r="Q26" i="10" a="1"/>
  <c r="Q26" i="10" s="1"/>
  <c r="Q27" i="10" a="1"/>
  <c r="Q27" i="10" s="1"/>
  <c r="Q28" i="10" a="1"/>
  <c r="Q28" i="10" s="1"/>
  <c r="Q29" i="10" a="1"/>
  <c r="Q29" i="10" s="1"/>
  <c r="Q30" i="10" a="1"/>
  <c r="Q30" i="10" s="1"/>
  <c r="Q31" i="10" a="1"/>
  <c r="Q31" i="10" s="1"/>
  <c r="Q32" i="10" a="1"/>
  <c r="Q32" i="10" s="1"/>
  <c r="Q33" i="10" a="1"/>
  <c r="Q33" i="10" s="1"/>
  <c r="Q34" i="10" a="1"/>
  <c r="Q34" i="10" s="1"/>
  <c r="Q35" i="10" a="1"/>
  <c r="Q35" i="10" s="1"/>
  <c r="Q36" i="10" a="1"/>
  <c r="Q36" i="10" s="1"/>
  <c r="Q37" i="10" a="1"/>
  <c r="Q37" i="10" s="1"/>
  <c r="Q38" i="10" a="1"/>
  <c r="Q38" i="10" s="1"/>
  <c r="Q39" i="10" a="1"/>
  <c r="Q39" i="10" s="1"/>
  <c r="Q40" i="10" a="1"/>
  <c r="Q40" i="10" s="1"/>
  <c r="Q41" i="10" a="1"/>
  <c r="Q41" i="10" s="1"/>
  <c r="Q42" i="10" a="1"/>
  <c r="Q42" i="10" s="1"/>
  <c r="Q43" i="10" a="1"/>
  <c r="Q43" i="10" s="1"/>
  <c r="Q44" i="10" a="1"/>
  <c r="Q44" i="10" s="1"/>
  <c r="Q45" i="10" a="1"/>
  <c r="Q45" i="10" s="1"/>
  <c r="Q46" i="10" a="1"/>
  <c r="Q46" i="10" s="1"/>
  <c r="Q47" i="10" a="1"/>
  <c r="Q47" i="10" s="1"/>
  <c r="Q48" i="10" a="1"/>
  <c r="Q48" i="10" s="1"/>
  <c r="Q49" i="10" a="1"/>
  <c r="Q49" i="10" s="1"/>
  <c r="Q50" i="10" a="1"/>
  <c r="Q50" i="10" s="1"/>
  <c r="Q51" i="10" a="1"/>
  <c r="Q51" i="10" s="1"/>
  <c r="Q52" i="10" a="1"/>
  <c r="Q52" i="10" s="1"/>
  <c r="Q53" i="10" a="1"/>
  <c r="Q53" i="10" s="1"/>
  <c r="Q54" i="10" a="1"/>
  <c r="Q54" i="10" s="1"/>
  <c r="Q55" i="10" a="1"/>
  <c r="Q55" i="10" s="1"/>
  <c r="Q56" i="10" a="1"/>
  <c r="Q56" i="10" s="1"/>
  <c r="Q57" i="10" a="1"/>
  <c r="Q57" i="10" s="1"/>
  <c r="Q58" i="10" a="1"/>
  <c r="Q58" i="10" s="1"/>
  <c r="Q59" i="10" a="1"/>
  <c r="Q59" i="10" s="1"/>
  <c r="Q60" i="10" a="1"/>
  <c r="Q60" i="10" s="1"/>
  <c r="Q61" i="10" a="1"/>
  <c r="Q61" i="10" s="1"/>
  <c r="Q62" i="10" a="1"/>
  <c r="Q62" i="10" s="1"/>
  <c r="Q63" i="10" a="1"/>
  <c r="Q63" i="10" s="1"/>
  <c r="Q64" i="10" a="1"/>
  <c r="Q64" i="10" s="1"/>
  <c r="Q65" i="10" a="1"/>
  <c r="Q65" i="10" s="1"/>
  <c r="Q66" i="10" a="1"/>
  <c r="Q66" i="10" s="1"/>
  <c r="Q67" i="10" a="1"/>
  <c r="Q67" i="10" s="1"/>
  <c r="Q68" i="10" a="1"/>
  <c r="Q68" i="10" s="1"/>
  <c r="Q69" i="10" a="1"/>
  <c r="Q69" i="10" s="1"/>
  <c r="Q70" i="10" a="1"/>
  <c r="Q70" i="10" s="1"/>
  <c r="Q71" i="10" a="1"/>
  <c r="Q71" i="10" s="1"/>
  <c r="Q72" i="10" a="1"/>
  <c r="Q72" i="10" s="1"/>
  <c r="Q73" i="10" a="1"/>
  <c r="Q73" i="10" s="1"/>
  <c r="Q74" i="10" a="1"/>
  <c r="Q74" i="10" s="1"/>
  <c r="Q75" i="10" a="1"/>
  <c r="Q75" i="10" s="1"/>
  <c r="Q76" i="10" a="1"/>
  <c r="Q76" i="10" s="1"/>
  <c r="Q77" i="10" a="1"/>
  <c r="Q77" i="10" s="1"/>
  <c r="Q78" i="10" a="1"/>
  <c r="Q78" i="10" s="1"/>
  <c r="Q79" i="10" a="1"/>
  <c r="Q79" i="10" s="1"/>
  <c r="Q80" i="10" a="1"/>
  <c r="Q80" i="10" s="1"/>
  <c r="Q81" i="10" a="1"/>
  <c r="Q81" i="10" s="1"/>
  <c r="Q82" i="10" a="1"/>
  <c r="Q82" i="10" s="1"/>
  <c r="Q83" i="10" a="1"/>
  <c r="Q83" i="10" s="1"/>
  <c r="Q84" i="10" a="1"/>
  <c r="Q84" i="10" s="1"/>
  <c r="Q85" i="10" a="1"/>
  <c r="Q85" i="10" s="1"/>
  <c r="Q86" i="10" a="1"/>
  <c r="Q86" i="10" s="1"/>
  <c r="Q87" i="10" a="1"/>
  <c r="Q87" i="10" s="1"/>
  <c r="Q88" i="10" a="1"/>
  <c r="Q88" i="10" s="1"/>
  <c r="Q89" i="10" a="1"/>
  <c r="Q89" i="10" s="1"/>
  <c r="Q90" i="10" a="1"/>
  <c r="Q90" i="10" s="1"/>
  <c r="Q91" i="10" a="1"/>
  <c r="Q91" i="10" s="1"/>
  <c r="Q92" i="10" a="1"/>
  <c r="Q92" i="10" s="1"/>
  <c r="Q93" i="10" a="1"/>
  <c r="Q93" i="10" s="1"/>
  <c r="Q94" i="10" a="1"/>
  <c r="Q94" i="10" s="1"/>
  <c r="Q95" i="10" a="1"/>
  <c r="Q95" i="10" s="1"/>
  <c r="Q96" i="10" a="1"/>
  <c r="Q96" i="10" s="1"/>
  <c r="Q97" i="10" a="1"/>
  <c r="Q97" i="10" s="1"/>
  <c r="Q98" i="10" a="1"/>
  <c r="Q98" i="10" s="1"/>
  <c r="Q99" i="10" a="1"/>
  <c r="Q99" i="10" s="1"/>
  <c r="Q100" i="10" a="1"/>
  <c r="Q100" i="10" s="1"/>
  <c r="Q101" i="10" a="1"/>
  <c r="Q101" i="10" s="1"/>
  <c r="Q102" i="10" a="1"/>
  <c r="Q102" i="10" s="1"/>
  <c r="Q103" i="10" a="1"/>
  <c r="Q103" i="10" s="1"/>
  <c r="Q104" i="10" a="1"/>
  <c r="Q104" i="10" s="1"/>
  <c r="Q105" i="10" a="1"/>
  <c r="Q105" i="10" s="1"/>
  <c r="Q106" i="10" a="1"/>
  <c r="Q106" i="10" s="1"/>
  <c r="Q107" i="10" a="1"/>
  <c r="Q107" i="10" s="1"/>
  <c r="Q108" i="10" a="1"/>
  <c r="Q108" i="10" s="1"/>
  <c r="Q109" i="10" a="1"/>
  <c r="Q109" i="10" s="1"/>
  <c r="Q110" i="10" a="1"/>
  <c r="Q110" i="10" s="1"/>
  <c r="Q111" i="10" a="1"/>
  <c r="Q111" i="10" s="1"/>
  <c r="Q112" i="10" a="1"/>
  <c r="Q112" i="10" s="1"/>
  <c r="Q113" i="10" a="1"/>
  <c r="Q113" i="10" s="1"/>
  <c r="Q114" i="10" a="1"/>
  <c r="Q114" i="10" s="1"/>
  <c r="Q115" i="10" a="1"/>
  <c r="Q115" i="10" s="1"/>
  <c r="Q116" i="10" a="1"/>
  <c r="Q116" i="10" s="1"/>
  <c r="Q117" i="10" a="1"/>
  <c r="Q117" i="10" s="1"/>
  <c r="Q118" i="10" a="1"/>
  <c r="Q118" i="10" s="1"/>
  <c r="Q119" i="10" a="1"/>
  <c r="Q119" i="10" s="1"/>
  <c r="Q120" i="10" a="1"/>
  <c r="Q120" i="10" s="1"/>
  <c r="Q121" i="10" a="1"/>
  <c r="Q121" i="10" s="1"/>
  <c r="Q122" i="10" a="1"/>
  <c r="Q122" i="10" s="1"/>
  <c r="Q123" i="10" a="1"/>
  <c r="Q123" i="10" s="1"/>
  <c r="Q124" i="10" a="1"/>
  <c r="Q124" i="10" s="1"/>
  <c r="Q125" i="10" a="1"/>
  <c r="Q125" i="10" s="1"/>
  <c r="Q126" i="10" a="1"/>
  <c r="Q126" i="10" s="1"/>
  <c r="Q127" i="10" a="1"/>
  <c r="Q127" i="10" s="1"/>
  <c r="Q128" i="10" a="1"/>
  <c r="Q128" i="10" s="1"/>
  <c r="Q129" i="10" a="1"/>
  <c r="Q129" i="10" s="1"/>
  <c r="Q130" i="10" a="1"/>
  <c r="Q130" i="10" s="1"/>
  <c r="Q131" i="10" a="1"/>
  <c r="Q131" i="10" s="1"/>
  <c r="Q132" i="10" a="1"/>
  <c r="Q132" i="10" s="1"/>
  <c r="Q133" i="10" a="1"/>
  <c r="Q133" i="10" s="1"/>
  <c r="Q134" i="10" a="1"/>
  <c r="Q134" i="10" s="1"/>
  <c r="Q135" i="10" a="1"/>
  <c r="Q135" i="10" s="1"/>
  <c r="Q136" i="10" a="1"/>
  <c r="Q136" i="10" s="1"/>
  <c r="Q137" i="10" a="1"/>
  <c r="Q137" i="10" s="1"/>
  <c r="Q138" i="10" a="1"/>
  <c r="Q138" i="10" s="1"/>
  <c r="Q139" i="10" a="1"/>
  <c r="Q139" i="10" s="1"/>
  <c r="Q140" i="10" a="1"/>
  <c r="Q140" i="10" s="1"/>
  <c r="Q141" i="10" a="1"/>
  <c r="Q141" i="10" s="1"/>
  <c r="Q142" i="10" a="1"/>
  <c r="Q142" i="10" s="1"/>
  <c r="Q143" i="10" a="1"/>
  <c r="Q143" i="10" s="1"/>
  <c r="Q144" i="10" a="1"/>
  <c r="Q144" i="10" s="1"/>
  <c r="Q145" i="10" a="1"/>
  <c r="Q145" i="10" s="1"/>
  <c r="Q146" i="10" a="1"/>
  <c r="Q146" i="10" s="1"/>
  <c r="Q147" i="10" a="1"/>
  <c r="Q147" i="10" s="1"/>
  <c r="Q148" i="10" a="1"/>
  <c r="Q148" i="10" s="1"/>
  <c r="Q149" i="10" a="1"/>
  <c r="Q149" i="10" s="1"/>
  <c r="Q150" i="10" a="1"/>
  <c r="Q150" i="10"/>
  <c r="Q151" i="10" a="1"/>
  <c r="Q151" i="10" s="1"/>
  <c r="Q152" i="10" a="1"/>
  <c r="Q152" i="10" s="1"/>
  <c r="Q153" i="10" a="1"/>
  <c r="Q153" i="10" s="1"/>
  <c r="P4" i="10" a="1"/>
  <c r="P4" i="10" s="1"/>
  <c r="P3" i="10" a="1"/>
  <c r="P3" i="10" s="1"/>
  <c r="P5" i="10" a="1"/>
  <c r="P5" i="10" s="1"/>
  <c r="P6" i="10" a="1"/>
  <c r="P6" i="10" s="1"/>
  <c r="P7" i="10" a="1"/>
  <c r="P7" i="10" s="1"/>
  <c r="P8" i="10" a="1"/>
  <c r="P8" i="10" s="1"/>
  <c r="P9" i="10" a="1"/>
  <c r="P9" i="10" s="1"/>
  <c r="P10" i="10" a="1"/>
  <c r="P10" i="10" s="1"/>
  <c r="P11" i="10" a="1"/>
  <c r="P11" i="10" s="1"/>
  <c r="P12" i="10" a="1"/>
  <c r="P12" i="10" s="1"/>
  <c r="P13" i="10" a="1"/>
  <c r="P13" i="10" s="1"/>
  <c r="P14" i="10" a="1"/>
  <c r="P14" i="10" s="1"/>
  <c r="P15" i="10" a="1"/>
  <c r="P15" i="10" s="1"/>
  <c r="P16" i="10" a="1"/>
  <c r="P16" i="10" s="1"/>
  <c r="P17" i="10" a="1"/>
  <c r="P17" i="10" s="1"/>
  <c r="P18" i="10" a="1"/>
  <c r="P18" i="10" s="1"/>
  <c r="P19" i="10" a="1"/>
  <c r="P19" i="10" s="1"/>
  <c r="P20" i="10" a="1"/>
  <c r="P20" i="10" s="1"/>
  <c r="P21" i="10" a="1"/>
  <c r="P21" i="10" s="1"/>
  <c r="P22" i="10" a="1"/>
  <c r="P22" i="10" s="1"/>
  <c r="P23" i="10" a="1"/>
  <c r="P23" i="10" s="1"/>
  <c r="P24" i="10" a="1"/>
  <c r="P24" i="10" s="1"/>
  <c r="P25" i="10" a="1"/>
  <c r="P25" i="10" s="1"/>
  <c r="P26" i="10" a="1"/>
  <c r="P26" i="10" s="1"/>
  <c r="P27" i="10" a="1"/>
  <c r="P27" i="10" s="1"/>
  <c r="P28" i="10" a="1"/>
  <c r="P28" i="10" s="1"/>
  <c r="P29" i="10" a="1"/>
  <c r="P29" i="10" s="1"/>
  <c r="P30" i="10" a="1"/>
  <c r="P30" i="10" s="1"/>
  <c r="P31" i="10" a="1"/>
  <c r="P31" i="10" s="1"/>
  <c r="P32" i="10" a="1"/>
  <c r="P32" i="10" s="1"/>
  <c r="P33" i="10" a="1"/>
  <c r="P33" i="10" s="1"/>
  <c r="P34" i="10" a="1"/>
  <c r="P34" i="10" s="1"/>
  <c r="P35" i="10" a="1"/>
  <c r="P35" i="10" s="1"/>
  <c r="P36" i="10" a="1"/>
  <c r="P36" i="10" s="1"/>
  <c r="P37" i="10" a="1"/>
  <c r="P37" i="10" s="1"/>
  <c r="P38" i="10" a="1"/>
  <c r="P38" i="10" s="1"/>
  <c r="P39" i="10" a="1"/>
  <c r="P39" i="10" s="1"/>
  <c r="P40" i="10" a="1"/>
  <c r="P40" i="10" s="1"/>
  <c r="P41" i="10" a="1"/>
  <c r="P41" i="10" s="1"/>
  <c r="P42" i="10" a="1"/>
  <c r="P42" i="10" s="1"/>
  <c r="P43" i="10" a="1"/>
  <c r="P43" i="10" s="1"/>
  <c r="P44" i="10" a="1"/>
  <c r="P44" i="10" s="1"/>
  <c r="P45" i="10" a="1"/>
  <c r="P45" i="10" s="1"/>
  <c r="P46" i="10" a="1"/>
  <c r="P46" i="10" s="1"/>
  <c r="P47" i="10" a="1"/>
  <c r="P47" i="10" s="1"/>
  <c r="P48" i="10" a="1"/>
  <c r="P48" i="10" s="1"/>
  <c r="P49" i="10" a="1"/>
  <c r="P49" i="10" s="1"/>
  <c r="P50" i="10" a="1"/>
  <c r="P50" i="10" s="1"/>
  <c r="P51" i="10" a="1"/>
  <c r="P51" i="10" s="1"/>
  <c r="P52" i="10" a="1"/>
  <c r="P52" i="10" s="1"/>
  <c r="P53" i="10" a="1"/>
  <c r="P53" i="10" s="1"/>
  <c r="P54" i="10" a="1"/>
  <c r="P54" i="10" s="1"/>
  <c r="P55" i="10" a="1"/>
  <c r="P55" i="10" s="1"/>
  <c r="P56" i="10" a="1"/>
  <c r="P56" i="10" s="1"/>
  <c r="P57" i="10" a="1"/>
  <c r="P57" i="10" s="1"/>
  <c r="P58" i="10" a="1"/>
  <c r="P58" i="10" s="1"/>
  <c r="P59" i="10" a="1"/>
  <c r="P59" i="10" s="1"/>
  <c r="P60" i="10" a="1"/>
  <c r="P60" i="10" s="1"/>
  <c r="P61" i="10" a="1"/>
  <c r="P61" i="10" s="1"/>
  <c r="P62" i="10" a="1"/>
  <c r="P62" i="10" s="1"/>
  <c r="P63" i="10" a="1"/>
  <c r="P63" i="10" s="1"/>
  <c r="P64" i="10" a="1"/>
  <c r="P64" i="10" s="1"/>
  <c r="P65" i="10" a="1"/>
  <c r="P65" i="10" s="1"/>
  <c r="P66" i="10" a="1"/>
  <c r="P66" i="10" s="1"/>
  <c r="P67" i="10" a="1"/>
  <c r="P67" i="10" s="1"/>
  <c r="P68" i="10" a="1"/>
  <c r="P68" i="10" s="1"/>
  <c r="P69" i="10" a="1"/>
  <c r="P69" i="10" s="1"/>
  <c r="P70" i="10" a="1"/>
  <c r="P70" i="10" s="1"/>
  <c r="P71" i="10" a="1"/>
  <c r="P71" i="10" s="1"/>
  <c r="P72" i="10" a="1"/>
  <c r="P72" i="10" s="1"/>
  <c r="P73" i="10" a="1"/>
  <c r="P73" i="10" s="1"/>
  <c r="P74" i="10" a="1"/>
  <c r="P74" i="10" s="1"/>
  <c r="P75" i="10" a="1"/>
  <c r="P75" i="10" s="1"/>
  <c r="P76" i="10" a="1"/>
  <c r="P76" i="10" s="1"/>
  <c r="P77" i="10" a="1"/>
  <c r="P77" i="10" s="1"/>
  <c r="P78" i="10" a="1"/>
  <c r="P78" i="10" s="1"/>
  <c r="P79" i="10" a="1"/>
  <c r="P79" i="10" s="1"/>
  <c r="P80" i="10" a="1"/>
  <c r="P80" i="10" s="1"/>
  <c r="P81" i="10" a="1"/>
  <c r="P81" i="10" s="1"/>
  <c r="P82" i="10" a="1"/>
  <c r="P82" i="10" s="1"/>
  <c r="P83" i="10" a="1"/>
  <c r="P83" i="10" s="1"/>
  <c r="P84" i="10" a="1"/>
  <c r="P84" i="10" s="1"/>
  <c r="P85" i="10" a="1"/>
  <c r="P85" i="10" s="1"/>
  <c r="P86" i="10" a="1"/>
  <c r="P86" i="10" s="1"/>
  <c r="P87" i="10" a="1"/>
  <c r="P87" i="10" s="1"/>
  <c r="P88" i="10" a="1"/>
  <c r="P88" i="10" s="1"/>
  <c r="P89" i="10" a="1"/>
  <c r="P89" i="10" s="1"/>
  <c r="P90" i="10" a="1"/>
  <c r="P90" i="10" s="1"/>
  <c r="P91" i="10" a="1"/>
  <c r="P91" i="10" s="1"/>
  <c r="P92" i="10" a="1"/>
  <c r="P92" i="10" s="1"/>
  <c r="P93" i="10" a="1"/>
  <c r="P93" i="10" s="1"/>
  <c r="P94" i="10" a="1"/>
  <c r="P94" i="10" s="1"/>
  <c r="P95" i="10" a="1"/>
  <c r="P95" i="10" s="1"/>
  <c r="P96" i="10" a="1"/>
  <c r="P96" i="10" s="1"/>
  <c r="P97" i="10" a="1"/>
  <c r="P97" i="10" s="1"/>
  <c r="P98" i="10" a="1"/>
  <c r="P98" i="10" s="1"/>
  <c r="P99" i="10" a="1"/>
  <c r="P99" i="10" s="1"/>
  <c r="P100" i="10" a="1"/>
  <c r="P100" i="10" s="1"/>
  <c r="P101" i="10" a="1"/>
  <c r="P101" i="10" s="1"/>
  <c r="P102" i="10" a="1"/>
  <c r="P102" i="10" s="1"/>
  <c r="P103" i="10" a="1"/>
  <c r="P103" i="10" s="1"/>
  <c r="P104" i="10" a="1"/>
  <c r="P104" i="10" s="1"/>
  <c r="P105" i="10" a="1"/>
  <c r="P105" i="10" s="1"/>
  <c r="P106" i="10" a="1"/>
  <c r="P106" i="10" s="1"/>
  <c r="P107" i="10" a="1"/>
  <c r="P107" i="10" s="1"/>
  <c r="P108" i="10" a="1"/>
  <c r="P108" i="10" s="1"/>
  <c r="P109" i="10" a="1"/>
  <c r="P109" i="10" s="1"/>
  <c r="P110" i="10" a="1"/>
  <c r="P110" i="10" s="1"/>
  <c r="P111" i="10" a="1"/>
  <c r="P111" i="10" s="1"/>
  <c r="P112" i="10" a="1"/>
  <c r="P112" i="10" s="1"/>
  <c r="P113" i="10" a="1"/>
  <c r="P113" i="10" s="1"/>
  <c r="P114" i="10" a="1"/>
  <c r="P114" i="10" s="1"/>
  <c r="P115" i="10" a="1"/>
  <c r="P115" i="10" s="1"/>
  <c r="P116" i="10" a="1"/>
  <c r="P116" i="10" s="1"/>
  <c r="P117" i="10" a="1"/>
  <c r="P117" i="10" s="1"/>
  <c r="P118" i="10" a="1"/>
  <c r="P118" i="10" s="1"/>
  <c r="P119" i="10" a="1"/>
  <c r="P119" i="10" s="1"/>
  <c r="P120" i="10" a="1"/>
  <c r="P120" i="10" s="1"/>
  <c r="P121" i="10" a="1"/>
  <c r="P121" i="10" s="1"/>
  <c r="P122" i="10" a="1"/>
  <c r="P122" i="10" s="1"/>
  <c r="P123" i="10" a="1"/>
  <c r="P123" i="10" s="1"/>
  <c r="P124" i="10" a="1"/>
  <c r="P124" i="10" s="1"/>
  <c r="P125" i="10" a="1"/>
  <c r="P125" i="10" s="1"/>
  <c r="P126" i="10" a="1"/>
  <c r="P126" i="10" s="1"/>
  <c r="P127" i="10" a="1"/>
  <c r="P127" i="10" s="1"/>
  <c r="P128" i="10" a="1"/>
  <c r="P128" i="10" s="1"/>
  <c r="P129" i="10" a="1"/>
  <c r="P129" i="10" s="1"/>
  <c r="P130" i="10" a="1"/>
  <c r="P130" i="10" s="1"/>
  <c r="P131" i="10" a="1"/>
  <c r="P131" i="10" s="1"/>
  <c r="P132" i="10" a="1"/>
  <c r="P132" i="10" s="1"/>
  <c r="P133" i="10" a="1"/>
  <c r="P133" i="10" s="1"/>
  <c r="P134" i="10" a="1"/>
  <c r="P134" i="10" s="1"/>
  <c r="P135" i="10" a="1"/>
  <c r="P135" i="10" s="1"/>
  <c r="P136" i="10" a="1"/>
  <c r="P136" i="10" s="1"/>
  <c r="P137" i="10" a="1"/>
  <c r="P137" i="10" s="1"/>
  <c r="P138" i="10" a="1"/>
  <c r="P138" i="10" s="1"/>
  <c r="P139" i="10" a="1"/>
  <c r="P139" i="10" s="1"/>
  <c r="P140" i="10" a="1"/>
  <c r="P140" i="10" s="1"/>
  <c r="P141" i="10" a="1"/>
  <c r="P141" i="10" s="1"/>
  <c r="P142" i="10" a="1"/>
  <c r="P142" i="10" s="1"/>
  <c r="P143" i="10" a="1"/>
  <c r="P143" i="10" s="1"/>
  <c r="P144" i="10" a="1"/>
  <c r="P144" i="10" s="1"/>
  <c r="P145" i="10" a="1"/>
  <c r="P145" i="10" s="1"/>
  <c r="P146" i="10" a="1"/>
  <c r="P146" i="10" s="1"/>
  <c r="P147" i="10" a="1"/>
  <c r="P147" i="10" s="1"/>
  <c r="P148" i="10" a="1"/>
  <c r="P148" i="10" s="1"/>
  <c r="P149" i="10" a="1"/>
  <c r="P149" i="10" s="1"/>
  <c r="P150" i="10" a="1"/>
  <c r="P150" i="10" s="1"/>
  <c r="P151" i="10" a="1"/>
  <c r="P151" i="10" s="1"/>
  <c r="P152" i="10" a="1"/>
  <c r="P152" i="10" s="1"/>
  <c r="P153" i="10" a="1"/>
  <c r="P153" i="10" s="1"/>
  <c r="O3" i="10" a="1"/>
  <c r="O3" i="10" s="1"/>
  <c r="O4" i="10" a="1"/>
  <c r="O4" i="10" s="1"/>
  <c r="O5" i="10" a="1"/>
  <c r="O5" i="10" s="1"/>
  <c r="O6" i="10" a="1"/>
  <c r="O6" i="10" s="1"/>
  <c r="O7" i="10" a="1"/>
  <c r="O7" i="10" s="1"/>
  <c r="O8" i="10" a="1"/>
  <c r="O8" i="10" s="1"/>
  <c r="O9" i="10" a="1"/>
  <c r="O9" i="10" s="1"/>
  <c r="O10" i="10" a="1"/>
  <c r="O10" i="10" s="1"/>
  <c r="O11" i="10" a="1"/>
  <c r="O11" i="10" s="1"/>
  <c r="O12" i="10" a="1"/>
  <c r="O12" i="10" s="1"/>
  <c r="O13" i="10" a="1"/>
  <c r="O13" i="10" s="1"/>
  <c r="O14" i="10" a="1"/>
  <c r="O14" i="10" s="1"/>
  <c r="O15" i="10" a="1"/>
  <c r="O15" i="10" s="1"/>
  <c r="O16" i="10" a="1"/>
  <c r="O16" i="10" s="1"/>
  <c r="O17" i="10" a="1"/>
  <c r="O17" i="10" s="1"/>
  <c r="O18" i="10" a="1"/>
  <c r="O18" i="10" s="1"/>
  <c r="O19" i="10" a="1"/>
  <c r="O19" i="10" s="1"/>
  <c r="O20" i="10" a="1"/>
  <c r="O20" i="10" s="1"/>
  <c r="O21" i="10" a="1"/>
  <c r="O21" i="10" s="1"/>
  <c r="O22" i="10" a="1"/>
  <c r="O22" i="10" s="1"/>
  <c r="O23" i="10" a="1"/>
  <c r="O23" i="10" s="1"/>
  <c r="O24" i="10" a="1"/>
  <c r="O24" i="10" s="1"/>
  <c r="O25" i="10" a="1"/>
  <c r="O25" i="10" s="1"/>
  <c r="O26" i="10" a="1"/>
  <c r="O26" i="10" s="1"/>
  <c r="O27" i="10" a="1"/>
  <c r="O27" i="10"/>
  <c r="O28" i="10" a="1"/>
  <c r="O28" i="10" s="1"/>
  <c r="O29" i="10" a="1"/>
  <c r="O29" i="10" s="1"/>
  <c r="O30" i="10" a="1"/>
  <c r="O30" i="10" s="1"/>
  <c r="O31" i="10" a="1"/>
  <c r="O31" i="10" s="1"/>
  <c r="O32" i="10" a="1"/>
  <c r="O32" i="10" s="1"/>
  <c r="O33" i="10" a="1"/>
  <c r="O33" i="10" s="1"/>
  <c r="O34" i="10" a="1"/>
  <c r="O34" i="10" s="1"/>
  <c r="O35" i="10" a="1"/>
  <c r="O35" i="10" s="1"/>
  <c r="O36" i="10" a="1"/>
  <c r="O36" i="10" s="1"/>
  <c r="O37" i="10" a="1"/>
  <c r="O37" i="10" s="1"/>
  <c r="O38" i="10" a="1"/>
  <c r="O38" i="10" s="1"/>
  <c r="O39" i="10" a="1"/>
  <c r="O39" i="10" s="1"/>
  <c r="O40" i="10" a="1"/>
  <c r="O40" i="10" s="1"/>
  <c r="O41" i="10" a="1"/>
  <c r="O41" i="10" s="1"/>
  <c r="O42" i="10" a="1"/>
  <c r="O42" i="10" s="1"/>
  <c r="O43" i="10" a="1"/>
  <c r="O43" i="10" s="1"/>
  <c r="O44" i="10" a="1"/>
  <c r="O44" i="10" s="1"/>
  <c r="O45" i="10" a="1"/>
  <c r="O45" i="10" s="1"/>
  <c r="O46" i="10" a="1"/>
  <c r="O46" i="10" s="1"/>
  <c r="O47" i="10" a="1"/>
  <c r="O47" i="10" s="1"/>
  <c r="O48" i="10" a="1"/>
  <c r="O48" i="10" s="1"/>
  <c r="O49" i="10" a="1"/>
  <c r="O49" i="10" s="1"/>
  <c r="O50" i="10" a="1"/>
  <c r="O50" i="10" s="1"/>
  <c r="O51" i="10" a="1"/>
  <c r="O51" i="10" s="1"/>
  <c r="O52" i="10" a="1"/>
  <c r="O52" i="10" s="1"/>
  <c r="O53" i="10" a="1"/>
  <c r="O53" i="10" s="1"/>
  <c r="O54" i="10" a="1"/>
  <c r="O54" i="10" s="1"/>
  <c r="O55" i="10" a="1"/>
  <c r="O55" i="10" s="1"/>
  <c r="O56" i="10" a="1"/>
  <c r="O56" i="10" s="1"/>
  <c r="O57" i="10" a="1"/>
  <c r="O57" i="10" s="1"/>
  <c r="O58" i="10" a="1"/>
  <c r="O58" i="10" s="1"/>
  <c r="O59" i="10" a="1"/>
  <c r="O59" i="10" s="1"/>
  <c r="O60" i="10" a="1"/>
  <c r="O60" i="10" s="1"/>
  <c r="O61" i="10" a="1"/>
  <c r="O61" i="10" s="1"/>
  <c r="O62" i="10" a="1"/>
  <c r="O62" i="10" s="1"/>
  <c r="O63" i="10" a="1"/>
  <c r="O63" i="10" s="1"/>
  <c r="O64" i="10" a="1"/>
  <c r="O64" i="10" s="1"/>
  <c r="O65" i="10" a="1"/>
  <c r="O65" i="10" s="1"/>
  <c r="O66" i="10" a="1"/>
  <c r="O66" i="10" s="1"/>
  <c r="O67" i="10" a="1"/>
  <c r="O67" i="10" s="1"/>
  <c r="O68" i="10" a="1"/>
  <c r="O68" i="10" s="1"/>
  <c r="O69" i="10" a="1"/>
  <c r="O69" i="10" s="1"/>
  <c r="O70" i="10" a="1"/>
  <c r="O70" i="10" s="1"/>
  <c r="O71" i="10" a="1"/>
  <c r="O71" i="10" s="1"/>
  <c r="O72" i="10" a="1"/>
  <c r="O72" i="10" s="1"/>
  <c r="O73" i="10" a="1"/>
  <c r="O73" i="10" s="1"/>
  <c r="O74" i="10" a="1"/>
  <c r="O74" i="10" s="1"/>
  <c r="O75" i="10" a="1"/>
  <c r="O75" i="10" s="1"/>
  <c r="O76" i="10" a="1"/>
  <c r="O76" i="10" s="1"/>
  <c r="O77" i="10" a="1"/>
  <c r="O77" i="10" s="1"/>
  <c r="O78" i="10" a="1"/>
  <c r="O78" i="10" s="1"/>
  <c r="O79" i="10" a="1"/>
  <c r="O79" i="10" s="1"/>
  <c r="O80" i="10" a="1"/>
  <c r="O80" i="10" s="1"/>
  <c r="O81" i="10" a="1"/>
  <c r="O81" i="10" s="1"/>
  <c r="O82" i="10" a="1"/>
  <c r="O82" i="10" s="1"/>
  <c r="O83" i="10" a="1"/>
  <c r="O83" i="10" s="1"/>
  <c r="O84" i="10" a="1"/>
  <c r="O84" i="10" s="1"/>
  <c r="O85" i="10" a="1"/>
  <c r="O85" i="10" s="1"/>
  <c r="O86" i="10" a="1"/>
  <c r="O86" i="10" s="1"/>
  <c r="O87" i="10" a="1"/>
  <c r="O87" i="10" s="1"/>
  <c r="O88" i="10" a="1"/>
  <c r="O88" i="10" s="1"/>
  <c r="O89" i="10" a="1"/>
  <c r="O89" i="10" s="1"/>
  <c r="O90" i="10" a="1"/>
  <c r="O90" i="10" s="1"/>
  <c r="O91" i="10" a="1"/>
  <c r="O91" i="10" s="1"/>
  <c r="O92" i="10" a="1"/>
  <c r="O92" i="10" s="1"/>
  <c r="O93" i="10" a="1"/>
  <c r="O93" i="10" s="1"/>
  <c r="O94" i="10" a="1"/>
  <c r="O94" i="10" s="1"/>
  <c r="O95" i="10" a="1"/>
  <c r="O95" i="10" s="1"/>
  <c r="O96" i="10" a="1"/>
  <c r="O96" i="10" s="1"/>
  <c r="O97" i="10" a="1"/>
  <c r="O97" i="10" s="1"/>
  <c r="O98" i="10" a="1"/>
  <c r="O98" i="10" s="1"/>
  <c r="O99" i="10" a="1"/>
  <c r="O99" i="10" s="1"/>
  <c r="O100" i="10" a="1"/>
  <c r="O100" i="10" s="1"/>
  <c r="O101" i="10" a="1"/>
  <c r="O101" i="10" s="1"/>
  <c r="O102" i="10" a="1"/>
  <c r="O102" i="10" s="1"/>
  <c r="O103" i="10" a="1"/>
  <c r="O103" i="10" s="1"/>
  <c r="O104" i="10" a="1"/>
  <c r="O104" i="10" s="1"/>
  <c r="O105" i="10" a="1"/>
  <c r="O105" i="10" s="1"/>
  <c r="O106" i="10" a="1"/>
  <c r="O106" i="10" s="1"/>
  <c r="O107" i="10" a="1"/>
  <c r="O107" i="10" s="1"/>
  <c r="O108" i="10" a="1"/>
  <c r="O108" i="10" s="1"/>
  <c r="O109" i="10" a="1"/>
  <c r="O109" i="10" s="1"/>
  <c r="O110" i="10" a="1"/>
  <c r="O110" i="10" s="1"/>
  <c r="O111" i="10" a="1"/>
  <c r="O111" i="10" s="1"/>
  <c r="O112" i="10" a="1"/>
  <c r="O112" i="10" s="1"/>
  <c r="O113" i="10" a="1"/>
  <c r="O113" i="10" s="1"/>
  <c r="O114" i="10" a="1"/>
  <c r="O114" i="10" s="1"/>
  <c r="O115" i="10" a="1"/>
  <c r="O115" i="10" s="1"/>
  <c r="O116" i="10" a="1"/>
  <c r="O116" i="10" s="1"/>
  <c r="O117" i="10" a="1"/>
  <c r="O117" i="10" s="1"/>
  <c r="O118" i="10" a="1"/>
  <c r="O118" i="10" s="1"/>
  <c r="O119" i="10" a="1"/>
  <c r="O119" i="10" s="1"/>
  <c r="O120" i="10" a="1"/>
  <c r="O120" i="10" s="1"/>
  <c r="O121" i="10" a="1"/>
  <c r="O121" i="10" s="1"/>
  <c r="O122" i="10" a="1"/>
  <c r="O122" i="10" s="1"/>
  <c r="O123" i="10" a="1"/>
  <c r="O123" i="10" s="1"/>
  <c r="O124" i="10" a="1"/>
  <c r="O124" i="10" s="1"/>
  <c r="O125" i="10" a="1"/>
  <c r="O125" i="10" s="1"/>
  <c r="O126" i="10" a="1"/>
  <c r="O126" i="10" s="1"/>
  <c r="O127" i="10" a="1"/>
  <c r="O127" i="10" s="1"/>
  <c r="O128" i="10" a="1"/>
  <c r="O128" i="10" s="1"/>
  <c r="O129" i="10" a="1"/>
  <c r="O129" i="10" s="1"/>
  <c r="O130" i="10" a="1"/>
  <c r="O130" i="10" s="1"/>
  <c r="O131" i="10" a="1"/>
  <c r="O131" i="10" s="1"/>
  <c r="O132" i="10" a="1"/>
  <c r="O132" i="10" s="1"/>
  <c r="O133" i="10" a="1"/>
  <c r="O133" i="10" s="1"/>
  <c r="O134" i="10" a="1"/>
  <c r="O134" i="10" s="1"/>
  <c r="O135" i="10" a="1"/>
  <c r="O135" i="10" s="1"/>
  <c r="O136" i="10" a="1"/>
  <c r="O136" i="10" s="1"/>
  <c r="O137" i="10" a="1"/>
  <c r="O137" i="10" s="1"/>
  <c r="O138" i="10" a="1"/>
  <c r="O138" i="10" s="1"/>
  <c r="O139" i="10" a="1"/>
  <c r="O139" i="10" s="1"/>
  <c r="O140" i="10" a="1"/>
  <c r="O140" i="10" s="1"/>
  <c r="O141" i="10" a="1"/>
  <c r="O141" i="10" s="1"/>
  <c r="O142" i="10" a="1"/>
  <c r="O142" i="10" s="1"/>
  <c r="O143" i="10" a="1"/>
  <c r="O143" i="10" s="1"/>
  <c r="O144" i="10" a="1"/>
  <c r="O144" i="10" s="1"/>
  <c r="O145" i="10" a="1"/>
  <c r="O145" i="10" s="1"/>
  <c r="O146" i="10" a="1"/>
  <c r="O146" i="10" s="1"/>
  <c r="O147" i="10" a="1"/>
  <c r="O147" i="10" s="1"/>
  <c r="O148" i="10" a="1"/>
  <c r="O148" i="10" s="1"/>
  <c r="O149" i="10" a="1"/>
  <c r="O149" i="10" s="1"/>
  <c r="O150" i="10" a="1"/>
  <c r="O150" i="10" s="1"/>
  <c r="O151" i="10" a="1"/>
  <c r="O151" i="10" s="1"/>
  <c r="O152" i="10" a="1"/>
  <c r="O152" i="10" s="1"/>
  <c r="O153" i="10" a="1"/>
  <c r="O153" i="10" s="1"/>
  <c r="N3" i="10" a="1"/>
  <c r="N3" i="10" s="1"/>
  <c r="N4" i="10" a="1"/>
  <c r="N4" i="10" s="1"/>
  <c r="N5" i="10" a="1"/>
  <c r="N5" i="10" s="1"/>
  <c r="N6" i="10" a="1"/>
  <c r="N6" i="10" s="1"/>
  <c r="N7" i="10" a="1"/>
  <c r="N7" i="10" s="1"/>
  <c r="N8" i="10" a="1"/>
  <c r="N8" i="10" s="1"/>
  <c r="N9" i="10" a="1"/>
  <c r="N9" i="10" s="1"/>
  <c r="N10" i="10" a="1"/>
  <c r="N10" i="10" s="1"/>
  <c r="N11" i="10" a="1"/>
  <c r="N11" i="10" s="1"/>
  <c r="N12" i="10" a="1"/>
  <c r="N12" i="10" s="1"/>
  <c r="N13" i="10" a="1"/>
  <c r="N13" i="10" s="1"/>
  <c r="N14" i="10" a="1"/>
  <c r="N14" i="10" s="1"/>
  <c r="N15" i="10" a="1"/>
  <c r="N15" i="10" s="1"/>
  <c r="N16" i="10" a="1"/>
  <c r="N16" i="10" s="1"/>
  <c r="N17" i="10" a="1"/>
  <c r="N17" i="10" s="1"/>
  <c r="N18" i="10" a="1"/>
  <c r="N18" i="10" s="1"/>
  <c r="N19" i="10" a="1"/>
  <c r="N19" i="10" s="1"/>
  <c r="N20" i="10" a="1"/>
  <c r="N20" i="10" s="1"/>
  <c r="N21" i="10" a="1"/>
  <c r="N21" i="10" s="1"/>
  <c r="N22" i="10" a="1"/>
  <c r="N22" i="10" s="1"/>
  <c r="N23" i="10" a="1"/>
  <c r="N23" i="10" s="1"/>
  <c r="N24" i="10" a="1"/>
  <c r="N24" i="10" s="1"/>
  <c r="N25" i="10" a="1"/>
  <c r="N25" i="10" s="1"/>
  <c r="N26" i="10" a="1"/>
  <c r="N26" i="10" s="1"/>
  <c r="N27" i="10" a="1"/>
  <c r="N27" i="10" s="1"/>
  <c r="N28" i="10" a="1"/>
  <c r="N28" i="10" s="1"/>
  <c r="N29" i="10" a="1"/>
  <c r="N29" i="10" s="1"/>
  <c r="N30" i="10" a="1"/>
  <c r="N30" i="10" s="1"/>
  <c r="N31" i="10" a="1"/>
  <c r="N31" i="10" s="1"/>
  <c r="N32" i="10" a="1"/>
  <c r="N32" i="10" s="1"/>
  <c r="N33" i="10" a="1"/>
  <c r="N33" i="10" s="1"/>
  <c r="N34" i="10" a="1"/>
  <c r="N34" i="10" s="1"/>
  <c r="N35" i="10" a="1"/>
  <c r="N35" i="10" s="1"/>
  <c r="N36" i="10" a="1"/>
  <c r="N36" i="10" s="1"/>
  <c r="N37" i="10" a="1"/>
  <c r="N37" i="10" s="1"/>
  <c r="N38" i="10" a="1"/>
  <c r="N38" i="10" s="1"/>
  <c r="N39" i="10" a="1"/>
  <c r="N39" i="10" s="1"/>
  <c r="N40" i="10" a="1"/>
  <c r="N40" i="10" s="1"/>
  <c r="N41" i="10" a="1"/>
  <c r="N41" i="10" s="1"/>
  <c r="N42" i="10" a="1"/>
  <c r="N42" i="10" s="1"/>
  <c r="N43" i="10" a="1"/>
  <c r="N43" i="10" s="1"/>
  <c r="N44" i="10" a="1"/>
  <c r="N44" i="10" s="1"/>
  <c r="N45" i="10" a="1"/>
  <c r="N45" i="10" s="1"/>
  <c r="N46" i="10" a="1"/>
  <c r="N46" i="10" s="1"/>
  <c r="N47" i="10" a="1"/>
  <c r="N47" i="10" s="1"/>
  <c r="N48" i="10" a="1"/>
  <c r="N48" i="10" s="1"/>
  <c r="N49" i="10" a="1"/>
  <c r="N49" i="10" s="1"/>
  <c r="N50" i="10" a="1"/>
  <c r="N50" i="10" s="1"/>
  <c r="N51" i="10" a="1"/>
  <c r="N51" i="10" s="1"/>
  <c r="N52" i="10" a="1"/>
  <c r="N52" i="10" s="1"/>
  <c r="N53" i="10" a="1"/>
  <c r="N53" i="10" s="1"/>
  <c r="N54" i="10" a="1"/>
  <c r="N54" i="10" s="1"/>
  <c r="N55" i="10" a="1"/>
  <c r="N55" i="10" s="1"/>
  <c r="N56" i="10" a="1"/>
  <c r="N56" i="10" s="1"/>
  <c r="N57" i="10" a="1"/>
  <c r="N57" i="10" s="1"/>
  <c r="N58" i="10" a="1"/>
  <c r="N58" i="10" s="1"/>
  <c r="N59" i="10" a="1"/>
  <c r="N59" i="10" s="1"/>
  <c r="N60" i="10" a="1"/>
  <c r="N60" i="10" s="1"/>
  <c r="N61" i="10" a="1"/>
  <c r="N61" i="10" s="1"/>
  <c r="N62" i="10" a="1"/>
  <c r="N62" i="10" s="1"/>
  <c r="N63" i="10" a="1"/>
  <c r="N63" i="10" s="1"/>
  <c r="N64" i="10" a="1"/>
  <c r="N64" i="10" s="1"/>
  <c r="N65" i="10" a="1"/>
  <c r="N65" i="10" s="1"/>
  <c r="N66" i="10" a="1"/>
  <c r="N66" i="10" s="1"/>
  <c r="N67" i="10" a="1"/>
  <c r="N67" i="10" s="1"/>
  <c r="N68" i="10" a="1"/>
  <c r="N68" i="10" s="1"/>
  <c r="N69" i="10" a="1"/>
  <c r="N69" i="10" s="1"/>
  <c r="N70" i="10" a="1"/>
  <c r="N70" i="10" s="1"/>
  <c r="N71" i="10" a="1"/>
  <c r="N71" i="10" s="1"/>
  <c r="N72" i="10" a="1"/>
  <c r="N72" i="10" s="1"/>
  <c r="N73" i="10" a="1"/>
  <c r="N73" i="10" s="1"/>
  <c r="N74" i="10" a="1"/>
  <c r="N74" i="10" s="1"/>
  <c r="N75" i="10" a="1"/>
  <c r="N75" i="10" s="1"/>
  <c r="N76" i="10" a="1"/>
  <c r="N76" i="10" s="1"/>
  <c r="N77" i="10" a="1"/>
  <c r="N77" i="10" s="1"/>
  <c r="N78" i="10" a="1"/>
  <c r="N78" i="10" s="1"/>
  <c r="N79" i="10" a="1"/>
  <c r="N79" i="10" s="1"/>
  <c r="N80" i="10" a="1"/>
  <c r="N80" i="10" s="1"/>
  <c r="N81" i="10" a="1"/>
  <c r="N81" i="10" s="1"/>
  <c r="N82" i="10" a="1"/>
  <c r="N82" i="10" s="1"/>
  <c r="N83" i="10" a="1"/>
  <c r="N83" i="10" s="1"/>
  <c r="N84" i="10" a="1"/>
  <c r="N84" i="10" s="1"/>
  <c r="N85" i="10" a="1"/>
  <c r="N85" i="10" s="1"/>
  <c r="N86" i="10" a="1"/>
  <c r="N86" i="10" s="1"/>
  <c r="N87" i="10" a="1"/>
  <c r="N87" i="10" s="1"/>
  <c r="N88" i="10" a="1"/>
  <c r="N88" i="10" s="1"/>
  <c r="N89" i="10" a="1"/>
  <c r="N89" i="10" s="1"/>
  <c r="N90" i="10" a="1"/>
  <c r="N90" i="10" s="1"/>
  <c r="N91" i="10" a="1"/>
  <c r="N91" i="10" s="1"/>
  <c r="N92" i="10" a="1"/>
  <c r="N92" i="10" s="1"/>
  <c r="N93" i="10" a="1"/>
  <c r="N93" i="10" s="1"/>
  <c r="N94" i="10" a="1"/>
  <c r="N94" i="10" s="1"/>
  <c r="N95" i="10" a="1"/>
  <c r="N95" i="10" s="1"/>
  <c r="N96" i="10" a="1"/>
  <c r="N96" i="10" s="1"/>
  <c r="N97" i="10" a="1"/>
  <c r="N97" i="10" s="1"/>
  <c r="N98" i="10" a="1"/>
  <c r="N98" i="10" s="1"/>
  <c r="N99" i="10" a="1"/>
  <c r="N99" i="10" s="1"/>
  <c r="N100" i="10" a="1"/>
  <c r="N100" i="10" s="1"/>
  <c r="N101" i="10" a="1"/>
  <c r="N101" i="10" s="1"/>
  <c r="N102" i="10" a="1"/>
  <c r="N102" i="10" s="1"/>
  <c r="N103" i="10" a="1"/>
  <c r="N103" i="10" s="1"/>
  <c r="N104" i="10" a="1"/>
  <c r="N104" i="10" s="1"/>
  <c r="N105" i="10" a="1"/>
  <c r="N105" i="10" s="1"/>
  <c r="N106" i="10" a="1"/>
  <c r="N106" i="10" s="1"/>
  <c r="N107" i="10" a="1"/>
  <c r="N107" i="10" s="1"/>
  <c r="N108" i="10" a="1"/>
  <c r="N108" i="10" s="1"/>
  <c r="N109" i="10" a="1"/>
  <c r="N109" i="10" s="1"/>
  <c r="N110" i="10" a="1"/>
  <c r="N110" i="10" s="1"/>
  <c r="N111" i="10" a="1"/>
  <c r="N111" i="10" s="1"/>
  <c r="N112" i="10" a="1"/>
  <c r="N112" i="10" s="1"/>
  <c r="N113" i="10" a="1"/>
  <c r="N113" i="10" s="1"/>
  <c r="N114" i="10" a="1"/>
  <c r="N114" i="10" s="1"/>
  <c r="N115" i="10" a="1"/>
  <c r="N115" i="10" s="1"/>
  <c r="N116" i="10" a="1"/>
  <c r="N116" i="10" s="1"/>
  <c r="N117" i="10" a="1"/>
  <c r="N117" i="10" s="1"/>
  <c r="N118" i="10" a="1"/>
  <c r="N118" i="10" s="1"/>
  <c r="N119" i="10" a="1"/>
  <c r="N119" i="10" s="1"/>
  <c r="N120" i="10" a="1"/>
  <c r="N120" i="10" s="1"/>
  <c r="N121" i="10" a="1"/>
  <c r="N121" i="10" s="1"/>
  <c r="N122" i="10" a="1"/>
  <c r="N122" i="10" s="1"/>
  <c r="N123" i="10" a="1"/>
  <c r="N123" i="10" s="1"/>
  <c r="N124" i="10" a="1"/>
  <c r="N124" i="10" s="1"/>
  <c r="N125" i="10" a="1"/>
  <c r="N125" i="10" s="1"/>
  <c r="N126" i="10" a="1"/>
  <c r="N126" i="10" s="1"/>
  <c r="N127" i="10" a="1"/>
  <c r="N127" i="10" s="1"/>
  <c r="N128" i="10" a="1"/>
  <c r="N128" i="10" s="1"/>
  <c r="N129" i="10" a="1"/>
  <c r="N129" i="10" s="1"/>
  <c r="N130" i="10" a="1"/>
  <c r="N130" i="10" s="1"/>
  <c r="N131" i="10" a="1"/>
  <c r="N131" i="10" s="1"/>
  <c r="N132" i="10" a="1"/>
  <c r="N132" i="10" s="1"/>
  <c r="N133" i="10" a="1"/>
  <c r="N133" i="10" s="1"/>
  <c r="N134" i="10" a="1"/>
  <c r="N134" i="10" s="1"/>
  <c r="N135" i="10" a="1"/>
  <c r="N135" i="10" s="1"/>
  <c r="N136" i="10" a="1"/>
  <c r="N136" i="10"/>
  <c r="N137" i="10" a="1"/>
  <c r="N137" i="10" s="1"/>
  <c r="N138" i="10" a="1"/>
  <c r="N138" i="10" s="1"/>
  <c r="N139" i="10" a="1"/>
  <c r="N139" i="10" s="1"/>
  <c r="N140" i="10" a="1"/>
  <c r="N140" i="10" s="1"/>
  <c r="N141" i="10" a="1"/>
  <c r="N141" i="10" s="1"/>
  <c r="N142" i="10" a="1"/>
  <c r="N142" i="10" s="1"/>
  <c r="N143" i="10" a="1"/>
  <c r="N143" i="10" s="1"/>
  <c r="N144" i="10" a="1"/>
  <c r="N144" i="10" s="1"/>
  <c r="N145" i="10" a="1"/>
  <c r="N145" i="10" s="1"/>
  <c r="N146" i="10" a="1"/>
  <c r="N146" i="10" s="1"/>
  <c r="N147" i="10" a="1"/>
  <c r="N147" i="10" s="1"/>
  <c r="N148" i="10" a="1"/>
  <c r="N148" i="10" s="1"/>
  <c r="N149" i="10" a="1"/>
  <c r="N149" i="10" s="1"/>
  <c r="N150" i="10" a="1"/>
  <c r="N150" i="10" s="1"/>
  <c r="N151" i="10" a="1"/>
  <c r="N151" i="10" s="1"/>
  <c r="N152" i="10" a="1"/>
  <c r="N152" i="10" s="1"/>
  <c r="N153" i="10" a="1"/>
  <c r="N153" i="10" s="1"/>
  <c r="C4" i="10" a="1"/>
  <c r="C4" i="10" s="1"/>
  <c r="C5" i="10" a="1"/>
  <c r="C5" i="10" s="1"/>
  <c r="C6" i="10" a="1"/>
  <c r="C6" i="10" s="1"/>
  <c r="C7" i="10" a="1"/>
  <c r="C7" i="10" s="1"/>
  <c r="C8" i="10" a="1"/>
  <c r="C8" i="10" s="1"/>
  <c r="C9" i="10" a="1"/>
  <c r="C9" i="10" s="1"/>
  <c r="C10" i="10" a="1"/>
  <c r="C10" i="10" s="1"/>
  <c r="C11" i="10" a="1"/>
  <c r="C11" i="10" s="1"/>
  <c r="C12" i="10" a="1"/>
  <c r="C12" i="10" s="1"/>
  <c r="C13" i="10" a="1"/>
  <c r="C13" i="10" s="1"/>
  <c r="C14" i="10" a="1"/>
  <c r="C14" i="10" s="1"/>
  <c r="C15" i="10" a="1"/>
  <c r="C15" i="10" s="1"/>
  <c r="C16" i="10" a="1"/>
  <c r="C16" i="10" s="1"/>
  <c r="C17" i="10" a="1"/>
  <c r="C17" i="10" s="1"/>
  <c r="C18" i="10" a="1"/>
  <c r="C18" i="10" s="1"/>
  <c r="C19" i="10" a="1"/>
  <c r="C19" i="10" s="1"/>
  <c r="C20" i="10" a="1"/>
  <c r="C20" i="10" s="1"/>
  <c r="C21" i="10" a="1"/>
  <c r="C21" i="10" s="1"/>
  <c r="C22" i="10" a="1"/>
  <c r="C22" i="10" s="1"/>
  <c r="C23" i="10" a="1"/>
  <c r="C23" i="10" s="1"/>
  <c r="C24" i="10" a="1"/>
  <c r="C24" i="10" s="1"/>
  <c r="C25" i="10" a="1"/>
  <c r="C25" i="10" s="1"/>
  <c r="C26" i="10" a="1"/>
  <c r="C26" i="10" s="1"/>
  <c r="C27" i="10" a="1"/>
  <c r="C27" i="10" s="1"/>
  <c r="C28" i="10" a="1"/>
  <c r="C28" i="10" s="1"/>
  <c r="C29" i="10" a="1"/>
  <c r="C29" i="10" s="1"/>
  <c r="C30" i="10" a="1"/>
  <c r="C30" i="10" s="1"/>
  <c r="C31" i="10" a="1"/>
  <c r="C31" i="10" s="1"/>
  <c r="C32" i="10" a="1"/>
  <c r="C32" i="10" s="1"/>
  <c r="C33" i="10" a="1"/>
  <c r="C33" i="10" s="1"/>
  <c r="C34" i="10" a="1"/>
  <c r="C34" i="10" s="1"/>
  <c r="C35" i="10" a="1"/>
  <c r="C35" i="10" s="1"/>
  <c r="C36" i="10" a="1"/>
  <c r="C36" i="10" s="1"/>
  <c r="C37" i="10" a="1"/>
  <c r="C37" i="10" s="1"/>
  <c r="C38" i="10" a="1"/>
  <c r="C38" i="10" s="1"/>
  <c r="C39" i="10" a="1"/>
  <c r="C39" i="10" s="1"/>
  <c r="C40" i="10" a="1"/>
  <c r="C40" i="10" s="1"/>
  <c r="C41" i="10" a="1"/>
  <c r="C41" i="10" s="1"/>
  <c r="C42" i="10" a="1"/>
  <c r="C42" i="10" s="1"/>
  <c r="C43" i="10" a="1"/>
  <c r="C43" i="10" s="1"/>
  <c r="C44" i="10" a="1"/>
  <c r="C44" i="10" s="1"/>
  <c r="C45" i="10" a="1"/>
  <c r="C45" i="10" s="1"/>
  <c r="C46" i="10" a="1"/>
  <c r="C46" i="10" s="1"/>
  <c r="C47" i="10" a="1"/>
  <c r="C47" i="10" s="1"/>
  <c r="C48" i="10" a="1"/>
  <c r="C48" i="10" s="1"/>
  <c r="C49" i="10" a="1"/>
  <c r="C49" i="10" s="1"/>
  <c r="C50" i="10" a="1"/>
  <c r="C50" i="10" s="1"/>
  <c r="C51" i="10" a="1"/>
  <c r="C51" i="10" s="1"/>
  <c r="C52" i="10" a="1"/>
  <c r="C52" i="10" s="1"/>
  <c r="C53" i="10" a="1"/>
  <c r="C53" i="10" s="1"/>
  <c r="C54" i="10" a="1"/>
  <c r="C54" i="10" s="1"/>
  <c r="C55" i="10" a="1"/>
  <c r="C55" i="10" s="1"/>
  <c r="C56" i="10" a="1"/>
  <c r="C56" i="10" s="1"/>
  <c r="C57" i="10" a="1"/>
  <c r="C57" i="10" s="1"/>
  <c r="C58" i="10" a="1"/>
  <c r="C58" i="10" s="1"/>
  <c r="C59" i="10" a="1"/>
  <c r="C59" i="10" s="1"/>
  <c r="C60" i="10" a="1"/>
  <c r="C60" i="10" s="1"/>
  <c r="C61" i="10" a="1"/>
  <c r="C61" i="10" s="1"/>
  <c r="C62" i="10" a="1"/>
  <c r="C62" i="10" s="1"/>
  <c r="C63" i="10" a="1"/>
  <c r="C63" i="10" s="1"/>
  <c r="C64" i="10" a="1"/>
  <c r="C64" i="10" s="1"/>
  <c r="C65" i="10" a="1"/>
  <c r="C65" i="10" s="1"/>
  <c r="C66" i="10" a="1"/>
  <c r="C66" i="10" s="1"/>
  <c r="C67" i="10" a="1"/>
  <c r="C67" i="10" s="1"/>
  <c r="C68" i="10" a="1"/>
  <c r="C68" i="10" s="1"/>
  <c r="C69" i="10" a="1"/>
  <c r="C69" i="10" s="1"/>
  <c r="C70" i="10" a="1"/>
  <c r="C70" i="10" s="1"/>
  <c r="C71" i="10" a="1"/>
  <c r="C71" i="10" s="1"/>
  <c r="C72" i="10" a="1"/>
  <c r="C72" i="10" s="1"/>
  <c r="C73" i="10" a="1"/>
  <c r="C73" i="10" s="1"/>
  <c r="C74" i="10" a="1"/>
  <c r="C74" i="10" s="1"/>
  <c r="C75" i="10" a="1"/>
  <c r="C75" i="10" s="1"/>
  <c r="C76" i="10" a="1"/>
  <c r="C76" i="10" s="1"/>
  <c r="C77" i="10" a="1"/>
  <c r="C77" i="10" s="1"/>
  <c r="C78" i="10" a="1"/>
  <c r="C78" i="10" s="1"/>
  <c r="K78" i="10" a="1"/>
  <c r="K78" i="10" s="1"/>
  <c r="K77" i="10" a="1"/>
  <c r="K77" i="10" s="1"/>
  <c r="K76" i="10" a="1"/>
  <c r="K76" i="10" s="1"/>
  <c r="K75" i="10" a="1"/>
  <c r="K75" i="10" s="1"/>
  <c r="K74" i="10" a="1"/>
  <c r="K74" i="10" s="1"/>
  <c r="K73" i="10" a="1"/>
  <c r="K73" i="10" s="1"/>
  <c r="K72" i="10" a="1"/>
  <c r="K72" i="10" s="1"/>
  <c r="K71" i="10" a="1"/>
  <c r="K71" i="10" s="1"/>
  <c r="K70" i="10" a="1"/>
  <c r="K70" i="10" s="1"/>
  <c r="K69" i="10" a="1"/>
  <c r="K69" i="10" s="1"/>
  <c r="K68" i="10" a="1"/>
  <c r="K68" i="10" s="1"/>
  <c r="K67" i="10" a="1"/>
  <c r="K67" i="10" s="1"/>
  <c r="K66" i="10" a="1"/>
  <c r="K66" i="10" s="1"/>
  <c r="K65" i="10" a="1"/>
  <c r="K65" i="10" s="1"/>
  <c r="K64" i="10" a="1"/>
  <c r="K64" i="10" s="1"/>
  <c r="K63" i="10" a="1"/>
  <c r="K63" i="10" s="1"/>
  <c r="K62" i="10" a="1"/>
  <c r="K62" i="10" s="1"/>
  <c r="K61" i="10" a="1"/>
  <c r="K61" i="10" s="1"/>
  <c r="K60" i="10" a="1"/>
  <c r="K60" i="10" s="1"/>
  <c r="K59" i="10" a="1"/>
  <c r="K59" i="10" s="1"/>
  <c r="K58" i="10" a="1"/>
  <c r="K58" i="10" s="1"/>
  <c r="K57" i="10" a="1"/>
  <c r="K57" i="10" s="1"/>
  <c r="K56" i="10" a="1"/>
  <c r="K56" i="10" s="1"/>
  <c r="K55" i="10" a="1"/>
  <c r="K55" i="10" s="1"/>
  <c r="K54" i="10" a="1"/>
  <c r="K54" i="10" s="1"/>
  <c r="K53" i="10" a="1"/>
  <c r="K53" i="10" s="1"/>
  <c r="K52" i="10" a="1"/>
  <c r="K52" i="10" s="1"/>
  <c r="K51" i="10" a="1"/>
  <c r="K51" i="10" s="1"/>
  <c r="K50" i="10" a="1"/>
  <c r="K50" i="10" s="1"/>
  <c r="K49" i="10" a="1"/>
  <c r="K49" i="10" s="1"/>
  <c r="K48" i="10" a="1"/>
  <c r="K48" i="10" s="1"/>
  <c r="K47" i="10" a="1"/>
  <c r="K47" i="10" s="1"/>
  <c r="K46" i="10" a="1"/>
  <c r="K46" i="10" s="1"/>
  <c r="K45" i="10" a="1"/>
  <c r="K45" i="10" s="1"/>
  <c r="K44" i="10" a="1"/>
  <c r="K44" i="10" s="1"/>
  <c r="K43" i="10" a="1"/>
  <c r="K43" i="10" s="1"/>
  <c r="K42" i="10" a="1"/>
  <c r="K42" i="10" s="1"/>
  <c r="K41" i="10" a="1"/>
  <c r="K41" i="10" s="1"/>
  <c r="K40" i="10" a="1"/>
  <c r="K40" i="10" s="1"/>
  <c r="K39" i="10" a="1"/>
  <c r="K39" i="10" s="1"/>
  <c r="K38" i="10" a="1"/>
  <c r="K38" i="10" s="1"/>
  <c r="K37" i="10" a="1"/>
  <c r="K37" i="10" s="1"/>
  <c r="K36" i="10" a="1"/>
  <c r="K36" i="10" s="1"/>
  <c r="K35" i="10" a="1"/>
  <c r="K35" i="10" s="1"/>
  <c r="K34" i="10" a="1"/>
  <c r="K34" i="10" s="1"/>
  <c r="K33" i="10" a="1"/>
  <c r="K33" i="10" s="1"/>
  <c r="K32" i="10" a="1"/>
  <c r="K32" i="10" s="1"/>
  <c r="K31" i="10" a="1"/>
  <c r="K31" i="10" s="1"/>
  <c r="K30" i="10" a="1"/>
  <c r="K30" i="10" s="1"/>
  <c r="K29" i="10" a="1"/>
  <c r="K29" i="10" s="1"/>
  <c r="K28" i="10" a="1"/>
  <c r="K28" i="10" s="1"/>
  <c r="K27" i="10" a="1"/>
  <c r="K27" i="10" s="1"/>
  <c r="K26" i="10" a="1"/>
  <c r="K26" i="10" s="1"/>
  <c r="K25" i="10" a="1"/>
  <c r="K25" i="10" s="1"/>
  <c r="K24" i="10" a="1"/>
  <c r="K24" i="10" s="1"/>
  <c r="K23" i="10" a="1"/>
  <c r="K23" i="10" s="1"/>
  <c r="K22" i="10" a="1"/>
  <c r="K22" i="10" s="1"/>
  <c r="K21" i="10" a="1"/>
  <c r="K21" i="10" s="1"/>
  <c r="K20" i="10" a="1"/>
  <c r="K20" i="10" s="1"/>
  <c r="K19" i="10" a="1"/>
  <c r="K19" i="10" s="1"/>
  <c r="K18" i="10" a="1"/>
  <c r="K18" i="10" s="1"/>
  <c r="K17" i="10" a="1"/>
  <c r="K17" i="10" s="1"/>
  <c r="K16" i="10" a="1"/>
  <c r="K16" i="10" s="1"/>
  <c r="K15" i="10" a="1"/>
  <c r="K15" i="10" s="1"/>
  <c r="K14" i="10" a="1"/>
  <c r="K14" i="10" s="1"/>
  <c r="K13" i="10" a="1"/>
  <c r="K13" i="10" s="1"/>
  <c r="K12" i="10" a="1"/>
  <c r="K12" i="10" s="1"/>
  <c r="K11" i="10" a="1"/>
  <c r="K11" i="10" s="1"/>
  <c r="K10" i="10" a="1"/>
  <c r="K10" i="10" s="1"/>
  <c r="K9" i="10" a="1"/>
  <c r="K9" i="10" s="1"/>
  <c r="K8" i="10" a="1"/>
  <c r="K8" i="10" s="1"/>
  <c r="K7" i="10" a="1"/>
  <c r="K7" i="10" s="1"/>
  <c r="K6" i="10" a="1"/>
  <c r="K6" i="10" s="1"/>
  <c r="K5" i="10" a="1"/>
  <c r="K5" i="10" s="1"/>
  <c r="K4" i="10" a="1"/>
  <c r="K4" i="10" s="1"/>
  <c r="J4" i="10" a="1"/>
  <c r="J4" i="10" s="1"/>
  <c r="J5" i="10" a="1"/>
  <c r="J5" i="10" s="1"/>
  <c r="J6" i="10" a="1"/>
  <c r="J6" i="10" s="1"/>
  <c r="J7" i="10" a="1"/>
  <c r="J7" i="10" s="1"/>
  <c r="J8" i="10" a="1"/>
  <c r="J8" i="10" s="1"/>
  <c r="J9" i="10" a="1"/>
  <c r="J9" i="10" s="1"/>
  <c r="J10" i="10" a="1"/>
  <c r="J10" i="10" s="1"/>
  <c r="J11" i="10" a="1"/>
  <c r="J11" i="10" s="1"/>
  <c r="J12" i="10" a="1"/>
  <c r="J12" i="10" s="1"/>
  <c r="J13" i="10" a="1"/>
  <c r="J13" i="10" s="1"/>
  <c r="J14" i="10" a="1"/>
  <c r="J14" i="10" s="1"/>
  <c r="J15" i="10" a="1"/>
  <c r="J15" i="10" s="1"/>
  <c r="J16" i="10" a="1"/>
  <c r="J16" i="10" s="1"/>
  <c r="J17" i="10" a="1"/>
  <c r="J17" i="10" s="1"/>
  <c r="J18" i="10" a="1"/>
  <c r="J18" i="10" s="1"/>
  <c r="J19" i="10" a="1"/>
  <c r="J19" i="10" s="1"/>
  <c r="J20" i="10" a="1"/>
  <c r="J20" i="10" s="1"/>
  <c r="J21" i="10" a="1"/>
  <c r="J21" i="10" s="1"/>
  <c r="J22" i="10" a="1"/>
  <c r="J22" i="10" s="1"/>
  <c r="J23" i="10" a="1"/>
  <c r="J23" i="10" s="1"/>
  <c r="J24" i="10" a="1"/>
  <c r="J24" i="10" s="1"/>
  <c r="J25" i="10" a="1"/>
  <c r="J25" i="10" s="1"/>
  <c r="J26" i="10" a="1"/>
  <c r="J26" i="10" s="1"/>
  <c r="J27" i="10" a="1"/>
  <c r="J27" i="10" s="1"/>
  <c r="J28" i="10" a="1"/>
  <c r="J28" i="10" s="1"/>
  <c r="J29" i="10" a="1"/>
  <c r="J29" i="10" s="1"/>
  <c r="J30" i="10" a="1"/>
  <c r="J30" i="10" s="1"/>
  <c r="J31" i="10" a="1"/>
  <c r="J31" i="10" s="1"/>
  <c r="J32" i="10" a="1"/>
  <c r="J32" i="10" s="1"/>
  <c r="J33" i="10" a="1"/>
  <c r="J33" i="10" s="1"/>
  <c r="J34" i="10" a="1"/>
  <c r="J34" i="10" s="1"/>
  <c r="J35" i="10" a="1"/>
  <c r="J35" i="10" s="1"/>
  <c r="J36" i="10" a="1"/>
  <c r="J36" i="10" s="1"/>
  <c r="J37" i="10" a="1"/>
  <c r="J37" i="10" s="1"/>
  <c r="J38" i="10" a="1"/>
  <c r="J38" i="10" s="1"/>
  <c r="J39" i="10" a="1"/>
  <c r="J39" i="10" s="1"/>
  <c r="J40" i="10" a="1"/>
  <c r="J40" i="10" s="1"/>
  <c r="J41" i="10" a="1"/>
  <c r="J41" i="10" s="1"/>
  <c r="J42" i="10" a="1"/>
  <c r="J42" i="10" s="1"/>
  <c r="J43" i="10" a="1"/>
  <c r="J43" i="10" s="1"/>
  <c r="J44" i="10" a="1"/>
  <c r="J44" i="10" s="1"/>
  <c r="J45" i="10" a="1"/>
  <c r="J45" i="10" s="1"/>
  <c r="J46" i="10" a="1"/>
  <c r="J46" i="10" s="1"/>
  <c r="J47" i="10" a="1"/>
  <c r="J47" i="10" s="1"/>
  <c r="J48" i="10" a="1"/>
  <c r="J48" i="10" s="1"/>
  <c r="J49" i="10" a="1"/>
  <c r="J49" i="10" s="1"/>
  <c r="J50" i="10" a="1"/>
  <c r="J50" i="10" s="1"/>
  <c r="J51" i="10" a="1"/>
  <c r="J51" i="10" s="1"/>
  <c r="J52" i="10" a="1"/>
  <c r="J52" i="10" s="1"/>
  <c r="J53" i="10" a="1"/>
  <c r="J53" i="10" s="1"/>
  <c r="J54" i="10" a="1"/>
  <c r="J54" i="10" s="1"/>
  <c r="J55" i="10" a="1"/>
  <c r="J55" i="10" s="1"/>
  <c r="J56" i="10" a="1"/>
  <c r="J56" i="10" s="1"/>
  <c r="J57" i="10" a="1"/>
  <c r="J57" i="10" s="1"/>
  <c r="J58" i="10" a="1"/>
  <c r="J58" i="10" s="1"/>
  <c r="J59" i="10" a="1"/>
  <c r="J59" i="10" s="1"/>
  <c r="J60" i="10" a="1"/>
  <c r="J60" i="10" s="1"/>
  <c r="J61" i="10" a="1"/>
  <c r="J61" i="10" s="1"/>
  <c r="J62" i="10" a="1"/>
  <c r="J62" i="10" s="1"/>
  <c r="J63" i="10" a="1"/>
  <c r="J63" i="10" s="1"/>
  <c r="J64" i="10" a="1"/>
  <c r="J64" i="10" s="1"/>
  <c r="J65" i="10" a="1"/>
  <c r="J65" i="10" s="1"/>
  <c r="J66" i="10" a="1"/>
  <c r="J66" i="10" s="1"/>
  <c r="J67" i="10" a="1"/>
  <c r="J67" i="10" s="1"/>
  <c r="J68" i="10" a="1"/>
  <c r="J68" i="10" s="1"/>
  <c r="J69" i="10" a="1"/>
  <c r="J69" i="10" s="1"/>
  <c r="J70" i="10" a="1"/>
  <c r="J70" i="10" s="1"/>
  <c r="J71" i="10" a="1"/>
  <c r="J71" i="10" s="1"/>
  <c r="J72" i="10" a="1"/>
  <c r="J72" i="10" s="1"/>
  <c r="J73" i="10" a="1"/>
  <c r="J73" i="10" s="1"/>
  <c r="J74" i="10" a="1"/>
  <c r="J74" i="10" s="1"/>
  <c r="J75" i="10" a="1"/>
  <c r="J75" i="10" s="1"/>
  <c r="J76" i="10" a="1"/>
  <c r="J76" i="10" s="1"/>
  <c r="J77" i="10" a="1"/>
  <c r="J77" i="10" s="1"/>
  <c r="J78" i="10" a="1"/>
  <c r="J78" i="10" s="1"/>
  <c r="I4" i="10" a="1"/>
  <c r="I4" i="10" s="1"/>
  <c r="I5" i="10" a="1"/>
  <c r="I5" i="10" s="1"/>
  <c r="I6" i="10" a="1"/>
  <c r="I6" i="10" s="1"/>
  <c r="I7" i="10" a="1"/>
  <c r="I7" i="10" s="1"/>
  <c r="I8" i="10" a="1"/>
  <c r="I8" i="10" s="1"/>
  <c r="I9" i="10" a="1"/>
  <c r="I9" i="10" s="1"/>
  <c r="I10" i="10" a="1"/>
  <c r="I10" i="10" s="1"/>
  <c r="I11" i="10" a="1"/>
  <c r="I11" i="10" s="1"/>
  <c r="I12" i="10" a="1"/>
  <c r="I12" i="10" s="1"/>
  <c r="I13" i="10" a="1"/>
  <c r="I13" i="10" s="1"/>
  <c r="I14" i="10" a="1"/>
  <c r="I14" i="10" s="1"/>
  <c r="I15" i="10" a="1"/>
  <c r="I15" i="10" s="1"/>
  <c r="I16" i="10" a="1"/>
  <c r="I16" i="10" s="1"/>
  <c r="I17" i="10" a="1"/>
  <c r="I17" i="10" s="1"/>
  <c r="I18" i="10" a="1"/>
  <c r="I18" i="10" s="1"/>
  <c r="I19" i="10" a="1"/>
  <c r="I19" i="10" s="1"/>
  <c r="I20" i="10" a="1"/>
  <c r="I20" i="10" s="1"/>
  <c r="I21" i="10" a="1"/>
  <c r="I21" i="10" s="1"/>
  <c r="I22" i="10" a="1"/>
  <c r="I22" i="10" s="1"/>
  <c r="I23" i="10" a="1"/>
  <c r="I23" i="10" s="1"/>
  <c r="I24" i="10" a="1"/>
  <c r="I24" i="10" s="1"/>
  <c r="I25" i="10" a="1"/>
  <c r="I25" i="10" s="1"/>
  <c r="I26" i="10" a="1"/>
  <c r="I26" i="10" s="1"/>
  <c r="I27" i="10" a="1"/>
  <c r="I27" i="10" s="1"/>
  <c r="I28" i="10" a="1"/>
  <c r="I28" i="10" s="1"/>
  <c r="I29" i="10" a="1"/>
  <c r="I29" i="10" s="1"/>
  <c r="I30" i="10" a="1"/>
  <c r="I30" i="10" s="1"/>
  <c r="I31" i="10" a="1"/>
  <c r="I31" i="10" s="1"/>
  <c r="I32" i="10" a="1"/>
  <c r="I32" i="10" s="1"/>
  <c r="I33" i="10" a="1"/>
  <c r="I33" i="10" s="1"/>
  <c r="I34" i="10" a="1"/>
  <c r="I34" i="10" s="1"/>
  <c r="I35" i="10" a="1"/>
  <c r="I35" i="10" s="1"/>
  <c r="I36" i="10" a="1"/>
  <c r="I36" i="10" s="1"/>
  <c r="I37" i="10" a="1"/>
  <c r="I37" i="10" s="1"/>
  <c r="I38" i="10" a="1"/>
  <c r="I38" i="10" s="1"/>
  <c r="I39" i="10" a="1"/>
  <c r="I39" i="10" s="1"/>
  <c r="I40" i="10" a="1"/>
  <c r="I40" i="10" s="1"/>
  <c r="I41" i="10" a="1"/>
  <c r="I41" i="10" s="1"/>
  <c r="I42" i="10" a="1"/>
  <c r="I42" i="10" s="1"/>
  <c r="I43" i="10" a="1"/>
  <c r="I43" i="10" s="1"/>
  <c r="I44" i="10" a="1"/>
  <c r="I44" i="10" s="1"/>
  <c r="I45" i="10" a="1"/>
  <c r="I45" i="10" s="1"/>
  <c r="I46" i="10" a="1"/>
  <c r="I46" i="10" s="1"/>
  <c r="I47" i="10" a="1"/>
  <c r="I47" i="10" s="1"/>
  <c r="I48" i="10" a="1"/>
  <c r="I48" i="10" s="1"/>
  <c r="I49" i="10" a="1"/>
  <c r="I49" i="10" s="1"/>
  <c r="I50" i="10" a="1"/>
  <c r="I50" i="10" s="1"/>
  <c r="I51" i="10" a="1"/>
  <c r="I51" i="10" s="1"/>
  <c r="I52" i="10" a="1"/>
  <c r="I52" i="10" s="1"/>
  <c r="I53" i="10" a="1"/>
  <c r="I53" i="10" s="1"/>
  <c r="I54" i="10" a="1"/>
  <c r="I54" i="10" s="1"/>
  <c r="I55" i="10" a="1"/>
  <c r="I55" i="10" s="1"/>
  <c r="I56" i="10" a="1"/>
  <c r="I56" i="10" s="1"/>
  <c r="I57" i="10" a="1"/>
  <c r="I57" i="10" s="1"/>
  <c r="I58" i="10" a="1"/>
  <c r="I58" i="10" s="1"/>
  <c r="I59" i="10" a="1"/>
  <c r="I59" i="10" s="1"/>
  <c r="I60" i="10" a="1"/>
  <c r="I60" i="10" s="1"/>
  <c r="I61" i="10" a="1"/>
  <c r="I61" i="10" s="1"/>
  <c r="I62" i="10" a="1"/>
  <c r="I62" i="10" s="1"/>
  <c r="I63" i="10" a="1"/>
  <c r="I63" i="10" s="1"/>
  <c r="I64" i="10" a="1"/>
  <c r="I64" i="10" s="1"/>
  <c r="I65" i="10" a="1"/>
  <c r="I65" i="10" s="1"/>
  <c r="I66" i="10" a="1"/>
  <c r="I66" i="10" s="1"/>
  <c r="I67" i="10" a="1"/>
  <c r="I67" i="10" s="1"/>
  <c r="I68" i="10" a="1"/>
  <c r="I68" i="10" s="1"/>
  <c r="I69" i="10" a="1"/>
  <c r="I69" i="10" s="1"/>
  <c r="I70" i="10" a="1"/>
  <c r="I70" i="10" s="1"/>
  <c r="I71" i="10" a="1"/>
  <c r="I71" i="10" s="1"/>
  <c r="I72" i="10" a="1"/>
  <c r="I72" i="10" s="1"/>
  <c r="I73" i="10" a="1"/>
  <c r="I73" i="10" s="1"/>
  <c r="I74" i="10" a="1"/>
  <c r="I74" i="10" s="1"/>
  <c r="I75" i="10" a="1"/>
  <c r="I75" i="10" s="1"/>
  <c r="I76" i="10" a="1"/>
  <c r="I76" i="10" s="1"/>
  <c r="I77" i="10" a="1"/>
  <c r="I77" i="10" s="1"/>
  <c r="I78" i="10" a="1"/>
  <c r="I78" i="10" s="1"/>
  <c r="H4" i="10" a="1"/>
  <c r="H4" i="10" s="1"/>
  <c r="H5" i="10" a="1"/>
  <c r="H5" i="10" s="1"/>
  <c r="H6" i="10" a="1"/>
  <c r="H6" i="10" s="1"/>
  <c r="H7" i="10" a="1"/>
  <c r="H7" i="10" s="1"/>
  <c r="H8" i="10" a="1"/>
  <c r="H8" i="10" s="1"/>
  <c r="H9" i="10" a="1"/>
  <c r="H9" i="10" s="1"/>
  <c r="H10" i="10" a="1"/>
  <c r="H10" i="10" s="1"/>
  <c r="H11" i="10" a="1"/>
  <c r="H11" i="10" s="1"/>
  <c r="H12" i="10" a="1"/>
  <c r="H12" i="10" s="1"/>
  <c r="H13" i="10" a="1"/>
  <c r="H13" i="10" s="1"/>
  <c r="H14" i="10" a="1"/>
  <c r="H14" i="10" s="1"/>
  <c r="H15" i="10" a="1"/>
  <c r="H15" i="10" s="1"/>
  <c r="H16" i="10" a="1"/>
  <c r="H16" i="10" s="1"/>
  <c r="H17" i="10" a="1"/>
  <c r="H17" i="10" s="1"/>
  <c r="H18" i="10" a="1"/>
  <c r="H18" i="10" s="1"/>
  <c r="H19" i="10" a="1"/>
  <c r="H19" i="10" s="1"/>
  <c r="H20" i="10" a="1"/>
  <c r="H20" i="10" s="1"/>
  <c r="H21" i="10" a="1"/>
  <c r="H21" i="10" s="1"/>
  <c r="H22" i="10" a="1"/>
  <c r="H22" i="10" s="1"/>
  <c r="H23" i="10" a="1"/>
  <c r="H23" i="10" s="1"/>
  <c r="H24" i="10" a="1"/>
  <c r="H24" i="10" s="1"/>
  <c r="H25" i="10" a="1"/>
  <c r="H25" i="10" s="1"/>
  <c r="H26" i="10" a="1"/>
  <c r="H26" i="10" s="1"/>
  <c r="H27" i="10" a="1"/>
  <c r="H27" i="10" s="1"/>
  <c r="H28" i="10" a="1"/>
  <c r="H28" i="10" s="1"/>
  <c r="H29" i="10" a="1"/>
  <c r="H29" i="10" s="1"/>
  <c r="H30" i="10" a="1"/>
  <c r="H30" i="10" s="1"/>
  <c r="H31" i="10" a="1"/>
  <c r="H31" i="10" s="1"/>
  <c r="H32" i="10" a="1"/>
  <c r="H32" i="10" s="1"/>
  <c r="H33" i="10" a="1"/>
  <c r="H33" i="10" s="1"/>
  <c r="H34" i="10" a="1"/>
  <c r="H34" i="10" s="1"/>
  <c r="H35" i="10" a="1"/>
  <c r="H35" i="10" s="1"/>
  <c r="H36" i="10" a="1"/>
  <c r="H36" i="10" s="1"/>
  <c r="H37" i="10" a="1"/>
  <c r="H37" i="10" s="1"/>
  <c r="H38" i="10" a="1"/>
  <c r="H38" i="10" s="1"/>
  <c r="H39" i="10" a="1"/>
  <c r="H39" i="10" s="1"/>
  <c r="H40" i="10" a="1"/>
  <c r="H40" i="10" s="1"/>
  <c r="H41" i="10" a="1"/>
  <c r="H41" i="10" s="1"/>
  <c r="H42" i="10" a="1"/>
  <c r="H42" i="10" s="1"/>
  <c r="H43" i="10" a="1"/>
  <c r="H43" i="10" s="1"/>
  <c r="H44" i="10" a="1"/>
  <c r="H44" i="10" s="1"/>
  <c r="H45" i="10" a="1"/>
  <c r="H45" i="10" s="1"/>
  <c r="H46" i="10" a="1"/>
  <c r="H46" i="10" s="1"/>
  <c r="H47" i="10" a="1"/>
  <c r="H47" i="10" s="1"/>
  <c r="H48" i="10" a="1"/>
  <c r="H48" i="10" s="1"/>
  <c r="H49" i="10" a="1"/>
  <c r="H49" i="10" s="1"/>
  <c r="H50" i="10" a="1"/>
  <c r="H50" i="10" s="1"/>
  <c r="H51" i="10" a="1"/>
  <c r="H51" i="10" s="1"/>
  <c r="H52" i="10" a="1"/>
  <c r="H52" i="10" s="1"/>
  <c r="H53" i="10" a="1"/>
  <c r="H53" i="10" s="1"/>
  <c r="H54" i="10" a="1"/>
  <c r="H54" i="10" s="1"/>
  <c r="H55" i="10" a="1"/>
  <c r="H55" i="10" s="1"/>
  <c r="H56" i="10" a="1"/>
  <c r="H56" i="10" s="1"/>
  <c r="H57" i="10" a="1"/>
  <c r="H57" i="10" s="1"/>
  <c r="H58" i="10" a="1"/>
  <c r="H58" i="10" s="1"/>
  <c r="H59" i="10" a="1"/>
  <c r="H59" i="10" s="1"/>
  <c r="H60" i="10" a="1"/>
  <c r="H60" i="10" s="1"/>
  <c r="H61" i="10" a="1"/>
  <c r="H61" i="10" s="1"/>
  <c r="H62" i="10" a="1"/>
  <c r="H62" i="10" s="1"/>
  <c r="H63" i="10" a="1"/>
  <c r="H63" i="10" s="1"/>
  <c r="H64" i="10" a="1"/>
  <c r="H64" i="10" s="1"/>
  <c r="H65" i="10" a="1"/>
  <c r="H65" i="10" s="1"/>
  <c r="H66" i="10" a="1"/>
  <c r="H66" i="10" s="1"/>
  <c r="H67" i="10" a="1"/>
  <c r="H67" i="10" s="1"/>
  <c r="H68" i="10" a="1"/>
  <c r="H68" i="10" s="1"/>
  <c r="H69" i="10" a="1"/>
  <c r="H69" i="10" s="1"/>
  <c r="H70" i="10" a="1"/>
  <c r="H70" i="10" s="1"/>
  <c r="H71" i="10" a="1"/>
  <c r="H71" i="10" s="1"/>
  <c r="H72" i="10" a="1"/>
  <c r="H72" i="10" s="1"/>
  <c r="H73" i="10" a="1"/>
  <c r="H73" i="10" s="1"/>
  <c r="H74" i="10" a="1"/>
  <c r="H74" i="10" s="1"/>
  <c r="H75" i="10" a="1"/>
  <c r="H75" i="10" s="1"/>
  <c r="H76" i="10" a="1"/>
  <c r="H76" i="10" s="1"/>
  <c r="H77" i="10" a="1"/>
  <c r="H77" i="10" s="1"/>
  <c r="H78" i="10" a="1"/>
  <c r="H78" i="10" s="1"/>
  <c r="G4" i="10" a="1"/>
  <c r="G4" i="10" s="1"/>
  <c r="G5" i="10" a="1"/>
  <c r="G5" i="10" s="1"/>
  <c r="G6" i="10" a="1"/>
  <c r="G6" i="10" s="1"/>
  <c r="G7" i="10" a="1"/>
  <c r="G7" i="10" s="1"/>
  <c r="G8" i="10" a="1"/>
  <c r="G8" i="10" s="1"/>
  <c r="G9" i="10" a="1"/>
  <c r="G9" i="10" s="1"/>
  <c r="G10" i="10" a="1"/>
  <c r="G10" i="10" s="1"/>
  <c r="G11" i="10" a="1"/>
  <c r="G11" i="10" s="1"/>
  <c r="G12" i="10" a="1"/>
  <c r="G12" i="10" s="1"/>
  <c r="G13" i="10" a="1"/>
  <c r="G13" i="10" s="1"/>
  <c r="G14" i="10" a="1"/>
  <c r="G14" i="10" s="1"/>
  <c r="G15" i="10" a="1"/>
  <c r="G15" i="10" s="1"/>
  <c r="G16" i="10" a="1"/>
  <c r="G16" i="10" s="1"/>
  <c r="G17" i="10" a="1"/>
  <c r="G17" i="10" s="1"/>
  <c r="G18" i="10" a="1"/>
  <c r="G18" i="10" s="1"/>
  <c r="G19" i="10" a="1"/>
  <c r="G19" i="10" s="1"/>
  <c r="G20" i="10" a="1"/>
  <c r="G20" i="10" s="1"/>
  <c r="G21" i="10" a="1"/>
  <c r="G21" i="10" s="1"/>
  <c r="G22" i="10" a="1"/>
  <c r="G22" i="10" s="1"/>
  <c r="G23" i="10" a="1"/>
  <c r="G23" i="10" s="1"/>
  <c r="G24" i="10" a="1"/>
  <c r="G24" i="10" s="1"/>
  <c r="G25" i="10" a="1"/>
  <c r="G25" i="10" s="1"/>
  <c r="G26" i="10" a="1"/>
  <c r="G26" i="10" s="1"/>
  <c r="G27" i="10" a="1"/>
  <c r="G27" i="10" s="1"/>
  <c r="G28" i="10" a="1"/>
  <c r="G28" i="10" s="1"/>
  <c r="G29" i="10" a="1"/>
  <c r="G29" i="10" s="1"/>
  <c r="G30" i="10" a="1"/>
  <c r="G30" i="10" s="1"/>
  <c r="G31" i="10" a="1"/>
  <c r="G31" i="10" s="1"/>
  <c r="G32" i="10" a="1"/>
  <c r="G32" i="10" s="1"/>
  <c r="G33" i="10" a="1"/>
  <c r="G33" i="10" s="1"/>
  <c r="G34" i="10" a="1"/>
  <c r="G34" i="10" s="1"/>
  <c r="G35" i="10" a="1"/>
  <c r="G35" i="10" s="1"/>
  <c r="G36" i="10" a="1"/>
  <c r="G36" i="10" s="1"/>
  <c r="G37" i="10" a="1"/>
  <c r="G37" i="10" s="1"/>
  <c r="G38" i="10" a="1"/>
  <c r="G38" i="10" s="1"/>
  <c r="G39" i="10" a="1"/>
  <c r="G39" i="10" s="1"/>
  <c r="G40" i="10" a="1"/>
  <c r="G40" i="10" s="1"/>
  <c r="G41" i="10" a="1"/>
  <c r="G41" i="10" s="1"/>
  <c r="G42" i="10" a="1"/>
  <c r="G42" i="10" s="1"/>
  <c r="G43" i="10" a="1"/>
  <c r="G43" i="10" s="1"/>
  <c r="G44" i="10" a="1"/>
  <c r="G44" i="10" s="1"/>
  <c r="G45" i="10" a="1"/>
  <c r="G45" i="10" s="1"/>
  <c r="G46" i="10" a="1"/>
  <c r="G46" i="10" s="1"/>
  <c r="G47" i="10" a="1"/>
  <c r="G47" i="10" s="1"/>
  <c r="G48" i="10" a="1"/>
  <c r="G48" i="10" s="1"/>
  <c r="G49" i="10" a="1"/>
  <c r="G49" i="10" s="1"/>
  <c r="G50" i="10" a="1"/>
  <c r="G50" i="10" s="1"/>
  <c r="G51" i="10" a="1"/>
  <c r="G51" i="10" s="1"/>
  <c r="G52" i="10" a="1"/>
  <c r="G52" i="10" s="1"/>
  <c r="G53" i="10" a="1"/>
  <c r="G53" i="10" s="1"/>
  <c r="G54" i="10" a="1"/>
  <c r="G54" i="10" s="1"/>
  <c r="G55" i="10" a="1"/>
  <c r="G55" i="10" s="1"/>
  <c r="G56" i="10" a="1"/>
  <c r="G56" i="10" s="1"/>
  <c r="G57" i="10" a="1"/>
  <c r="G57" i="10" s="1"/>
  <c r="G58" i="10" a="1"/>
  <c r="G58" i="10" s="1"/>
  <c r="G59" i="10" a="1"/>
  <c r="G59" i="10" s="1"/>
  <c r="G60" i="10" a="1"/>
  <c r="G60" i="10" s="1"/>
  <c r="G61" i="10" a="1"/>
  <c r="G61" i="10" s="1"/>
  <c r="G62" i="10" a="1"/>
  <c r="G62" i="10" s="1"/>
  <c r="G63" i="10" a="1"/>
  <c r="G63" i="10" s="1"/>
  <c r="G64" i="10" a="1"/>
  <c r="G64" i="10" s="1"/>
  <c r="G65" i="10" a="1"/>
  <c r="G65" i="10" s="1"/>
  <c r="G66" i="10" a="1"/>
  <c r="G66" i="10" s="1"/>
  <c r="G67" i="10" a="1"/>
  <c r="G67" i="10" s="1"/>
  <c r="G68" i="10" a="1"/>
  <c r="G68" i="10" s="1"/>
  <c r="G69" i="10" a="1"/>
  <c r="G69" i="10" s="1"/>
  <c r="G70" i="10" a="1"/>
  <c r="G70" i="10" s="1"/>
  <c r="G71" i="10" a="1"/>
  <c r="G71" i="10" s="1"/>
  <c r="G72" i="10" a="1"/>
  <c r="G72" i="10" s="1"/>
  <c r="G73" i="10" a="1"/>
  <c r="G73" i="10" s="1"/>
  <c r="G74" i="10" a="1"/>
  <c r="G74" i="10" s="1"/>
  <c r="G75" i="10" a="1"/>
  <c r="G75" i="10" s="1"/>
  <c r="G76" i="10" a="1"/>
  <c r="G76" i="10" s="1"/>
  <c r="G77" i="10" a="1"/>
  <c r="G77" i="10" s="1"/>
  <c r="G78" i="10" a="1"/>
  <c r="G78" i="10" s="1"/>
  <c r="F4" i="10" a="1"/>
  <c r="F4" i="10" s="1"/>
  <c r="F5" i="10" a="1"/>
  <c r="F5" i="10" s="1"/>
  <c r="F6" i="10" a="1"/>
  <c r="F6" i="10" s="1"/>
  <c r="F7" i="10" a="1"/>
  <c r="F7" i="10" s="1"/>
  <c r="F8" i="10" a="1"/>
  <c r="F8" i="10" s="1"/>
  <c r="F9" i="10" a="1"/>
  <c r="F9" i="10" s="1"/>
  <c r="F10" i="10" a="1"/>
  <c r="F10" i="10" s="1"/>
  <c r="F11" i="10" a="1"/>
  <c r="F11" i="10" s="1"/>
  <c r="F12" i="10" a="1"/>
  <c r="F12" i="10" s="1"/>
  <c r="F13" i="10" a="1"/>
  <c r="F13" i="10" s="1"/>
  <c r="F14" i="10" a="1"/>
  <c r="F14" i="10" s="1"/>
  <c r="F15" i="10" a="1"/>
  <c r="F15" i="10" s="1"/>
  <c r="F16" i="10" a="1"/>
  <c r="F16" i="10" s="1"/>
  <c r="F17" i="10" a="1"/>
  <c r="F17" i="10" s="1"/>
  <c r="F18" i="10" a="1"/>
  <c r="F18" i="10" s="1"/>
  <c r="F19" i="10" a="1"/>
  <c r="F19" i="10" s="1"/>
  <c r="F20" i="10" a="1"/>
  <c r="F20" i="10" s="1"/>
  <c r="F21" i="10" a="1"/>
  <c r="F21" i="10" s="1"/>
  <c r="F22" i="10" a="1"/>
  <c r="F22" i="10" s="1"/>
  <c r="F23" i="10" a="1"/>
  <c r="F23" i="10" s="1"/>
  <c r="F24" i="10" a="1"/>
  <c r="F24" i="10" s="1"/>
  <c r="F25" i="10" a="1"/>
  <c r="F25" i="10" s="1"/>
  <c r="F26" i="10" a="1"/>
  <c r="F26" i="10" s="1"/>
  <c r="F27" i="10" a="1"/>
  <c r="F27" i="10" s="1"/>
  <c r="F28" i="10" a="1"/>
  <c r="F28" i="10" s="1"/>
  <c r="F29" i="10" a="1"/>
  <c r="F29" i="10" s="1"/>
  <c r="F30" i="10" a="1"/>
  <c r="F30" i="10" s="1"/>
  <c r="F31" i="10" a="1"/>
  <c r="F31" i="10" s="1"/>
  <c r="F32" i="10" a="1"/>
  <c r="F32" i="10" s="1"/>
  <c r="F33" i="10" a="1"/>
  <c r="F33" i="10" s="1"/>
  <c r="F34" i="10" a="1"/>
  <c r="F34" i="10" s="1"/>
  <c r="F35" i="10" a="1"/>
  <c r="F35" i="10" s="1"/>
  <c r="F36" i="10" a="1"/>
  <c r="F36" i="10" s="1"/>
  <c r="F37" i="10" a="1"/>
  <c r="F37" i="10" s="1"/>
  <c r="F38" i="10" a="1"/>
  <c r="F38" i="10" s="1"/>
  <c r="F39" i="10" a="1"/>
  <c r="F39" i="10" s="1"/>
  <c r="F40" i="10" a="1"/>
  <c r="F40" i="10" s="1"/>
  <c r="F41" i="10" a="1"/>
  <c r="F41" i="10" s="1"/>
  <c r="F42" i="10" a="1"/>
  <c r="F42" i="10" s="1"/>
  <c r="F43" i="10" a="1"/>
  <c r="F43" i="10" s="1"/>
  <c r="F44" i="10" a="1"/>
  <c r="F44" i="10" s="1"/>
  <c r="F45" i="10" a="1"/>
  <c r="F45" i="10" s="1"/>
  <c r="F46" i="10" a="1"/>
  <c r="F46" i="10" s="1"/>
  <c r="F47" i="10" a="1"/>
  <c r="F47" i="10" s="1"/>
  <c r="F48" i="10" a="1"/>
  <c r="F48" i="10" s="1"/>
  <c r="F49" i="10" a="1"/>
  <c r="F49" i="10" s="1"/>
  <c r="F50" i="10" a="1"/>
  <c r="F50" i="10" s="1"/>
  <c r="F51" i="10" a="1"/>
  <c r="F51" i="10" s="1"/>
  <c r="F52" i="10" a="1"/>
  <c r="F52" i="10" s="1"/>
  <c r="F53" i="10" a="1"/>
  <c r="F53" i="10" s="1"/>
  <c r="F54" i="10" a="1"/>
  <c r="F54" i="10" s="1"/>
  <c r="F55" i="10" a="1"/>
  <c r="F55" i="10" s="1"/>
  <c r="F56" i="10" a="1"/>
  <c r="F56" i="10" s="1"/>
  <c r="F57" i="10" a="1"/>
  <c r="F57" i="10" s="1"/>
  <c r="F58" i="10" a="1"/>
  <c r="F58" i="10" s="1"/>
  <c r="F59" i="10" a="1"/>
  <c r="F59" i="10" s="1"/>
  <c r="F60" i="10" a="1"/>
  <c r="F60" i="10" s="1"/>
  <c r="F61" i="10" a="1"/>
  <c r="F61" i="10" s="1"/>
  <c r="F62" i="10" a="1"/>
  <c r="F62" i="10" s="1"/>
  <c r="F63" i="10" a="1"/>
  <c r="F63" i="10" s="1"/>
  <c r="F64" i="10" a="1"/>
  <c r="F64" i="10" s="1"/>
  <c r="F65" i="10" a="1"/>
  <c r="F65" i="10" s="1"/>
  <c r="F66" i="10" a="1"/>
  <c r="F66" i="10" s="1"/>
  <c r="F67" i="10" a="1"/>
  <c r="F67" i="10" s="1"/>
  <c r="F68" i="10" a="1"/>
  <c r="F68" i="10" s="1"/>
  <c r="F69" i="10" a="1"/>
  <c r="F69" i="10" s="1"/>
  <c r="F70" i="10" a="1"/>
  <c r="F70" i="10" s="1"/>
  <c r="F71" i="10" a="1"/>
  <c r="F71" i="10" s="1"/>
  <c r="F72" i="10" a="1"/>
  <c r="F72" i="10" s="1"/>
  <c r="F73" i="10" a="1"/>
  <c r="F73" i="10" s="1"/>
  <c r="F74" i="10" a="1"/>
  <c r="F74" i="10" s="1"/>
  <c r="F75" i="10" a="1"/>
  <c r="F75" i="10" s="1"/>
  <c r="F76" i="10" a="1"/>
  <c r="F76" i="10" s="1"/>
  <c r="F77" i="10" a="1"/>
  <c r="F77" i="10" s="1"/>
  <c r="F78" i="10" a="1"/>
  <c r="F78" i="10" s="1"/>
  <c r="E4" i="10" a="1"/>
  <c r="E4" i="10" s="1"/>
  <c r="E5" i="10" a="1"/>
  <c r="E5" i="10" s="1"/>
  <c r="E6" i="10" a="1"/>
  <c r="E6" i="10" s="1"/>
  <c r="E7" i="10" a="1"/>
  <c r="E7" i="10" s="1"/>
  <c r="E8" i="10" a="1"/>
  <c r="E8" i="10" s="1"/>
  <c r="E9" i="10" a="1"/>
  <c r="E9" i="10" s="1"/>
  <c r="E10" i="10" a="1"/>
  <c r="E10" i="10" s="1"/>
  <c r="E11" i="10" a="1"/>
  <c r="E11" i="10" s="1"/>
  <c r="E12" i="10" a="1"/>
  <c r="E12" i="10" s="1"/>
  <c r="E13" i="10" a="1"/>
  <c r="E13" i="10" s="1"/>
  <c r="E14" i="10" a="1"/>
  <c r="E14" i="10" s="1"/>
  <c r="E15" i="10" a="1"/>
  <c r="E15" i="10" s="1"/>
  <c r="E16" i="10" a="1"/>
  <c r="E16" i="10" s="1"/>
  <c r="E17" i="10" a="1"/>
  <c r="E17" i="10" s="1"/>
  <c r="E18" i="10" a="1"/>
  <c r="E18" i="10" s="1"/>
  <c r="E19" i="10" a="1"/>
  <c r="E19" i="10" s="1"/>
  <c r="E20" i="10" a="1"/>
  <c r="E20" i="10" s="1"/>
  <c r="E21" i="10" a="1"/>
  <c r="E21" i="10" s="1"/>
  <c r="E22" i="10" a="1"/>
  <c r="E22" i="10" s="1"/>
  <c r="E23" i="10" a="1"/>
  <c r="E23" i="10" s="1"/>
  <c r="E24" i="10" a="1"/>
  <c r="E24" i="10" s="1"/>
  <c r="E25" i="10" a="1"/>
  <c r="E25" i="10" s="1"/>
  <c r="E26" i="10" a="1"/>
  <c r="E26" i="10" s="1"/>
  <c r="E27" i="10" a="1"/>
  <c r="E27" i="10" s="1"/>
  <c r="E28" i="10" a="1"/>
  <c r="E28" i="10" s="1"/>
  <c r="E29" i="10" a="1"/>
  <c r="E29" i="10" s="1"/>
  <c r="E30" i="10" a="1"/>
  <c r="E30" i="10" s="1"/>
  <c r="E31" i="10" a="1"/>
  <c r="E31" i="10" s="1"/>
  <c r="E32" i="10" a="1"/>
  <c r="E32" i="10" s="1"/>
  <c r="E33" i="10" a="1"/>
  <c r="E33" i="10" s="1"/>
  <c r="E34" i="10" a="1"/>
  <c r="E34" i="10" s="1"/>
  <c r="E35" i="10" a="1"/>
  <c r="E35" i="10" s="1"/>
  <c r="E36" i="10" a="1"/>
  <c r="E36" i="10" s="1"/>
  <c r="E37" i="10" a="1"/>
  <c r="E37" i="10" s="1"/>
  <c r="E38" i="10" a="1"/>
  <c r="E38" i="10" s="1"/>
  <c r="E39" i="10" a="1"/>
  <c r="E39" i="10" s="1"/>
  <c r="E40" i="10" a="1"/>
  <c r="E40" i="10" s="1"/>
  <c r="E41" i="10" a="1"/>
  <c r="E41" i="10" s="1"/>
  <c r="E42" i="10" a="1"/>
  <c r="E42" i="10" s="1"/>
  <c r="E43" i="10" a="1"/>
  <c r="E43" i="10" s="1"/>
  <c r="E44" i="10" a="1"/>
  <c r="E44" i="10" s="1"/>
  <c r="E45" i="10" a="1"/>
  <c r="E45" i="10" s="1"/>
  <c r="E46" i="10" a="1"/>
  <c r="E46" i="10" s="1"/>
  <c r="E47" i="10" a="1"/>
  <c r="E47" i="10" s="1"/>
  <c r="E48" i="10" a="1"/>
  <c r="E48" i="10" s="1"/>
  <c r="E49" i="10" a="1"/>
  <c r="E49" i="10" s="1"/>
  <c r="E50" i="10" a="1"/>
  <c r="E50" i="10" s="1"/>
  <c r="E51" i="10" a="1"/>
  <c r="E51" i="10" s="1"/>
  <c r="E52" i="10" a="1"/>
  <c r="E52" i="10" s="1"/>
  <c r="E53" i="10" a="1"/>
  <c r="E53" i="10" s="1"/>
  <c r="E54" i="10" a="1"/>
  <c r="E54" i="10" s="1"/>
  <c r="E55" i="10" a="1"/>
  <c r="E55" i="10" s="1"/>
  <c r="E56" i="10" a="1"/>
  <c r="E56" i="10" s="1"/>
  <c r="E57" i="10" a="1"/>
  <c r="E57" i="10" s="1"/>
  <c r="E58" i="10" a="1"/>
  <c r="E58" i="10" s="1"/>
  <c r="E59" i="10" a="1"/>
  <c r="E59" i="10" s="1"/>
  <c r="E60" i="10" a="1"/>
  <c r="E60" i="10" s="1"/>
  <c r="E61" i="10" a="1"/>
  <c r="E61" i="10" s="1"/>
  <c r="E62" i="10" a="1"/>
  <c r="E62" i="10" s="1"/>
  <c r="E63" i="10" a="1"/>
  <c r="E63" i="10" s="1"/>
  <c r="E64" i="10" a="1"/>
  <c r="E64" i="10" s="1"/>
  <c r="E65" i="10" a="1"/>
  <c r="E65" i="10" s="1"/>
  <c r="E66" i="10" a="1"/>
  <c r="E66" i="10" s="1"/>
  <c r="E67" i="10" a="1"/>
  <c r="E67" i="10" s="1"/>
  <c r="E68" i="10" a="1"/>
  <c r="E68" i="10" s="1"/>
  <c r="E69" i="10" a="1"/>
  <c r="E69" i="10" s="1"/>
  <c r="E70" i="10" a="1"/>
  <c r="E70" i="10" s="1"/>
  <c r="E71" i="10" a="1"/>
  <c r="E71" i="10" s="1"/>
  <c r="E72" i="10" a="1"/>
  <c r="E72" i="10" s="1"/>
  <c r="E73" i="10" a="1"/>
  <c r="E73" i="10" s="1"/>
  <c r="E74" i="10" a="1"/>
  <c r="E74" i="10" s="1"/>
  <c r="E75" i="10" a="1"/>
  <c r="E75" i="10" s="1"/>
  <c r="E76" i="10" a="1"/>
  <c r="E76" i="10" s="1"/>
  <c r="E77" i="10" a="1"/>
  <c r="E77" i="10" s="1"/>
  <c r="E78" i="10" a="1"/>
  <c r="E78" i="10" s="1"/>
  <c r="D4" i="10" a="1"/>
  <c r="D4" i="10" s="1"/>
  <c r="D6" i="10" a="1"/>
  <c r="D6" i="10" s="1"/>
  <c r="D7" i="10" a="1"/>
  <c r="D7" i="10" s="1"/>
  <c r="D8" i="10" a="1"/>
  <c r="D8" i="10" s="1"/>
  <c r="D9" i="10" a="1"/>
  <c r="D9" i="10" s="1"/>
  <c r="D10" i="10" a="1"/>
  <c r="D10" i="10" s="1"/>
  <c r="D11" i="10" a="1"/>
  <c r="D11" i="10" s="1"/>
  <c r="D12" i="10" a="1"/>
  <c r="D12" i="10" s="1"/>
  <c r="D13" i="10" a="1"/>
  <c r="D13" i="10" s="1"/>
  <c r="D14" i="10" a="1"/>
  <c r="D14" i="10" s="1"/>
  <c r="D15" i="10" a="1"/>
  <c r="D15" i="10" s="1"/>
  <c r="D16" i="10" a="1"/>
  <c r="D16" i="10" s="1"/>
  <c r="D17" i="10" a="1"/>
  <c r="D17" i="10" s="1"/>
  <c r="D18" i="10" a="1"/>
  <c r="D18" i="10" s="1"/>
  <c r="D19" i="10" a="1"/>
  <c r="D19" i="10" s="1"/>
  <c r="D20" i="10" a="1"/>
  <c r="D20" i="10" s="1"/>
  <c r="D21" i="10" a="1"/>
  <c r="D21" i="10" s="1"/>
  <c r="D22" i="10" a="1"/>
  <c r="D22" i="10" s="1"/>
  <c r="D23" i="10" a="1"/>
  <c r="D23" i="10" s="1"/>
  <c r="D24" i="10" a="1"/>
  <c r="D24" i="10" s="1"/>
  <c r="D25" i="10" a="1"/>
  <c r="D25" i="10" s="1"/>
  <c r="D26" i="10" a="1"/>
  <c r="D26" i="10" s="1"/>
  <c r="D27" i="10" a="1"/>
  <c r="D27" i="10" s="1"/>
  <c r="D28" i="10" a="1"/>
  <c r="D28" i="10" s="1"/>
  <c r="D29" i="10" a="1"/>
  <c r="D29" i="10" s="1"/>
  <c r="D30" i="10" a="1"/>
  <c r="D30" i="10" s="1"/>
  <c r="D31" i="10" a="1"/>
  <c r="D31" i="10" s="1"/>
  <c r="D32" i="10" a="1"/>
  <c r="D32" i="10" s="1"/>
  <c r="D33" i="10" a="1"/>
  <c r="D33" i="10" s="1"/>
  <c r="D34" i="10" a="1"/>
  <c r="D34" i="10" s="1"/>
  <c r="D35" i="10" a="1"/>
  <c r="D35" i="10" s="1"/>
  <c r="D36" i="10" a="1"/>
  <c r="D36" i="10" s="1"/>
  <c r="D37" i="10" a="1"/>
  <c r="D37" i="10" s="1"/>
  <c r="D38" i="10" a="1"/>
  <c r="D38" i="10" s="1"/>
  <c r="D39" i="10" a="1"/>
  <c r="D39" i="10" s="1"/>
  <c r="D40" i="10" a="1"/>
  <c r="D40" i="10" s="1"/>
  <c r="D41" i="10" a="1"/>
  <c r="D41" i="10" s="1"/>
  <c r="D42" i="10" a="1"/>
  <c r="D42" i="10" s="1"/>
  <c r="D43" i="10" a="1"/>
  <c r="D43" i="10" s="1"/>
  <c r="D44" i="10" a="1"/>
  <c r="D44" i="10" s="1"/>
  <c r="D45" i="10" a="1"/>
  <c r="D45" i="10" s="1"/>
  <c r="D46" i="10" a="1"/>
  <c r="D46" i="10" s="1"/>
  <c r="D47" i="10" a="1"/>
  <c r="D47" i="10" s="1"/>
  <c r="D48" i="10" a="1"/>
  <c r="D48" i="10" s="1"/>
  <c r="D49" i="10" a="1"/>
  <c r="D49" i="10" s="1"/>
  <c r="D50" i="10" a="1"/>
  <c r="D50" i="10" s="1"/>
  <c r="D51" i="10" a="1"/>
  <c r="D51" i="10" s="1"/>
  <c r="D52" i="10" a="1"/>
  <c r="D52" i="10" s="1"/>
  <c r="D53" i="10" a="1"/>
  <c r="D53" i="10" s="1"/>
  <c r="D54" i="10" a="1"/>
  <c r="D54" i="10" s="1"/>
  <c r="D55" i="10" a="1"/>
  <c r="D55" i="10" s="1"/>
  <c r="D56" i="10" a="1"/>
  <c r="D56" i="10" s="1"/>
  <c r="D57" i="10" a="1"/>
  <c r="D57" i="10" s="1"/>
  <c r="D58" i="10" a="1"/>
  <c r="D58" i="10" s="1"/>
  <c r="D59" i="10" a="1"/>
  <c r="D59" i="10" s="1"/>
  <c r="D60" i="10" a="1"/>
  <c r="D60" i="10" s="1"/>
  <c r="D61" i="10" a="1"/>
  <c r="D61" i="10" s="1"/>
  <c r="D62" i="10" a="1"/>
  <c r="D62" i="10" s="1"/>
  <c r="D63" i="10" a="1"/>
  <c r="D63" i="10" s="1"/>
  <c r="D64" i="10" a="1"/>
  <c r="D64" i="10" s="1"/>
  <c r="D65" i="10" a="1"/>
  <c r="D65" i="10" s="1"/>
  <c r="D66" i="10" a="1"/>
  <c r="D66" i="10" s="1"/>
  <c r="D67" i="10" a="1"/>
  <c r="D67" i="10" s="1"/>
  <c r="D68" i="10" a="1"/>
  <c r="D68" i="10" s="1"/>
  <c r="D69" i="10" a="1"/>
  <c r="D69" i="10" s="1"/>
  <c r="D70" i="10" a="1"/>
  <c r="D70" i="10" s="1"/>
  <c r="D71" i="10" a="1"/>
  <c r="D71" i="10" s="1"/>
  <c r="D72" i="10" a="1"/>
  <c r="D72" i="10" s="1"/>
  <c r="D73" i="10" a="1"/>
  <c r="D73" i="10" s="1"/>
  <c r="D74" i="10" a="1"/>
  <c r="D74" i="10" s="1"/>
  <c r="D75" i="10" a="1"/>
  <c r="D75" i="10" s="1"/>
  <c r="D76" i="10" a="1"/>
  <c r="D76" i="10" s="1"/>
  <c r="D77" i="10" a="1"/>
  <c r="D77" i="10" s="1"/>
  <c r="D78" i="10" a="1"/>
  <c r="D78" i="10" s="1"/>
  <c r="B4" i="10" a="1"/>
  <c r="B4" i="10" s="1"/>
  <c r="B5" i="10" a="1"/>
  <c r="B5" i="10" s="1"/>
  <c r="B6" i="10" a="1"/>
  <c r="B6" i="10" s="1"/>
  <c r="B7" i="10" a="1"/>
  <c r="B7" i="10" s="1"/>
  <c r="B8" i="10" a="1"/>
  <c r="B8" i="10" s="1"/>
  <c r="B9" i="10" a="1"/>
  <c r="B9" i="10" s="1"/>
  <c r="B10" i="10" a="1"/>
  <c r="B10" i="10" s="1"/>
  <c r="B11" i="10" a="1"/>
  <c r="B11" i="10" s="1"/>
  <c r="B12" i="10" a="1"/>
  <c r="B12" i="10" s="1"/>
  <c r="B13" i="10" a="1"/>
  <c r="B13" i="10" s="1"/>
  <c r="B14" i="10" a="1"/>
  <c r="B14" i="10" s="1"/>
  <c r="B15" i="10" a="1"/>
  <c r="B15" i="10" s="1"/>
  <c r="B16" i="10" a="1"/>
  <c r="B16" i="10" s="1"/>
  <c r="B17" i="10" a="1"/>
  <c r="B17" i="10" s="1"/>
  <c r="B18" i="10" a="1"/>
  <c r="B18" i="10" s="1"/>
  <c r="B19" i="10" a="1"/>
  <c r="B19" i="10" s="1"/>
  <c r="B20" i="10" a="1"/>
  <c r="B20" i="10" s="1"/>
  <c r="B21" i="10" a="1"/>
  <c r="B21" i="10" s="1"/>
  <c r="B22" i="10" a="1"/>
  <c r="B22" i="10" s="1"/>
  <c r="B23" i="10" a="1"/>
  <c r="B23" i="10" s="1"/>
  <c r="B24" i="10" a="1"/>
  <c r="B24" i="10" s="1"/>
  <c r="B25" i="10" a="1"/>
  <c r="B25" i="10" s="1"/>
  <c r="B26" i="10" a="1"/>
  <c r="B26" i="10" s="1"/>
  <c r="B27" i="10" a="1"/>
  <c r="B27" i="10" s="1"/>
  <c r="B28" i="10" a="1"/>
  <c r="B28" i="10" s="1"/>
  <c r="B29" i="10" a="1"/>
  <c r="B29" i="10" s="1"/>
  <c r="B30" i="10" a="1"/>
  <c r="B30" i="10" s="1"/>
  <c r="B31" i="10" a="1"/>
  <c r="B31" i="10" s="1"/>
  <c r="B32" i="10" a="1"/>
  <c r="B32" i="10" s="1"/>
  <c r="B33" i="10" a="1"/>
  <c r="B33" i="10" s="1"/>
  <c r="B34" i="10" a="1"/>
  <c r="B34" i="10" s="1"/>
  <c r="B35" i="10" a="1"/>
  <c r="B35" i="10" s="1"/>
  <c r="B36" i="10" a="1"/>
  <c r="B36" i="10" s="1"/>
  <c r="B37" i="10" a="1"/>
  <c r="B37" i="10" s="1"/>
  <c r="B38" i="10" a="1"/>
  <c r="B38" i="10" s="1"/>
  <c r="B39" i="10" a="1"/>
  <c r="B39" i="10" s="1"/>
  <c r="B40" i="10" a="1"/>
  <c r="B40" i="10" s="1"/>
  <c r="B41" i="10" a="1"/>
  <c r="B41" i="10" s="1"/>
  <c r="B42" i="10" a="1"/>
  <c r="B42" i="10" s="1"/>
  <c r="B43" i="10" a="1"/>
  <c r="B43" i="10" s="1"/>
  <c r="B44" i="10" a="1"/>
  <c r="B44" i="10" s="1"/>
  <c r="B45" i="10" a="1"/>
  <c r="B45" i="10" s="1"/>
  <c r="B46" i="10" a="1"/>
  <c r="B46" i="10" s="1"/>
  <c r="B47" i="10" a="1"/>
  <c r="B47" i="10" s="1"/>
  <c r="B48" i="10" a="1"/>
  <c r="B48" i="10" s="1"/>
  <c r="B49" i="10" a="1"/>
  <c r="B49" i="10" s="1"/>
  <c r="B50" i="10" a="1"/>
  <c r="B50" i="10" s="1"/>
  <c r="B51" i="10" a="1"/>
  <c r="B51" i="10" s="1"/>
  <c r="B52" i="10" a="1"/>
  <c r="B52" i="10" s="1"/>
  <c r="B53" i="10" a="1"/>
  <c r="B53" i="10" s="1"/>
  <c r="B54" i="10" a="1"/>
  <c r="B54" i="10" s="1"/>
  <c r="B55" i="10" a="1"/>
  <c r="B55" i="10" s="1"/>
  <c r="B56" i="10" a="1"/>
  <c r="B56" i="10" s="1"/>
  <c r="B57" i="10" a="1"/>
  <c r="B57" i="10" s="1"/>
  <c r="B58" i="10" a="1"/>
  <c r="B58" i="10" s="1"/>
  <c r="B59" i="10" a="1"/>
  <c r="B59" i="10" s="1"/>
  <c r="B60" i="10" a="1"/>
  <c r="B60" i="10" s="1"/>
  <c r="B61" i="10" a="1"/>
  <c r="B61" i="10" s="1"/>
  <c r="B62" i="10" a="1"/>
  <c r="B62" i="10" s="1"/>
  <c r="B63" i="10" a="1"/>
  <c r="B63" i="10" s="1"/>
  <c r="B64" i="10" a="1"/>
  <c r="B64" i="10" s="1"/>
  <c r="B65" i="10" a="1"/>
  <c r="B65" i="10" s="1"/>
  <c r="B66" i="10" a="1"/>
  <c r="B66" i="10" s="1"/>
  <c r="B67" i="10" a="1"/>
  <c r="B67" i="10" s="1"/>
  <c r="B68" i="10" a="1"/>
  <c r="B68" i="10" s="1"/>
  <c r="B69" i="10" a="1"/>
  <c r="B69" i="10" s="1"/>
  <c r="B70" i="10" a="1"/>
  <c r="B70" i="10" s="1"/>
  <c r="B71" i="10" a="1"/>
  <c r="B71" i="10"/>
  <c r="B72" i="10" a="1"/>
  <c r="B72" i="10" s="1"/>
  <c r="B73" i="10" a="1"/>
  <c r="B73" i="10" s="1"/>
  <c r="B74" i="10" a="1"/>
  <c r="B74" i="10" s="1"/>
  <c r="B75" i="10" a="1"/>
  <c r="B75" i="10" s="1"/>
  <c r="B76" i="10" a="1"/>
  <c r="B76" i="10" s="1"/>
  <c r="B77" i="10" a="1"/>
  <c r="B77" i="10" s="1"/>
  <c r="B78" i="10" a="1"/>
  <c r="B78" i="10" s="1"/>
  <c r="Z3" i="10" a="1"/>
  <c r="Z3" i="10" s="1"/>
  <c r="AI3" i="10" s="1"/>
  <c r="Z4" i="10" a="1"/>
  <c r="Z4" i="10" s="1"/>
  <c r="Z5" i="10" a="1"/>
  <c r="Z5" i="10" s="1"/>
  <c r="N5" i="14" s="1"/>
  <c r="Z6" i="10" a="1"/>
  <c r="Z6" i="10" s="1"/>
  <c r="N6" i="14" s="1"/>
  <c r="Z7" i="10" a="1"/>
  <c r="Z7" i="10" s="1"/>
  <c r="AC7" i="10" s="1"/>
  <c r="Z8" i="10" a="1"/>
  <c r="Z8" i="10" s="1"/>
  <c r="Z9" i="10" a="1"/>
  <c r="Z9" i="10" s="1"/>
  <c r="Z10" i="10" a="1"/>
  <c r="Z10" i="10" s="1"/>
  <c r="N10" i="14" s="1"/>
  <c r="Z11" i="10" a="1"/>
  <c r="Z11" i="10" s="1"/>
  <c r="N11" i="14" s="1"/>
  <c r="Z12" i="10" a="1"/>
  <c r="Z12" i="10" s="1"/>
  <c r="N12" i="14" s="1"/>
  <c r="Z13" i="10" a="1"/>
  <c r="Z13" i="10" s="1"/>
  <c r="Z14" i="10" a="1"/>
  <c r="Z14" i="10" s="1"/>
  <c r="Z15" i="10" a="1"/>
  <c r="Z15" i="10" s="1"/>
  <c r="AF15" i="10" s="1"/>
  <c r="Z16" i="10" a="1"/>
  <c r="Z16" i="10" s="1"/>
  <c r="Z17" i="10" a="1"/>
  <c r="Z17" i="10" s="1"/>
  <c r="Z18" i="10" a="1"/>
  <c r="Z18" i="10" s="1"/>
  <c r="Z19" i="10" a="1"/>
  <c r="Z19" i="10" s="1"/>
  <c r="AE19" i="10" s="1"/>
  <c r="Z20" i="10" a="1"/>
  <c r="Z20" i="10" s="1"/>
  <c r="N20" i="14" s="1"/>
  <c r="Z21" i="10" a="1"/>
  <c r="Z21" i="10" s="1"/>
  <c r="Z22" i="10" a="1"/>
  <c r="Z22" i="10" s="1"/>
  <c r="Z23" i="10" a="1"/>
  <c r="Z23" i="10" s="1"/>
  <c r="AD23" i="10" s="1"/>
  <c r="Z24" i="10" a="1"/>
  <c r="Z24" i="10" s="1"/>
  <c r="Z25" i="10" a="1"/>
  <c r="Z25" i="10" s="1"/>
  <c r="Z26" i="10" a="1"/>
  <c r="Z26" i="10" s="1"/>
  <c r="Z27" i="10" a="1"/>
  <c r="Z27" i="10" s="1"/>
  <c r="AC27" i="10" s="1"/>
  <c r="Z28" i="10" a="1"/>
  <c r="Z28" i="10" s="1"/>
  <c r="N28" i="14" s="1"/>
  <c r="Z29" i="10" a="1"/>
  <c r="Z29" i="10" s="1"/>
  <c r="N29" i="14" s="1"/>
  <c r="Z30" i="10" a="1"/>
  <c r="Z30" i="10" s="1"/>
  <c r="N30" i="14" s="1"/>
  <c r="Z31" i="10" a="1"/>
  <c r="Z31" i="10" s="1"/>
  <c r="Z32" i="10" a="1"/>
  <c r="Z32" i="10" s="1"/>
  <c r="N32" i="14" s="1"/>
  <c r="Z33" i="10" a="1"/>
  <c r="Z33" i="10" s="1"/>
  <c r="N33" i="14" s="1"/>
  <c r="Z34" i="10" a="1"/>
  <c r="Z34" i="10" s="1"/>
  <c r="N34" i="14" s="1"/>
  <c r="Z35" i="10" a="1"/>
  <c r="Z35" i="10" s="1"/>
  <c r="AA35" i="10" s="1"/>
  <c r="Z36" i="10" a="1"/>
  <c r="Z36" i="10" s="1"/>
  <c r="Z37" i="10" a="1"/>
  <c r="Z37" i="10" s="1"/>
  <c r="N37" i="14" s="1"/>
  <c r="Z38" i="10" a="1"/>
  <c r="Z38" i="10" s="1"/>
  <c r="Z39" i="10" a="1"/>
  <c r="Z39" i="10" s="1"/>
  <c r="AE39" i="10" s="1"/>
  <c r="Z40" i="10" a="1"/>
  <c r="Z40" i="10" s="1"/>
  <c r="Z41" i="10" a="1"/>
  <c r="Z41" i="10" s="1"/>
  <c r="Z42" i="10" a="1"/>
  <c r="Z42" i="10" s="1"/>
  <c r="Z43" i="10" a="1"/>
  <c r="Z43" i="10" s="1"/>
  <c r="AD43" i="10" s="1"/>
  <c r="Z44" i="10" a="1"/>
  <c r="Z44" i="10" s="1"/>
  <c r="Z45" i="10" a="1"/>
  <c r="Z45" i="10" s="1"/>
  <c r="Z46" i="10" a="1"/>
  <c r="Z46" i="10" s="1"/>
  <c r="Z47" i="10" a="1"/>
  <c r="Z47" i="10" s="1"/>
  <c r="AC47" i="10" s="1"/>
  <c r="Z48" i="10" a="1"/>
  <c r="Z48" i="10" s="1"/>
  <c r="N48" i="14" s="1"/>
  <c r="Z49" i="10" a="1"/>
  <c r="Z49" i="10" s="1"/>
  <c r="N49" i="14" s="1"/>
  <c r="Z50" i="10" a="1"/>
  <c r="Z50" i="10" s="1"/>
  <c r="N50" i="14" s="1"/>
  <c r="Z51" i="10" a="1"/>
  <c r="Z51" i="10" s="1"/>
  <c r="Z52" i="10" a="1"/>
  <c r="Z52" i="10" s="1"/>
  <c r="N52" i="14" s="1"/>
  <c r="Z53" i="10" a="1"/>
  <c r="Z53" i="10" s="1"/>
  <c r="N53" i="14" s="1"/>
  <c r="O53" i="14" s="1"/>
  <c r="P53" i="14" s="1"/>
  <c r="Z54" i="10" a="1"/>
  <c r="Z54" i="10" s="1"/>
  <c r="N54" i="14" s="1"/>
  <c r="Z55" i="10" a="1"/>
  <c r="Z55" i="10" s="1"/>
  <c r="N55" i="14" s="1"/>
  <c r="Z56" i="10" a="1"/>
  <c r="Z56" i="10" s="1"/>
  <c r="Z57" i="10" a="1"/>
  <c r="Z57" i="10" s="1"/>
  <c r="Z58" i="10" a="1"/>
  <c r="Z58" i="10" s="1"/>
  <c r="Z59" i="10" a="1"/>
  <c r="Z59" i="10" s="1"/>
  <c r="AJ59" i="10" s="1"/>
  <c r="Z60" i="10" a="1"/>
  <c r="Z60" i="10" s="1"/>
  <c r="Z61" i="10" a="1"/>
  <c r="Z61" i="10" s="1"/>
  <c r="Z62" i="10" a="1"/>
  <c r="Z62" i="10" s="1"/>
  <c r="Z63" i="10" a="1"/>
  <c r="Z63" i="10" s="1"/>
  <c r="Z64" i="10" a="1"/>
  <c r="Z64" i="10" s="1"/>
  <c r="Z65" i="10" a="1"/>
  <c r="Z65" i="10" s="1"/>
  <c r="Z66" i="10" a="1"/>
  <c r="Z66" i="10" s="1"/>
  <c r="Z67" i="10" a="1"/>
  <c r="Z67" i="10" s="1"/>
  <c r="AC67" i="10" s="1"/>
  <c r="Z68" i="10" a="1"/>
  <c r="Z68" i="10" s="1"/>
  <c r="N68" i="14" s="1"/>
  <c r="Z69" i="10" a="1"/>
  <c r="Z69" i="10" s="1"/>
  <c r="N69" i="14" s="1"/>
  <c r="Z70" i="10" a="1"/>
  <c r="Z70" i="10" s="1"/>
  <c r="N70" i="14" s="1"/>
  <c r="Z71" i="10" a="1"/>
  <c r="Z71" i="10" s="1"/>
  <c r="Z72" i="10" a="1"/>
  <c r="Z72" i="10" s="1"/>
  <c r="Z73" i="10" a="1"/>
  <c r="Z73" i="10" s="1"/>
  <c r="N73" i="14" s="1"/>
  <c r="Z74" i="10" a="1"/>
  <c r="Z74" i="10" s="1"/>
  <c r="N74" i="14" s="1"/>
  <c r="Z75" i="10" a="1"/>
  <c r="Z75" i="10" s="1"/>
  <c r="N75" i="14" s="1"/>
  <c r="Z76" i="10" a="1"/>
  <c r="Z76" i="10" s="1"/>
  <c r="Z77" i="10" a="1"/>
  <c r="Z77" i="10" s="1"/>
  <c r="Z78" i="10" a="1"/>
  <c r="Z78" i="10" s="1"/>
  <c r="B12" i="9"/>
  <c r="F12" i="9" s="1"/>
  <c r="B11" i="9"/>
  <c r="F11" i="9" s="1"/>
  <c r="B10" i="9"/>
  <c r="E10" i="9" s="1"/>
  <c r="B9" i="9"/>
  <c r="F9" i="9" s="1"/>
  <c r="B8" i="9"/>
  <c r="D8" i="9" s="1"/>
  <c r="B7" i="9"/>
  <c r="F7" i="9" s="1"/>
  <c r="B6" i="9"/>
  <c r="D6" i="9" s="1"/>
  <c r="B5" i="9"/>
  <c r="C5" i="9" s="1"/>
  <c r="B4" i="9"/>
  <c r="E4" i="9" s="1"/>
  <c r="B3" i="9"/>
  <c r="F3" i="9" s="1"/>
  <c r="B2" i="3"/>
  <c r="C2" i="3"/>
  <c r="D2" i="3"/>
  <c r="B3" i="3"/>
  <c r="C3" i="3"/>
  <c r="D3" i="3"/>
  <c r="B4" i="3"/>
  <c r="C4" i="3"/>
  <c r="D4" i="3"/>
  <c r="B5" i="3"/>
  <c r="C5" i="3"/>
  <c r="D5" i="3"/>
  <c r="B6" i="3"/>
  <c r="C6" i="3"/>
  <c r="D6" i="3"/>
  <c r="B7" i="3"/>
  <c r="C7" i="3"/>
  <c r="D7" i="3"/>
  <c r="B8" i="3"/>
  <c r="C8" i="3" s="1"/>
  <c r="D8" i="3" s="1"/>
  <c r="B9" i="3"/>
  <c r="C9" i="3"/>
  <c r="D9" i="3" s="1"/>
  <c r="B10" i="3"/>
  <c r="C10" i="3"/>
  <c r="D10" i="3"/>
  <c r="B11" i="3"/>
  <c r="C11" i="3"/>
  <c r="D11" i="3"/>
  <c r="F3" i="3"/>
  <c r="F4" i="3"/>
  <c r="F2" i="3"/>
  <c r="G2" i="3" s="1"/>
  <c r="H2" i="3" s="1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D3" i="2"/>
  <c r="D4" i="2"/>
  <c r="D5" i="2"/>
  <c r="D6" i="2"/>
  <c r="D7" i="2"/>
  <c r="D8" i="2"/>
  <c r="D9" i="2"/>
  <c r="D10" i="2"/>
  <c r="D11" i="2"/>
  <c r="D2" i="2"/>
  <c r="C6" i="2"/>
  <c r="C3" i="2"/>
  <c r="C4" i="2"/>
  <c r="C5" i="2"/>
  <c r="C7" i="2"/>
  <c r="C8" i="2"/>
  <c r="C9" i="2"/>
  <c r="C10" i="2"/>
  <c r="C11" i="2"/>
  <c r="C2" i="2"/>
  <c r="B11" i="2"/>
  <c r="B3" i="2"/>
  <c r="B4" i="2"/>
  <c r="B5" i="2"/>
  <c r="B6" i="2"/>
  <c r="B7" i="2"/>
  <c r="B8" i="2"/>
  <c r="B9" i="2"/>
  <c r="B10" i="2"/>
  <c r="B2" i="2"/>
  <c r="D19" i="1"/>
  <c r="D18" i="1"/>
  <c r="D16" i="1"/>
  <c r="D15" i="1"/>
  <c r="D13" i="1"/>
  <c r="D7" i="1"/>
  <c r="B4" i="1"/>
  <c r="D4" i="1" s="1"/>
  <c r="B5" i="1"/>
  <c r="D5" i="1" s="1"/>
  <c r="B6" i="1"/>
  <c r="D6" i="1" s="1"/>
  <c r="B7" i="1"/>
  <c r="B8" i="1"/>
  <c r="D8" i="1" s="1"/>
  <c r="B9" i="1"/>
  <c r="D9" i="1" s="1"/>
  <c r="B10" i="1"/>
  <c r="D10" i="1" s="1"/>
  <c r="B11" i="1"/>
  <c r="D11" i="1" s="1"/>
  <c r="B12" i="1"/>
  <c r="D12" i="1" s="1"/>
  <c r="B13" i="1"/>
  <c r="B14" i="1"/>
  <c r="D14" i="1" s="1"/>
  <c r="B15" i="1"/>
  <c r="B16" i="1"/>
  <c r="B17" i="1"/>
  <c r="D17" i="1" s="1"/>
  <c r="B18" i="1"/>
  <c r="B19" i="1"/>
  <c r="B20" i="1"/>
  <c r="D20" i="1" s="1"/>
  <c r="B21" i="1"/>
  <c r="D21" i="1" s="1"/>
  <c r="B3" i="1"/>
  <c r="D3" i="1" s="1"/>
  <c r="C4" i="22" l="1"/>
  <c r="D4" i="22" s="1"/>
  <c r="I66" i="22"/>
  <c r="J66" i="22" s="1"/>
  <c r="I13" i="22"/>
  <c r="J13" i="22" s="1"/>
  <c r="I87" i="22"/>
  <c r="J87" i="22" s="1"/>
  <c r="I144" i="22"/>
  <c r="J144" i="22" s="1"/>
  <c r="C19" i="22"/>
  <c r="D19" i="22" s="1"/>
  <c r="I115" i="22"/>
  <c r="J115" i="22" s="1"/>
  <c r="I126" i="22"/>
  <c r="J126" i="22" s="1"/>
  <c r="I76" i="22"/>
  <c r="J76" i="22" s="1"/>
  <c r="I52" i="22"/>
  <c r="J52" i="22" s="1"/>
  <c r="I137" i="22"/>
  <c r="J137" i="22" s="1"/>
  <c r="I110" i="22"/>
  <c r="J110" i="22" s="1"/>
  <c r="I153" i="22"/>
  <c r="C48" i="22"/>
  <c r="D48" i="22" s="1"/>
  <c r="I54" i="22"/>
  <c r="J54" i="22" s="1"/>
  <c r="I40" i="22"/>
  <c r="J40" i="22" s="1"/>
  <c r="I127" i="22"/>
  <c r="J127" i="22" s="1"/>
  <c r="I43" i="22"/>
  <c r="J43" i="22" s="1"/>
  <c r="I57" i="22"/>
  <c r="J57" i="22" s="1"/>
  <c r="I143" i="22"/>
  <c r="J143" i="22" s="1"/>
  <c r="I59" i="22"/>
  <c r="J59" i="22" s="1"/>
  <c r="I17" i="22"/>
  <c r="J17" i="22" s="1"/>
  <c r="I103" i="22"/>
  <c r="J103" i="22" s="1"/>
  <c r="I62" i="22"/>
  <c r="J62" i="22" s="1"/>
  <c r="I35" i="22"/>
  <c r="J35" i="22" s="1"/>
  <c r="I120" i="22"/>
  <c r="J120" i="22" s="1"/>
  <c r="I93" i="22"/>
  <c r="J93" i="22" s="1"/>
  <c r="C40" i="21"/>
  <c r="D40" i="21" s="1"/>
  <c r="C63" i="21"/>
  <c r="D63" i="21" s="1"/>
  <c r="C30" i="21"/>
  <c r="D30" i="21" s="1"/>
  <c r="C4" i="21"/>
  <c r="D4" i="21" s="1"/>
  <c r="I120" i="21"/>
  <c r="J120" i="21" s="1"/>
  <c r="I137" i="21"/>
  <c r="J137" i="21" s="1"/>
  <c r="C54" i="21"/>
  <c r="D54" i="21" s="1"/>
  <c r="I29" i="21"/>
  <c r="J29" i="21" s="1"/>
  <c r="I63" i="21"/>
  <c r="J63" i="21" s="1"/>
  <c r="C26" i="21"/>
  <c r="D26" i="21" s="1"/>
  <c r="C76" i="21"/>
  <c r="D76" i="21" s="1"/>
  <c r="C16" i="21"/>
  <c r="D16" i="21" s="1"/>
  <c r="C68" i="21"/>
  <c r="D68" i="21" s="1"/>
  <c r="I21" i="21"/>
  <c r="J21" i="21" s="1"/>
  <c r="C20" i="20"/>
  <c r="D20" i="20" s="1"/>
  <c r="C4" i="20"/>
  <c r="D4" i="20" s="1"/>
  <c r="I59" i="20"/>
  <c r="J59" i="20" s="1"/>
  <c r="I44" i="19"/>
  <c r="J44" i="19" s="1"/>
  <c r="I28" i="19"/>
  <c r="J28" i="19" s="1"/>
  <c r="I83" i="19"/>
  <c r="J83" i="19" s="1"/>
  <c r="C4" i="18"/>
  <c r="D4" i="18" s="1"/>
  <c r="C24" i="18"/>
  <c r="D24" i="18" s="1"/>
  <c r="C4" i="17"/>
  <c r="D4" i="17" s="1"/>
  <c r="C20" i="14"/>
  <c r="D20" i="14" s="1"/>
  <c r="C24" i="14"/>
  <c r="D24" i="14" s="1"/>
  <c r="I87" i="14"/>
  <c r="J87" i="14" s="1"/>
  <c r="I147" i="14"/>
  <c r="J147" i="14" s="1"/>
  <c r="O75" i="14"/>
  <c r="P75" i="14" s="1"/>
  <c r="O55" i="14"/>
  <c r="P55" i="14" s="1"/>
  <c r="I71" i="22"/>
  <c r="J71" i="22" s="1"/>
  <c r="I104" i="22"/>
  <c r="J104" i="22" s="1"/>
  <c r="I19" i="22"/>
  <c r="J19" i="22" s="1"/>
  <c r="I5" i="22"/>
  <c r="J5" i="22" s="1"/>
  <c r="I49" i="22"/>
  <c r="J49" i="22" s="1"/>
  <c r="I64" i="22"/>
  <c r="J64" i="22" s="1"/>
  <c r="I78" i="22"/>
  <c r="J78" i="22" s="1"/>
  <c r="I121" i="22"/>
  <c r="J121" i="22" s="1"/>
  <c r="I94" i="22"/>
  <c r="J94" i="22" s="1"/>
  <c r="I24" i="22"/>
  <c r="J24" i="22" s="1"/>
  <c r="I38" i="22"/>
  <c r="J38" i="22" s="1"/>
  <c r="C40" i="22"/>
  <c r="D40" i="22" s="1"/>
  <c r="C43" i="22"/>
  <c r="D43" i="22" s="1"/>
  <c r="C63" i="22"/>
  <c r="D63" i="22" s="1"/>
  <c r="C5" i="22"/>
  <c r="D5" i="22" s="1"/>
  <c r="C9" i="22"/>
  <c r="D9" i="22" s="1"/>
  <c r="C33" i="22"/>
  <c r="D33" i="22" s="1"/>
  <c r="C53" i="22"/>
  <c r="D53" i="22" s="1"/>
  <c r="C73" i="22"/>
  <c r="D73" i="22" s="1"/>
  <c r="C14" i="22"/>
  <c r="D14" i="22" s="1"/>
  <c r="C54" i="22"/>
  <c r="D54" i="22" s="1"/>
  <c r="C76" i="22"/>
  <c r="D76" i="22" s="1"/>
  <c r="C29" i="22"/>
  <c r="D29" i="22" s="1"/>
  <c r="C38" i="22"/>
  <c r="D38" i="22" s="1"/>
  <c r="I139" i="21"/>
  <c r="J139" i="21" s="1"/>
  <c r="I140" i="21"/>
  <c r="J140" i="21" s="1"/>
  <c r="I34" i="21"/>
  <c r="J34" i="21" s="1"/>
  <c r="I72" i="21"/>
  <c r="J72" i="21" s="1"/>
  <c r="I127" i="21"/>
  <c r="J127" i="21" s="1"/>
  <c r="I55" i="21"/>
  <c r="J55" i="21" s="1"/>
  <c r="I76" i="21"/>
  <c r="J76" i="21" s="1"/>
  <c r="I104" i="20"/>
  <c r="J104" i="20" s="1"/>
  <c r="I75" i="20"/>
  <c r="J75" i="20" s="1"/>
  <c r="I103" i="19"/>
  <c r="J103" i="19" s="1"/>
  <c r="C10" i="19"/>
  <c r="D10" i="19" s="1"/>
  <c r="C4" i="16"/>
  <c r="D4" i="16" s="1"/>
  <c r="I9" i="22"/>
  <c r="J9" i="22" s="1"/>
  <c r="C73" i="21"/>
  <c r="D73" i="21" s="1"/>
  <c r="I122" i="21"/>
  <c r="J122" i="21" s="1"/>
  <c r="I33" i="22"/>
  <c r="J33" i="22" s="1"/>
  <c r="C67" i="22"/>
  <c r="D67" i="22" s="1"/>
  <c r="I89" i="22"/>
  <c r="J89" i="22" s="1"/>
  <c r="I122" i="22"/>
  <c r="J122" i="22" s="1"/>
  <c r="I139" i="22"/>
  <c r="J139" i="22" s="1"/>
  <c r="C24" i="22"/>
  <c r="D24" i="22" s="1"/>
  <c r="I76" i="18"/>
  <c r="J76" i="18" s="1"/>
  <c r="C13" i="19"/>
  <c r="D13" i="19" s="1"/>
  <c r="C49" i="21"/>
  <c r="D49" i="21" s="1"/>
  <c r="C58" i="21"/>
  <c r="D58" i="21" s="1"/>
  <c r="O57" i="22"/>
  <c r="P57" i="22" s="1"/>
  <c r="I106" i="22"/>
  <c r="J106" i="22" s="1"/>
  <c r="I135" i="18"/>
  <c r="J135" i="18" s="1"/>
  <c r="I89" i="20"/>
  <c r="J89" i="20" s="1"/>
  <c r="O7" i="21"/>
  <c r="P7" i="21" s="1"/>
  <c r="I87" i="21"/>
  <c r="J87" i="21" s="1"/>
  <c r="I144" i="21"/>
  <c r="J144" i="21" s="1"/>
  <c r="O14" i="22"/>
  <c r="P14" i="22" s="1"/>
  <c r="O19" i="22"/>
  <c r="P19" i="22" s="1"/>
  <c r="O24" i="22"/>
  <c r="P24" i="22" s="1"/>
  <c r="C34" i="22"/>
  <c r="D34" i="22" s="1"/>
  <c r="C44" i="22"/>
  <c r="D44" i="22" s="1"/>
  <c r="C58" i="22"/>
  <c r="D58" i="22" s="1"/>
  <c r="O67" i="22"/>
  <c r="P67" i="22" s="1"/>
  <c r="C77" i="22"/>
  <c r="D77" i="22" s="1"/>
  <c r="I107" i="22"/>
  <c r="J107" i="22" s="1"/>
  <c r="I124" i="22"/>
  <c r="J124" i="22" s="1"/>
  <c r="C8" i="21"/>
  <c r="D8" i="21" s="1"/>
  <c r="I16" i="21"/>
  <c r="J16" i="21" s="1"/>
  <c r="C59" i="21"/>
  <c r="D59" i="21" s="1"/>
  <c r="O5" i="22"/>
  <c r="P5" i="22" s="1"/>
  <c r="I39" i="22"/>
  <c r="J39" i="22" s="1"/>
  <c r="O48" i="22"/>
  <c r="P48" i="22" s="1"/>
  <c r="I53" i="22"/>
  <c r="J53" i="22" s="1"/>
  <c r="I77" i="22"/>
  <c r="J77" i="22" s="1"/>
  <c r="I91" i="22"/>
  <c r="J91" i="22" s="1"/>
  <c r="I141" i="22"/>
  <c r="J141" i="22" s="1"/>
  <c r="C54" i="19"/>
  <c r="D54" i="19" s="1"/>
  <c r="I131" i="20"/>
  <c r="J131" i="20" s="1"/>
  <c r="I25" i="21"/>
  <c r="J25" i="21" s="1"/>
  <c r="I29" i="22"/>
  <c r="J29" i="22" s="1"/>
  <c r="O34" i="22"/>
  <c r="P34" i="22" s="1"/>
  <c r="O77" i="22"/>
  <c r="P77" i="22" s="1"/>
  <c r="O72" i="22"/>
  <c r="P72" i="22" s="1"/>
  <c r="I20" i="22"/>
  <c r="J20" i="22" s="1"/>
  <c r="O29" i="22"/>
  <c r="P29" i="22" s="1"/>
  <c r="O44" i="22"/>
  <c r="P44" i="22" s="1"/>
  <c r="C49" i="22"/>
  <c r="D49" i="22" s="1"/>
  <c r="C64" i="22"/>
  <c r="D64" i="22" s="1"/>
  <c r="O67" i="21"/>
  <c r="P67" i="21" s="1"/>
  <c r="I128" i="21"/>
  <c r="J128" i="21" s="1"/>
  <c r="I10" i="22"/>
  <c r="J10" i="22" s="1"/>
  <c r="I25" i="22"/>
  <c r="J25" i="22" s="1"/>
  <c r="O13" i="22"/>
  <c r="P13" i="22" s="1"/>
  <c r="I39" i="20"/>
  <c r="J39" i="20" s="1"/>
  <c r="I132" i="20"/>
  <c r="J132" i="20" s="1"/>
  <c r="I149" i="21"/>
  <c r="J149" i="21" s="1"/>
  <c r="I73" i="22"/>
  <c r="J73" i="22" s="1"/>
  <c r="I111" i="22"/>
  <c r="J111" i="22" s="1"/>
  <c r="I32" i="18"/>
  <c r="J32" i="18" s="1"/>
  <c r="I42" i="18"/>
  <c r="J42" i="18" s="1"/>
  <c r="C35" i="21"/>
  <c r="D35" i="21" s="1"/>
  <c r="O43" i="21"/>
  <c r="P43" i="21" s="1"/>
  <c r="I111" i="21"/>
  <c r="J111" i="21" s="1"/>
  <c r="O6" i="22"/>
  <c r="P6" i="22" s="1"/>
  <c r="C21" i="22"/>
  <c r="D21" i="22" s="1"/>
  <c r="I30" i="22"/>
  <c r="J30" i="22" s="1"/>
  <c r="O40" i="22"/>
  <c r="P40" i="22" s="1"/>
  <c r="O49" i="22"/>
  <c r="P49" i="22" s="1"/>
  <c r="O54" i="22"/>
  <c r="P54" i="22" s="1"/>
  <c r="O59" i="22"/>
  <c r="P59" i="22" s="1"/>
  <c r="O73" i="22"/>
  <c r="P73" i="22" s="1"/>
  <c r="I45" i="22"/>
  <c r="J45" i="22" s="1"/>
  <c r="C55" i="22"/>
  <c r="D55" i="22" s="1"/>
  <c r="C69" i="22"/>
  <c r="D69" i="22" s="1"/>
  <c r="C74" i="22"/>
  <c r="D74" i="22" s="1"/>
  <c r="I96" i="22"/>
  <c r="J96" i="22" s="1"/>
  <c r="I146" i="22"/>
  <c r="J146" i="22" s="1"/>
  <c r="C57" i="22"/>
  <c r="D57" i="22" s="1"/>
  <c r="I12" i="14"/>
  <c r="J12" i="14" s="1"/>
  <c r="I72" i="14"/>
  <c r="J72" i="14" s="1"/>
  <c r="I11" i="21"/>
  <c r="J11" i="21" s="1"/>
  <c r="I19" i="21"/>
  <c r="J19" i="21" s="1"/>
  <c r="I44" i="21"/>
  <c r="J44" i="21" s="1"/>
  <c r="I132" i="21"/>
  <c r="J132" i="21" s="1"/>
  <c r="O12" i="22"/>
  <c r="P12" i="22" s="1"/>
  <c r="I98" i="20"/>
  <c r="J98" i="20" s="1"/>
  <c r="I117" i="20"/>
  <c r="J117" i="20" s="1"/>
  <c r="I50" i="22"/>
  <c r="J50" i="22" s="1"/>
  <c r="O55" i="22"/>
  <c r="P55" i="22" s="1"/>
  <c r="I60" i="22"/>
  <c r="J60" i="22" s="1"/>
  <c r="I69" i="22"/>
  <c r="J69" i="22" s="1"/>
  <c r="O74" i="22"/>
  <c r="P74" i="22" s="1"/>
  <c r="I81" i="22"/>
  <c r="J81" i="22" s="1"/>
  <c r="I131" i="22"/>
  <c r="J131" i="22" s="1"/>
  <c r="C63" i="14"/>
  <c r="D63" i="14" s="1"/>
  <c r="O16" i="22"/>
  <c r="P16" i="22" s="1"/>
  <c r="I22" i="22"/>
  <c r="J22" i="22" s="1"/>
  <c r="O26" i="22"/>
  <c r="P26" i="22" s="1"/>
  <c r="O32" i="22"/>
  <c r="P32" i="22" s="1"/>
  <c r="O60" i="22"/>
  <c r="P60" i="22" s="1"/>
  <c r="I65" i="22"/>
  <c r="J65" i="22" s="1"/>
  <c r="C75" i="22"/>
  <c r="D75" i="22" s="1"/>
  <c r="I82" i="22"/>
  <c r="J82" i="22" s="1"/>
  <c r="I99" i="22"/>
  <c r="J99" i="22" s="1"/>
  <c r="I132" i="22"/>
  <c r="J132" i="22" s="1"/>
  <c r="I149" i="22"/>
  <c r="J149" i="22" s="1"/>
  <c r="C51" i="20"/>
  <c r="D51" i="20" s="1"/>
  <c r="C17" i="22"/>
  <c r="D17" i="22" s="1"/>
  <c r="O22" i="22"/>
  <c r="P22" i="22" s="1"/>
  <c r="O65" i="22"/>
  <c r="P65" i="22" s="1"/>
  <c r="I116" i="22"/>
  <c r="J116" i="22" s="1"/>
  <c r="O29" i="21"/>
  <c r="P29" i="21" s="1"/>
  <c r="O4" i="22"/>
  <c r="P4" i="22" s="1"/>
  <c r="C8" i="22"/>
  <c r="D8" i="22" s="1"/>
  <c r="O36" i="22"/>
  <c r="P36" i="22" s="1"/>
  <c r="C61" i="22"/>
  <c r="D61" i="22" s="1"/>
  <c r="I17" i="14"/>
  <c r="J17" i="14" s="1"/>
  <c r="I37" i="14"/>
  <c r="J37" i="14" s="1"/>
  <c r="I117" i="14"/>
  <c r="J117" i="14" s="1"/>
  <c r="I109" i="16"/>
  <c r="J109" i="16" s="1"/>
  <c r="C24" i="20"/>
  <c r="D24" i="20" s="1"/>
  <c r="C37" i="22"/>
  <c r="D37" i="22" s="1"/>
  <c r="O46" i="22"/>
  <c r="P46" i="22" s="1"/>
  <c r="O52" i="22"/>
  <c r="P52" i="22" s="1"/>
  <c r="I70" i="22"/>
  <c r="J70" i="22" s="1"/>
  <c r="I101" i="22"/>
  <c r="J101" i="22" s="1"/>
  <c r="I151" i="22"/>
  <c r="J151" i="22" s="1"/>
  <c r="I83" i="17"/>
  <c r="J83" i="17" s="1"/>
  <c r="I24" i="20"/>
  <c r="J24" i="20" s="1"/>
  <c r="C71" i="20"/>
  <c r="D71" i="20" s="1"/>
  <c r="O71" i="21"/>
  <c r="P71" i="21" s="1"/>
  <c r="I37" i="22"/>
  <c r="J37" i="22" s="1"/>
  <c r="O42" i="22"/>
  <c r="P42" i="22" s="1"/>
  <c r="O70" i="22"/>
  <c r="P70" i="22" s="1"/>
  <c r="O62" i="22"/>
  <c r="P62" i="22" s="1"/>
  <c r="I71" i="17"/>
  <c r="J71" i="17" s="1"/>
  <c r="C8" i="18"/>
  <c r="D8" i="18" s="1"/>
  <c r="C18" i="18"/>
  <c r="D18" i="18" s="1"/>
  <c r="I71" i="20"/>
  <c r="J71" i="20" s="1"/>
  <c r="I30" i="21"/>
  <c r="J30" i="21" s="1"/>
  <c r="O8" i="22"/>
  <c r="P8" i="22" s="1"/>
  <c r="C13" i="22"/>
  <c r="D13" i="22" s="1"/>
  <c r="O37" i="22"/>
  <c r="P37" i="22" s="1"/>
  <c r="I86" i="22"/>
  <c r="J86" i="22" s="1"/>
  <c r="I136" i="22"/>
  <c r="J136" i="22" s="1"/>
  <c r="I88" i="22"/>
  <c r="J88" i="22" s="1"/>
  <c r="I138" i="22"/>
  <c r="J138" i="22" s="1"/>
  <c r="I105" i="22"/>
  <c r="J105" i="22" s="1"/>
  <c r="I14" i="22"/>
  <c r="J14" i="22" s="1"/>
  <c r="C39" i="22"/>
  <c r="D39" i="22" s="1"/>
  <c r="I67" i="22"/>
  <c r="J67" i="22" s="1"/>
  <c r="I68" i="22"/>
  <c r="J68" i="22" s="1"/>
  <c r="I123" i="22"/>
  <c r="J123" i="22" s="1"/>
  <c r="I90" i="22"/>
  <c r="J90" i="22" s="1"/>
  <c r="I140" i="22"/>
  <c r="J140" i="22" s="1"/>
  <c r="C15" i="22"/>
  <c r="D15" i="22" s="1"/>
  <c r="I58" i="22"/>
  <c r="J58" i="22" s="1"/>
  <c r="I63" i="22"/>
  <c r="J63" i="22" s="1"/>
  <c r="I72" i="22"/>
  <c r="J72" i="22" s="1"/>
  <c r="I108" i="22"/>
  <c r="J108" i="22" s="1"/>
  <c r="I15" i="22"/>
  <c r="J15" i="22" s="1"/>
  <c r="C20" i="22"/>
  <c r="D20" i="22" s="1"/>
  <c r="I44" i="22"/>
  <c r="J44" i="22" s="1"/>
  <c r="C68" i="22"/>
  <c r="D68" i="22" s="1"/>
  <c r="I92" i="22"/>
  <c r="J92" i="22" s="1"/>
  <c r="I109" i="22"/>
  <c r="J109" i="22" s="1"/>
  <c r="I125" i="22"/>
  <c r="J125" i="22" s="1"/>
  <c r="I142" i="22"/>
  <c r="J142" i="22" s="1"/>
  <c r="I34" i="22"/>
  <c r="J34" i="22" s="1"/>
  <c r="C6" i="22"/>
  <c r="D6" i="22" s="1"/>
  <c r="C10" i="22"/>
  <c r="D10" i="22" s="1"/>
  <c r="C25" i="22"/>
  <c r="D25" i="22" s="1"/>
  <c r="C35" i="22"/>
  <c r="D35" i="22" s="1"/>
  <c r="C59" i="22"/>
  <c r="D59" i="22" s="1"/>
  <c r="C78" i="22"/>
  <c r="I6" i="22"/>
  <c r="J6" i="22" s="1"/>
  <c r="C30" i="22"/>
  <c r="D30" i="22" s="1"/>
  <c r="I128" i="22"/>
  <c r="J128" i="22" s="1"/>
  <c r="C11" i="22"/>
  <c r="D11" i="22" s="1"/>
  <c r="C12" i="22"/>
  <c r="D12" i="22" s="1"/>
  <c r="C45" i="22"/>
  <c r="D45" i="22" s="1"/>
  <c r="I80" i="22"/>
  <c r="J80" i="22" s="1"/>
  <c r="I79" i="22"/>
  <c r="J79" i="22" s="1"/>
  <c r="I95" i="22"/>
  <c r="J95" i="22" s="1"/>
  <c r="I112" i="22"/>
  <c r="J112" i="22" s="1"/>
  <c r="I129" i="22"/>
  <c r="J129" i="22" s="1"/>
  <c r="I145" i="22"/>
  <c r="J145" i="22" s="1"/>
  <c r="I11" i="22"/>
  <c r="J11" i="22" s="1"/>
  <c r="C16" i="22"/>
  <c r="D16" i="22" s="1"/>
  <c r="I21" i="22"/>
  <c r="J21" i="22" s="1"/>
  <c r="C26" i="22"/>
  <c r="D26" i="22" s="1"/>
  <c r="I113" i="22"/>
  <c r="J113" i="22" s="1"/>
  <c r="C7" i="22"/>
  <c r="D7" i="22" s="1"/>
  <c r="C31" i="22"/>
  <c r="D31" i="22" s="1"/>
  <c r="C32" i="22"/>
  <c r="D32" i="22" s="1"/>
  <c r="C42" i="22"/>
  <c r="D42" i="22" s="1"/>
  <c r="C41" i="22"/>
  <c r="D41" i="22" s="1"/>
  <c r="C50" i="22"/>
  <c r="D50" i="22" s="1"/>
  <c r="I55" i="22"/>
  <c r="J55" i="22" s="1"/>
  <c r="C60" i="22"/>
  <c r="D60" i="22" s="1"/>
  <c r="I74" i="22"/>
  <c r="J74" i="22" s="1"/>
  <c r="I97" i="22"/>
  <c r="J97" i="22" s="1"/>
  <c r="I114" i="22"/>
  <c r="J114" i="22" s="1"/>
  <c r="I130" i="22"/>
  <c r="J130" i="22" s="1"/>
  <c r="I147" i="22"/>
  <c r="J147" i="22" s="1"/>
  <c r="I7" i="22"/>
  <c r="J7" i="22" s="1"/>
  <c r="I8" i="22"/>
  <c r="J8" i="22" s="1"/>
  <c r="I16" i="22"/>
  <c r="J16" i="22" s="1"/>
  <c r="C22" i="22"/>
  <c r="D22" i="22" s="1"/>
  <c r="I26" i="22"/>
  <c r="J26" i="22" s="1"/>
  <c r="I31" i="22"/>
  <c r="J31" i="22" s="1"/>
  <c r="C36" i="22"/>
  <c r="D36" i="22" s="1"/>
  <c r="I41" i="22"/>
  <c r="J41" i="22" s="1"/>
  <c r="C65" i="22"/>
  <c r="D65" i="22" s="1"/>
  <c r="I98" i="22"/>
  <c r="J98" i="22" s="1"/>
  <c r="I148" i="22"/>
  <c r="J148" i="22" s="1"/>
  <c r="C27" i="22"/>
  <c r="D27" i="22" s="1"/>
  <c r="I36" i="22"/>
  <c r="J36" i="22" s="1"/>
  <c r="C51" i="22"/>
  <c r="D51" i="22" s="1"/>
  <c r="C52" i="22"/>
  <c r="D52" i="22" s="1"/>
  <c r="I75" i="22"/>
  <c r="J75" i="22" s="1"/>
  <c r="I83" i="22"/>
  <c r="J83" i="22" s="1"/>
  <c r="I133" i="22"/>
  <c r="J133" i="22" s="1"/>
  <c r="C46" i="22"/>
  <c r="D46" i="22" s="1"/>
  <c r="I12" i="22"/>
  <c r="J12" i="22" s="1"/>
  <c r="I27" i="22"/>
  <c r="J27" i="22" s="1"/>
  <c r="I28" i="22"/>
  <c r="J28" i="22" s="1"/>
  <c r="I46" i="22"/>
  <c r="J46" i="22" s="1"/>
  <c r="I51" i="22"/>
  <c r="J51" i="22" s="1"/>
  <c r="C70" i="22"/>
  <c r="D70" i="22" s="1"/>
  <c r="I85" i="22"/>
  <c r="J85" i="22" s="1"/>
  <c r="I84" i="22"/>
  <c r="J84" i="22" s="1"/>
  <c r="I100" i="22"/>
  <c r="J100" i="22" s="1"/>
  <c r="I117" i="22"/>
  <c r="J117" i="22" s="1"/>
  <c r="I134" i="22"/>
  <c r="J134" i="22" s="1"/>
  <c r="I150" i="22"/>
  <c r="J150" i="22" s="1"/>
  <c r="I42" i="22"/>
  <c r="J42" i="22" s="1"/>
  <c r="C56" i="22"/>
  <c r="D56" i="22" s="1"/>
  <c r="I61" i="22"/>
  <c r="J61" i="22" s="1"/>
  <c r="I118" i="22"/>
  <c r="J118" i="22" s="1"/>
  <c r="C18" i="22"/>
  <c r="D18" i="22" s="1"/>
  <c r="C23" i="22"/>
  <c r="D23" i="22" s="1"/>
  <c r="I32" i="22"/>
  <c r="J32" i="22" s="1"/>
  <c r="C47" i="22"/>
  <c r="D47" i="22" s="1"/>
  <c r="C66" i="22"/>
  <c r="D66" i="22" s="1"/>
  <c r="I102" i="22"/>
  <c r="J102" i="22" s="1"/>
  <c r="I119" i="22"/>
  <c r="J119" i="22" s="1"/>
  <c r="I135" i="22"/>
  <c r="J135" i="22" s="1"/>
  <c r="I152" i="22"/>
  <c r="J152" i="22" s="1"/>
  <c r="I4" i="22"/>
  <c r="J4" i="22" s="1"/>
  <c r="I18" i="22"/>
  <c r="J18" i="22" s="1"/>
  <c r="I23" i="22"/>
  <c r="J23" i="22" s="1"/>
  <c r="C28" i="22"/>
  <c r="D28" i="22" s="1"/>
  <c r="I47" i="22"/>
  <c r="J47" i="22" s="1"/>
  <c r="I48" i="22"/>
  <c r="J48" i="22" s="1"/>
  <c r="I56" i="22"/>
  <c r="J56" i="22" s="1"/>
  <c r="C62" i="22"/>
  <c r="D62" i="22" s="1"/>
  <c r="C71" i="22"/>
  <c r="D71" i="22" s="1"/>
  <c r="C72" i="22"/>
  <c r="D72" i="22" s="1"/>
  <c r="J153" i="22"/>
  <c r="O3" i="22"/>
  <c r="P3" i="22" s="1"/>
  <c r="O31" i="22"/>
  <c r="P31" i="22" s="1"/>
  <c r="O71" i="22"/>
  <c r="P71" i="22" s="1"/>
  <c r="C23" i="21"/>
  <c r="D23" i="21" s="1"/>
  <c r="I39" i="21"/>
  <c r="J39" i="21" s="1"/>
  <c r="I49" i="21"/>
  <c r="J49" i="21" s="1"/>
  <c r="C74" i="21"/>
  <c r="D74" i="21" s="1"/>
  <c r="I9" i="21"/>
  <c r="J9" i="21" s="1"/>
  <c r="C43" i="21"/>
  <c r="D43" i="21" s="1"/>
  <c r="C53" i="21"/>
  <c r="D53" i="21" s="1"/>
  <c r="I69" i="21"/>
  <c r="J69" i="21" s="1"/>
  <c r="C23" i="14"/>
  <c r="D23" i="14" s="1"/>
  <c r="C62" i="14"/>
  <c r="D62" i="14" s="1"/>
  <c r="I118" i="20"/>
  <c r="J118" i="20" s="1"/>
  <c r="C7" i="21"/>
  <c r="D7" i="21" s="1"/>
  <c r="C44" i="21"/>
  <c r="D44" i="21" s="1"/>
  <c r="C67" i="21"/>
  <c r="D67" i="21" s="1"/>
  <c r="I121" i="21"/>
  <c r="J121" i="21" s="1"/>
  <c r="I23" i="18"/>
  <c r="J23" i="18" s="1"/>
  <c r="C41" i="20"/>
  <c r="D41" i="20" s="1"/>
  <c r="C48" i="20"/>
  <c r="D48" i="20" s="1"/>
  <c r="I84" i="20"/>
  <c r="J84" i="20" s="1"/>
  <c r="O53" i="21"/>
  <c r="P53" i="21" s="1"/>
  <c r="O58" i="21"/>
  <c r="P58" i="21" s="1"/>
  <c r="I106" i="21"/>
  <c r="J106" i="21" s="1"/>
  <c r="C45" i="14"/>
  <c r="D45" i="14" s="1"/>
  <c r="C65" i="14"/>
  <c r="D65" i="14" s="1"/>
  <c r="I116" i="14"/>
  <c r="J116" i="14" s="1"/>
  <c r="I46" i="19"/>
  <c r="J46" i="19" s="1"/>
  <c r="I9" i="20"/>
  <c r="J9" i="20" s="1"/>
  <c r="I34" i="20"/>
  <c r="J34" i="20" s="1"/>
  <c r="I48" i="20"/>
  <c r="J48" i="20" s="1"/>
  <c r="C17" i="21"/>
  <c r="D17" i="21" s="1"/>
  <c r="C77" i="21"/>
  <c r="D77" i="21" s="1"/>
  <c r="I107" i="21"/>
  <c r="J107" i="21" s="1"/>
  <c r="I124" i="21"/>
  <c r="J124" i="21" s="1"/>
  <c r="C28" i="19"/>
  <c r="D28" i="19" s="1"/>
  <c r="I65" i="19"/>
  <c r="J65" i="19" s="1"/>
  <c r="I91" i="19"/>
  <c r="J91" i="19" s="1"/>
  <c r="I111" i="19"/>
  <c r="J111" i="19" s="1"/>
  <c r="O34" i="20"/>
  <c r="P34" i="20" s="1"/>
  <c r="I57" i="20"/>
  <c r="J57" i="20" s="1"/>
  <c r="I103" i="20"/>
  <c r="J103" i="20" s="1"/>
  <c r="O72" i="21"/>
  <c r="P72" i="21" s="1"/>
  <c r="I77" i="21"/>
  <c r="J77" i="21" s="1"/>
  <c r="I91" i="21"/>
  <c r="J91" i="21" s="1"/>
  <c r="I141" i="21"/>
  <c r="J141" i="21" s="1"/>
  <c r="I78" i="14"/>
  <c r="J78" i="14" s="1"/>
  <c r="I98" i="14"/>
  <c r="J98" i="14" s="1"/>
  <c r="I106" i="18"/>
  <c r="J106" i="18" s="1"/>
  <c r="C10" i="20"/>
  <c r="D10" i="20" s="1"/>
  <c r="C35" i="20"/>
  <c r="D35" i="20" s="1"/>
  <c r="O17" i="21"/>
  <c r="P17" i="21" s="1"/>
  <c r="I40" i="21"/>
  <c r="J40" i="21" s="1"/>
  <c r="C64" i="21"/>
  <c r="D64" i="21" s="1"/>
  <c r="I139" i="14"/>
  <c r="J139" i="14" s="1"/>
  <c r="C26" i="20"/>
  <c r="D26" i="20" s="1"/>
  <c r="I88" i="20"/>
  <c r="J88" i="20" s="1"/>
  <c r="I106" i="20"/>
  <c r="J106" i="20" s="1"/>
  <c r="I141" i="20"/>
  <c r="J141" i="20" s="1"/>
  <c r="O22" i="21"/>
  <c r="P22" i="21" s="1"/>
  <c r="I31" i="21"/>
  <c r="J31" i="21" s="1"/>
  <c r="O40" i="21"/>
  <c r="P40" i="21" s="1"/>
  <c r="O49" i="21"/>
  <c r="P49" i="21" s="1"/>
  <c r="I126" i="21"/>
  <c r="J126" i="21" s="1"/>
  <c r="C39" i="19"/>
  <c r="D39" i="19" s="1"/>
  <c r="I48" i="19"/>
  <c r="J48" i="19" s="1"/>
  <c r="C43" i="20"/>
  <c r="D43" i="20" s="1"/>
  <c r="C66" i="20"/>
  <c r="D66" i="20" s="1"/>
  <c r="C75" i="20"/>
  <c r="D75" i="20" s="1"/>
  <c r="O8" i="21"/>
  <c r="P8" i="21" s="1"/>
  <c r="C13" i="21"/>
  <c r="D13" i="21" s="1"/>
  <c r="C27" i="21"/>
  <c r="D27" i="21" s="1"/>
  <c r="I45" i="21"/>
  <c r="J45" i="21" s="1"/>
  <c r="C55" i="21"/>
  <c r="D55" i="21" s="1"/>
  <c r="I73" i="21"/>
  <c r="J73" i="21" s="1"/>
  <c r="I91" i="20"/>
  <c r="J91" i="20" s="1"/>
  <c r="I13" i="21"/>
  <c r="J13" i="21" s="1"/>
  <c r="C60" i="21"/>
  <c r="D60" i="21" s="1"/>
  <c r="C31" i="14"/>
  <c r="D31" i="14" s="1"/>
  <c r="C51" i="14"/>
  <c r="D51" i="14" s="1"/>
  <c r="C71" i="14"/>
  <c r="D71" i="14" s="1"/>
  <c r="I105" i="17"/>
  <c r="J105" i="17" s="1"/>
  <c r="C12" i="20"/>
  <c r="D12" i="20" s="1"/>
  <c r="C67" i="20"/>
  <c r="D67" i="20" s="1"/>
  <c r="O27" i="21"/>
  <c r="P27" i="21" s="1"/>
  <c r="I41" i="21"/>
  <c r="J41" i="21" s="1"/>
  <c r="I50" i="21"/>
  <c r="J50" i="21" s="1"/>
  <c r="I60" i="21"/>
  <c r="J60" i="21" s="1"/>
  <c r="C69" i="21"/>
  <c r="D69" i="21" s="1"/>
  <c r="C28" i="20"/>
  <c r="D28" i="20" s="1"/>
  <c r="C60" i="20"/>
  <c r="D60" i="20" s="1"/>
  <c r="C76" i="20"/>
  <c r="D76" i="20" s="1"/>
  <c r="C9" i="21"/>
  <c r="D9" i="21" s="1"/>
  <c r="C14" i="21"/>
  <c r="D14" i="21" s="1"/>
  <c r="O36" i="21"/>
  <c r="P36" i="21" s="1"/>
  <c r="O51" i="21"/>
  <c r="P51" i="21" s="1"/>
  <c r="I96" i="21"/>
  <c r="J96" i="21" s="1"/>
  <c r="I146" i="21"/>
  <c r="J146" i="21" s="1"/>
  <c r="I124" i="14"/>
  <c r="J124" i="14" s="1"/>
  <c r="I28" i="20"/>
  <c r="J28" i="20" s="1"/>
  <c r="I37" i="20"/>
  <c r="J37" i="20" s="1"/>
  <c r="C44" i="20"/>
  <c r="D44" i="20" s="1"/>
  <c r="C37" i="21"/>
  <c r="D37" i="21" s="1"/>
  <c r="C39" i="16"/>
  <c r="D39" i="16" s="1"/>
  <c r="I66" i="18"/>
  <c r="J66" i="18" s="1"/>
  <c r="I44" i="20"/>
  <c r="J44" i="20" s="1"/>
  <c r="I5" i="21"/>
  <c r="J5" i="21" s="1"/>
  <c r="O14" i="21"/>
  <c r="P14" i="21" s="1"/>
  <c r="C24" i="21"/>
  <c r="D24" i="21" s="1"/>
  <c r="I65" i="21"/>
  <c r="J65" i="21" s="1"/>
  <c r="I81" i="21"/>
  <c r="J81" i="21" s="1"/>
  <c r="I98" i="21"/>
  <c r="J98" i="21" s="1"/>
  <c r="I131" i="21"/>
  <c r="J131" i="21" s="1"/>
  <c r="I53" i="21"/>
  <c r="J53" i="21" s="1"/>
  <c r="I32" i="19"/>
  <c r="J32" i="19" s="1"/>
  <c r="I68" i="20"/>
  <c r="J68" i="20" s="1"/>
  <c r="O6" i="21"/>
  <c r="P6" i="21" s="1"/>
  <c r="C15" i="21"/>
  <c r="D15" i="21" s="1"/>
  <c r="O46" i="21"/>
  <c r="P46" i="21" s="1"/>
  <c r="O52" i="21"/>
  <c r="P52" i="21" s="1"/>
  <c r="O66" i="21"/>
  <c r="P66" i="21" s="1"/>
  <c r="C75" i="21"/>
  <c r="D75" i="21" s="1"/>
  <c r="I82" i="21"/>
  <c r="J82" i="21" s="1"/>
  <c r="C69" i="20"/>
  <c r="D69" i="20" s="1"/>
  <c r="O19" i="21"/>
  <c r="P19" i="21" s="1"/>
  <c r="C33" i="21"/>
  <c r="D33" i="21" s="1"/>
  <c r="O42" i="21"/>
  <c r="P42" i="21" s="1"/>
  <c r="I116" i="21"/>
  <c r="J116" i="21" s="1"/>
  <c r="C15" i="20"/>
  <c r="D15" i="20" s="1"/>
  <c r="C39" i="20"/>
  <c r="D39" i="20" s="1"/>
  <c r="I54" i="20"/>
  <c r="J54" i="20" s="1"/>
  <c r="I69" i="20"/>
  <c r="J69" i="20" s="1"/>
  <c r="O24" i="21"/>
  <c r="P24" i="21" s="1"/>
  <c r="I33" i="21"/>
  <c r="J33" i="21" s="1"/>
  <c r="I70" i="21"/>
  <c r="J70" i="21" s="1"/>
  <c r="I45" i="19"/>
  <c r="J45" i="19" s="1"/>
  <c r="C78" i="14"/>
  <c r="I3" i="14" s="1"/>
  <c r="J3" i="14" s="1"/>
  <c r="I4" i="19"/>
  <c r="J4" i="19" s="1"/>
  <c r="C53" i="19"/>
  <c r="D53" i="19" s="1"/>
  <c r="I6" i="20"/>
  <c r="J6" i="20" s="1"/>
  <c r="C31" i="20"/>
  <c r="D31" i="20" s="1"/>
  <c r="I116" i="20"/>
  <c r="J116" i="20" s="1"/>
  <c r="I10" i="21"/>
  <c r="J10" i="21" s="1"/>
  <c r="C29" i="21"/>
  <c r="D29" i="21" s="1"/>
  <c r="O57" i="21"/>
  <c r="P57" i="21" s="1"/>
  <c r="I101" i="21"/>
  <c r="J101" i="21" s="1"/>
  <c r="I151" i="21"/>
  <c r="J151" i="21" s="1"/>
  <c r="I118" i="18"/>
  <c r="J118" i="18" s="1"/>
  <c r="C6" i="19"/>
  <c r="D6" i="19" s="1"/>
  <c r="I24" i="19"/>
  <c r="J24" i="19" s="1"/>
  <c r="O15" i="20"/>
  <c r="P15" i="20" s="1"/>
  <c r="C46" i="20"/>
  <c r="D46" i="20" s="1"/>
  <c r="C55" i="20"/>
  <c r="D55" i="20" s="1"/>
  <c r="O10" i="21"/>
  <c r="P10" i="21" s="1"/>
  <c r="I20" i="21"/>
  <c r="J20" i="21" s="1"/>
  <c r="O39" i="21"/>
  <c r="P39" i="21" s="1"/>
  <c r="C57" i="21"/>
  <c r="D57" i="21" s="1"/>
  <c r="I76" i="17"/>
  <c r="J76" i="17" s="1"/>
  <c r="C26" i="19"/>
  <c r="D26" i="19" s="1"/>
  <c r="C44" i="19"/>
  <c r="D44" i="19" s="1"/>
  <c r="I151" i="20"/>
  <c r="J151" i="20" s="1"/>
  <c r="O21" i="21"/>
  <c r="P21" i="21" s="1"/>
  <c r="C34" i="21"/>
  <c r="D34" i="21" s="1"/>
  <c r="I57" i="21"/>
  <c r="J57" i="21" s="1"/>
  <c r="I86" i="21"/>
  <c r="J86" i="21" s="1"/>
  <c r="I136" i="21"/>
  <c r="J136" i="21" s="1"/>
  <c r="I105" i="21"/>
  <c r="J105" i="21" s="1"/>
  <c r="I104" i="21"/>
  <c r="J104" i="21" s="1"/>
  <c r="C22" i="21"/>
  <c r="D22" i="21" s="1"/>
  <c r="C21" i="21"/>
  <c r="D21" i="21" s="1"/>
  <c r="I88" i="21"/>
  <c r="J88" i="21" s="1"/>
  <c r="I138" i="21"/>
  <c r="J138" i="21" s="1"/>
  <c r="I7" i="21"/>
  <c r="J7" i="21" s="1"/>
  <c r="I8" i="21"/>
  <c r="J8" i="21" s="1"/>
  <c r="I58" i="21"/>
  <c r="J58" i="21" s="1"/>
  <c r="I59" i="21"/>
  <c r="J59" i="21" s="1"/>
  <c r="I67" i="21"/>
  <c r="J67" i="21" s="1"/>
  <c r="I68" i="21"/>
  <c r="J68" i="21" s="1"/>
  <c r="I90" i="21"/>
  <c r="J90" i="21" s="1"/>
  <c r="I89" i="21"/>
  <c r="J89" i="21" s="1"/>
  <c r="I35" i="21"/>
  <c r="J35" i="21" s="1"/>
  <c r="I123" i="21"/>
  <c r="J123" i="21" s="1"/>
  <c r="I108" i="21"/>
  <c r="J108" i="21" s="1"/>
  <c r="I12" i="21"/>
  <c r="J12" i="21" s="1"/>
  <c r="I18" i="21"/>
  <c r="J18" i="21" s="1"/>
  <c r="I17" i="21"/>
  <c r="J17" i="21" s="1"/>
  <c r="I22" i="21"/>
  <c r="J22" i="21" s="1"/>
  <c r="I26" i="21"/>
  <c r="J26" i="21" s="1"/>
  <c r="C31" i="21"/>
  <c r="D31" i="21" s="1"/>
  <c r="C32" i="21"/>
  <c r="D32" i="21" s="1"/>
  <c r="I54" i="21"/>
  <c r="J54" i="21" s="1"/>
  <c r="I92" i="21"/>
  <c r="J92" i="21" s="1"/>
  <c r="I110" i="21"/>
  <c r="J110" i="21" s="1"/>
  <c r="I109" i="21"/>
  <c r="J109" i="21" s="1"/>
  <c r="I125" i="21"/>
  <c r="J125" i="21" s="1"/>
  <c r="I142" i="21"/>
  <c r="J142" i="21" s="1"/>
  <c r="C18" i="21"/>
  <c r="D18" i="21" s="1"/>
  <c r="C45" i="21"/>
  <c r="D45" i="21" s="1"/>
  <c r="C78" i="21"/>
  <c r="I93" i="21"/>
  <c r="J93" i="21" s="1"/>
  <c r="I143" i="21"/>
  <c r="J143" i="21" s="1"/>
  <c r="I4" i="21"/>
  <c r="J4" i="21" s="1"/>
  <c r="C36" i="21"/>
  <c r="D36" i="21" s="1"/>
  <c r="I64" i="21"/>
  <c r="J64" i="21" s="1"/>
  <c r="I78" i="21"/>
  <c r="J78" i="21" s="1"/>
  <c r="I95" i="21"/>
  <c r="J95" i="21" s="1"/>
  <c r="I94" i="21"/>
  <c r="J94" i="21" s="1"/>
  <c r="I27" i="21"/>
  <c r="J27" i="21" s="1"/>
  <c r="I28" i="21"/>
  <c r="J28" i="21" s="1"/>
  <c r="C42" i="21"/>
  <c r="D42" i="21" s="1"/>
  <c r="C41" i="21"/>
  <c r="D41" i="21" s="1"/>
  <c r="C50" i="21"/>
  <c r="D50" i="21" s="1"/>
  <c r="I36" i="21"/>
  <c r="J36" i="21" s="1"/>
  <c r="I80" i="21"/>
  <c r="J80" i="21" s="1"/>
  <c r="I79" i="21"/>
  <c r="J79" i="21" s="1"/>
  <c r="I112" i="21"/>
  <c r="J112" i="21" s="1"/>
  <c r="I129" i="21"/>
  <c r="J129" i="21" s="1"/>
  <c r="I145" i="21"/>
  <c r="J145" i="21" s="1"/>
  <c r="C19" i="21"/>
  <c r="D19" i="21" s="1"/>
  <c r="I23" i="21"/>
  <c r="J23" i="21" s="1"/>
  <c r="C46" i="21"/>
  <c r="D46" i="21" s="1"/>
  <c r="I113" i="21"/>
  <c r="J113" i="21" s="1"/>
  <c r="C5" i="21"/>
  <c r="D5" i="21" s="1"/>
  <c r="I14" i="21"/>
  <c r="J14" i="21" s="1"/>
  <c r="C28" i="21"/>
  <c r="D28" i="21" s="1"/>
  <c r="I32" i="21"/>
  <c r="J32" i="21" s="1"/>
  <c r="C51" i="21"/>
  <c r="D51" i="21" s="1"/>
  <c r="C52" i="21"/>
  <c r="D52" i="21" s="1"/>
  <c r="C65" i="21"/>
  <c r="D65" i="21" s="1"/>
  <c r="I74" i="21"/>
  <c r="J74" i="21" s="1"/>
  <c r="I97" i="21"/>
  <c r="J97" i="21" s="1"/>
  <c r="I115" i="21"/>
  <c r="J115" i="21" s="1"/>
  <c r="I114" i="21"/>
  <c r="J114" i="21" s="1"/>
  <c r="I130" i="21"/>
  <c r="J130" i="21" s="1"/>
  <c r="I147" i="21"/>
  <c r="J147" i="21" s="1"/>
  <c r="I38" i="21"/>
  <c r="J38" i="21" s="1"/>
  <c r="I37" i="21"/>
  <c r="J37" i="21" s="1"/>
  <c r="I46" i="21"/>
  <c r="J46" i="21" s="1"/>
  <c r="I51" i="21"/>
  <c r="J51" i="21" s="1"/>
  <c r="C62" i="21"/>
  <c r="D62" i="21" s="1"/>
  <c r="C61" i="21"/>
  <c r="D61" i="21" s="1"/>
  <c r="I148" i="21"/>
  <c r="J148" i="21" s="1"/>
  <c r="I15" i="21"/>
  <c r="J15" i="21" s="1"/>
  <c r="I24" i="21"/>
  <c r="J24" i="21" s="1"/>
  <c r="C38" i="21"/>
  <c r="D38" i="21" s="1"/>
  <c r="C47" i="21"/>
  <c r="D47" i="21" s="1"/>
  <c r="C70" i="21"/>
  <c r="D70" i="21" s="1"/>
  <c r="I75" i="21"/>
  <c r="J75" i="21" s="1"/>
  <c r="I83" i="21"/>
  <c r="J83" i="21" s="1"/>
  <c r="I133" i="21"/>
  <c r="J133" i="21" s="1"/>
  <c r="C10" i="21"/>
  <c r="D10" i="21" s="1"/>
  <c r="I47" i="21"/>
  <c r="J47" i="21" s="1"/>
  <c r="I48" i="21"/>
  <c r="J48" i="21" s="1"/>
  <c r="I56" i="21"/>
  <c r="J56" i="21" s="1"/>
  <c r="I85" i="21"/>
  <c r="J85" i="21" s="1"/>
  <c r="I84" i="21"/>
  <c r="J84" i="21" s="1"/>
  <c r="I117" i="21"/>
  <c r="J117" i="21" s="1"/>
  <c r="I134" i="21"/>
  <c r="J134" i="21" s="1"/>
  <c r="I150" i="21"/>
  <c r="J150" i="21" s="1"/>
  <c r="I61" i="21"/>
  <c r="J61" i="21" s="1"/>
  <c r="C6" i="21"/>
  <c r="D6" i="21" s="1"/>
  <c r="C20" i="21"/>
  <c r="D20" i="21" s="1"/>
  <c r="C66" i="21"/>
  <c r="D66" i="21" s="1"/>
  <c r="I118" i="21"/>
  <c r="J118" i="21" s="1"/>
  <c r="I42" i="21"/>
  <c r="J42" i="21" s="1"/>
  <c r="C56" i="21"/>
  <c r="D56" i="21" s="1"/>
  <c r="I100" i="21"/>
  <c r="J100" i="21" s="1"/>
  <c r="I99" i="21"/>
  <c r="J99" i="21" s="1"/>
  <c r="I52" i="21"/>
  <c r="J52" i="21" s="1"/>
  <c r="I62" i="21"/>
  <c r="J62" i="21" s="1"/>
  <c r="C71" i="21"/>
  <c r="D71" i="21" s="1"/>
  <c r="C72" i="21"/>
  <c r="D72" i="21" s="1"/>
  <c r="I102" i="21"/>
  <c r="J102" i="21" s="1"/>
  <c r="I119" i="21"/>
  <c r="J119" i="21" s="1"/>
  <c r="I135" i="21"/>
  <c r="J135" i="21" s="1"/>
  <c r="I152" i="21"/>
  <c r="J152" i="21" s="1"/>
  <c r="I6" i="21"/>
  <c r="J6" i="21" s="1"/>
  <c r="C11" i="21"/>
  <c r="D11" i="21" s="1"/>
  <c r="C12" i="21"/>
  <c r="D12" i="21" s="1"/>
  <c r="C25" i="21"/>
  <c r="D25" i="21" s="1"/>
  <c r="C39" i="21"/>
  <c r="D39" i="21" s="1"/>
  <c r="I43" i="21"/>
  <c r="J43" i="21" s="1"/>
  <c r="C48" i="21"/>
  <c r="D48" i="21" s="1"/>
  <c r="I66" i="21"/>
  <c r="J66" i="21" s="1"/>
  <c r="I71" i="21"/>
  <c r="J71" i="21" s="1"/>
  <c r="I103" i="21"/>
  <c r="J103" i="21" s="1"/>
  <c r="I153" i="21"/>
  <c r="O31" i="21"/>
  <c r="P31" i="21" s="1"/>
  <c r="I86" i="20"/>
  <c r="J86" i="20" s="1"/>
  <c r="C27" i="20"/>
  <c r="D27" i="20" s="1"/>
  <c r="I111" i="20"/>
  <c r="J111" i="20" s="1"/>
  <c r="C61" i="20"/>
  <c r="D61" i="20" s="1"/>
  <c r="I22" i="20"/>
  <c r="J22" i="20" s="1"/>
  <c r="C6" i="20"/>
  <c r="D6" i="20" s="1"/>
  <c r="C7" i="20"/>
  <c r="D7" i="20" s="1"/>
  <c r="I23" i="20"/>
  <c r="J23" i="20" s="1"/>
  <c r="I81" i="20"/>
  <c r="J81" i="20" s="1"/>
  <c r="C8" i="20"/>
  <c r="D8" i="20" s="1"/>
  <c r="I101" i="20"/>
  <c r="J101" i="20" s="1"/>
  <c r="I136" i="20"/>
  <c r="J136" i="20" s="1"/>
  <c r="I77" i="20"/>
  <c r="J77" i="20" s="1"/>
  <c r="I147" i="20"/>
  <c r="J147" i="20" s="1"/>
  <c r="O9" i="20"/>
  <c r="P9" i="20" s="1"/>
  <c r="C68" i="20"/>
  <c r="D68" i="20" s="1"/>
  <c r="I82" i="20"/>
  <c r="J82" i="20" s="1"/>
  <c r="I126" i="20"/>
  <c r="J126" i="20" s="1"/>
  <c r="C29" i="19"/>
  <c r="D29" i="19" s="1"/>
  <c r="C9" i="20"/>
  <c r="D9" i="20" s="1"/>
  <c r="I15" i="20"/>
  <c r="J15" i="20" s="1"/>
  <c r="I97" i="20"/>
  <c r="J97" i="20" s="1"/>
  <c r="I82" i="14"/>
  <c r="J82" i="14" s="1"/>
  <c r="I101" i="14"/>
  <c r="J101" i="14" s="1"/>
  <c r="I121" i="18"/>
  <c r="J121" i="18" s="1"/>
  <c r="I82" i="19"/>
  <c r="J82" i="19" s="1"/>
  <c r="I102" i="19"/>
  <c r="J102" i="19" s="1"/>
  <c r="I122" i="19"/>
  <c r="J122" i="19" s="1"/>
  <c r="I142" i="19"/>
  <c r="J142" i="19" s="1"/>
  <c r="C29" i="20"/>
  <c r="D29" i="20" s="1"/>
  <c r="I35" i="20"/>
  <c r="J35" i="20" s="1"/>
  <c r="C49" i="20"/>
  <c r="D49" i="20" s="1"/>
  <c r="I55" i="20"/>
  <c r="J55" i="20" s="1"/>
  <c r="I114" i="20"/>
  <c r="J114" i="20" s="1"/>
  <c r="I128" i="20"/>
  <c r="J128" i="20" s="1"/>
  <c r="I142" i="20"/>
  <c r="J142" i="20" s="1"/>
  <c r="I112" i="20"/>
  <c r="J112" i="20" s="1"/>
  <c r="I62" i="18"/>
  <c r="J62" i="18" s="1"/>
  <c r="I70" i="18"/>
  <c r="J70" i="18" s="1"/>
  <c r="O39" i="19"/>
  <c r="P39" i="19" s="1"/>
  <c r="I123" i="19"/>
  <c r="J123" i="19" s="1"/>
  <c r="I143" i="19"/>
  <c r="J143" i="19" s="1"/>
  <c r="I20" i="20"/>
  <c r="J20" i="20" s="1"/>
  <c r="I64" i="20"/>
  <c r="J64" i="20" s="1"/>
  <c r="O69" i="20"/>
  <c r="P69" i="20" s="1"/>
  <c r="C64" i="20"/>
  <c r="D64" i="20" s="1"/>
  <c r="C17" i="14"/>
  <c r="D17" i="14" s="1"/>
  <c r="I4" i="14"/>
  <c r="J4" i="14" s="1"/>
  <c r="I24" i="14"/>
  <c r="J24" i="14" s="1"/>
  <c r="I44" i="14"/>
  <c r="J44" i="14" s="1"/>
  <c r="I143" i="14"/>
  <c r="J143" i="14" s="1"/>
  <c r="C56" i="16"/>
  <c r="D56" i="16" s="1"/>
  <c r="I132" i="16"/>
  <c r="J132" i="16" s="1"/>
  <c r="C63" i="18"/>
  <c r="D63" i="18" s="1"/>
  <c r="I5" i="19"/>
  <c r="J5" i="19" s="1"/>
  <c r="C14" i="19"/>
  <c r="D14" i="19" s="1"/>
  <c r="C40" i="19"/>
  <c r="D40" i="19" s="1"/>
  <c r="C72" i="19"/>
  <c r="D72" i="19" s="1"/>
  <c r="I5" i="20"/>
  <c r="J5" i="20" s="1"/>
  <c r="O24" i="20"/>
  <c r="P24" i="20" s="1"/>
  <c r="O64" i="20"/>
  <c r="P64" i="20" s="1"/>
  <c r="I4" i="20"/>
  <c r="J4" i="20" s="1"/>
  <c r="I149" i="16"/>
  <c r="J149" i="16" s="1"/>
  <c r="I66" i="16"/>
  <c r="J66" i="16" s="1"/>
  <c r="C54" i="18"/>
  <c r="D54" i="18" s="1"/>
  <c r="I23" i="19"/>
  <c r="J23" i="19" s="1"/>
  <c r="C48" i="19"/>
  <c r="D48" i="19" s="1"/>
  <c r="I60" i="20"/>
  <c r="J60" i="20" s="1"/>
  <c r="I87" i="20"/>
  <c r="J87" i="20" s="1"/>
  <c r="I127" i="20"/>
  <c r="J127" i="20" s="1"/>
  <c r="I72" i="19"/>
  <c r="J72" i="19" s="1"/>
  <c r="I40" i="20"/>
  <c r="J40" i="20" s="1"/>
  <c r="I102" i="20"/>
  <c r="J102" i="20" s="1"/>
  <c r="I146" i="20"/>
  <c r="J146" i="20" s="1"/>
  <c r="C21" i="20"/>
  <c r="D21" i="20" s="1"/>
  <c r="I25" i="20"/>
  <c r="J25" i="20" s="1"/>
  <c r="I65" i="20"/>
  <c r="J65" i="20" s="1"/>
  <c r="I129" i="14"/>
  <c r="J129" i="14" s="1"/>
  <c r="C47" i="18"/>
  <c r="D47" i="18" s="1"/>
  <c r="C8" i="19"/>
  <c r="D8" i="19" s="1"/>
  <c r="C34" i="19"/>
  <c r="D34" i="19" s="1"/>
  <c r="I58" i="19"/>
  <c r="J58" i="19" s="1"/>
  <c r="O32" i="20"/>
  <c r="P32" i="20" s="1"/>
  <c r="C64" i="14"/>
  <c r="D64" i="14" s="1"/>
  <c r="C10" i="18"/>
  <c r="D10" i="18" s="1"/>
  <c r="C57" i="18"/>
  <c r="D57" i="18" s="1"/>
  <c r="I8" i="19"/>
  <c r="J8" i="19" s="1"/>
  <c r="I131" i="19"/>
  <c r="J131" i="19" s="1"/>
  <c r="I151" i="19"/>
  <c r="J151" i="19" s="1"/>
  <c r="C22" i="20"/>
  <c r="D22" i="20" s="1"/>
  <c r="I121" i="20"/>
  <c r="J121" i="20" s="1"/>
  <c r="C70" i="16"/>
  <c r="D70" i="16" s="1"/>
  <c r="C48" i="18"/>
  <c r="D48" i="18" s="1"/>
  <c r="I26" i="19"/>
  <c r="J26" i="19" s="1"/>
  <c r="C59" i="19"/>
  <c r="D59" i="19" s="1"/>
  <c r="O67" i="19"/>
  <c r="P67" i="19" s="1"/>
  <c r="O57" i="20"/>
  <c r="P57" i="20" s="1"/>
  <c r="O61" i="20"/>
  <c r="P61" i="20" s="1"/>
  <c r="O72" i="20"/>
  <c r="P72" i="20" s="1"/>
  <c r="I92" i="20"/>
  <c r="J92" i="20" s="1"/>
  <c r="I45" i="20"/>
  <c r="J45" i="20" s="1"/>
  <c r="C26" i="14"/>
  <c r="D26" i="14" s="1"/>
  <c r="C46" i="14"/>
  <c r="D46" i="14" s="1"/>
  <c r="C66" i="14"/>
  <c r="D66" i="14" s="1"/>
  <c r="I53" i="14"/>
  <c r="J53" i="14" s="1"/>
  <c r="I112" i="14"/>
  <c r="J112" i="14" s="1"/>
  <c r="I132" i="14"/>
  <c r="J132" i="14" s="1"/>
  <c r="C36" i="17"/>
  <c r="D36" i="17" s="1"/>
  <c r="C18" i="19"/>
  <c r="D18" i="19" s="1"/>
  <c r="C67" i="19"/>
  <c r="D67" i="19" s="1"/>
  <c r="O13" i="20"/>
  <c r="P13" i="20" s="1"/>
  <c r="I18" i="20"/>
  <c r="J18" i="20" s="1"/>
  <c r="O46" i="20"/>
  <c r="P46" i="20" s="1"/>
  <c r="C62" i="20"/>
  <c r="D62" i="20" s="1"/>
  <c r="C73" i="20"/>
  <c r="D73" i="20" s="1"/>
  <c r="I79" i="20"/>
  <c r="J79" i="20" s="1"/>
  <c r="I93" i="20"/>
  <c r="J93" i="20" s="1"/>
  <c r="I107" i="20"/>
  <c r="J107" i="20" s="1"/>
  <c r="I14" i="14"/>
  <c r="J14" i="14" s="1"/>
  <c r="I152" i="14"/>
  <c r="J152" i="14" s="1"/>
  <c r="C40" i="18"/>
  <c r="D40" i="18" s="1"/>
  <c r="I18" i="19"/>
  <c r="J18" i="19" s="1"/>
  <c r="C36" i="19"/>
  <c r="D36" i="19" s="1"/>
  <c r="I94" i="19"/>
  <c r="J94" i="19" s="1"/>
  <c r="I114" i="19"/>
  <c r="J114" i="19" s="1"/>
  <c r="I134" i="19"/>
  <c r="J134" i="19" s="1"/>
  <c r="O7" i="20"/>
  <c r="P7" i="20" s="1"/>
  <c r="O18" i="20"/>
  <c r="P18" i="20" s="1"/>
  <c r="C42" i="20"/>
  <c r="D42" i="20" s="1"/>
  <c r="I122" i="20"/>
  <c r="J122" i="20" s="1"/>
  <c r="I95" i="14"/>
  <c r="J95" i="14" s="1"/>
  <c r="C19" i="20"/>
  <c r="D19" i="20" s="1"/>
  <c r="I33" i="20"/>
  <c r="J33" i="20" s="1"/>
  <c r="C47" i="20"/>
  <c r="D47" i="20" s="1"/>
  <c r="I53" i="20"/>
  <c r="J53" i="20" s="1"/>
  <c r="I58" i="20"/>
  <c r="J58" i="20" s="1"/>
  <c r="I67" i="20"/>
  <c r="J67" i="20" s="1"/>
  <c r="I109" i="20"/>
  <c r="J109" i="20" s="1"/>
  <c r="I123" i="20"/>
  <c r="J123" i="20" s="1"/>
  <c r="I137" i="20"/>
  <c r="J137" i="20" s="1"/>
  <c r="I36" i="14"/>
  <c r="J36" i="14" s="1"/>
  <c r="I56" i="14"/>
  <c r="J56" i="14" s="1"/>
  <c r="I76" i="14"/>
  <c r="J76" i="14" s="1"/>
  <c r="I133" i="17"/>
  <c r="J133" i="17" s="1"/>
  <c r="C19" i="19"/>
  <c r="D19" i="19" s="1"/>
  <c r="C68" i="19"/>
  <c r="D68" i="19" s="1"/>
  <c r="I77" i="19"/>
  <c r="J77" i="19" s="1"/>
  <c r="I96" i="19"/>
  <c r="J96" i="19" s="1"/>
  <c r="I116" i="19"/>
  <c r="J116" i="19" s="1"/>
  <c r="I136" i="19"/>
  <c r="J136" i="19" s="1"/>
  <c r="O33" i="20"/>
  <c r="P33" i="20" s="1"/>
  <c r="I38" i="20"/>
  <c r="J38" i="20" s="1"/>
  <c r="I96" i="20"/>
  <c r="J96" i="20" s="1"/>
  <c r="I152" i="20"/>
  <c r="J152" i="20" s="1"/>
  <c r="I17" i="20"/>
  <c r="J17" i="20" s="1"/>
  <c r="I148" i="14"/>
  <c r="J148" i="14" s="1"/>
  <c r="O27" i="20"/>
  <c r="P27" i="20" s="1"/>
  <c r="O38" i="20"/>
  <c r="P38" i="20" s="1"/>
  <c r="C59" i="20"/>
  <c r="D59" i="20" s="1"/>
  <c r="I83" i="20"/>
  <c r="J83" i="20" s="1"/>
  <c r="I99" i="20"/>
  <c r="J99" i="20" s="1"/>
  <c r="I113" i="20"/>
  <c r="J113" i="20" s="1"/>
  <c r="C16" i="20"/>
  <c r="D16" i="20" s="1"/>
  <c r="C5" i="20"/>
  <c r="D5" i="20" s="1"/>
  <c r="I10" i="20"/>
  <c r="J10" i="20" s="1"/>
  <c r="I29" i="20"/>
  <c r="J29" i="20" s="1"/>
  <c r="I49" i="20"/>
  <c r="J49" i="20" s="1"/>
  <c r="I129" i="20"/>
  <c r="J129" i="20" s="1"/>
  <c r="I143" i="20"/>
  <c r="J143" i="20" s="1"/>
  <c r="I16" i="20"/>
  <c r="J16" i="20" s="1"/>
  <c r="C70" i="20"/>
  <c r="D70" i="20" s="1"/>
  <c r="I144" i="20"/>
  <c r="J144" i="20" s="1"/>
  <c r="C11" i="20"/>
  <c r="D11" i="20" s="1"/>
  <c r="C30" i="20"/>
  <c r="D30" i="20" s="1"/>
  <c r="C36" i="20"/>
  <c r="D36" i="20" s="1"/>
  <c r="C40" i="20"/>
  <c r="D40" i="20" s="1"/>
  <c r="C50" i="20"/>
  <c r="D50" i="20" s="1"/>
  <c r="C56" i="20"/>
  <c r="D56" i="20" s="1"/>
  <c r="I70" i="20"/>
  <c r="J70" i="20" s="1"/>
  <c r="I76" i="20"/>
  <c r="J76" i="20" s="1"/>
  <c r="I11" i="20"/>
  <c r="J11" i="20" s="1"/>
  <c r="C17" i="20"/>
  <c r="D17" i="20" s="1"/>
  <c r="C25" i="20"/>
  <c r="D25" i="20" s="1"/>
  <c r="I30" i="20"/>
  <c r="J30" i="20" s="1"/>
  <c r="I50" i="20"/>
  <c r="J50" i="20" s="1"/>
  <c r="C65" i="20"/>
  <c r="D65" i="20" s="1"/>
  <c r="I36" i="20"/>
  <c r="J36" i="20" s="1"/>
  <c r="C45" i="20"/>
  <c r="D45" i="20" s="1"/>
  <c r="I56" i="20"/>
  <c r="J56" i="20" s="1"/>
  <c r="C77" i="20"/>
  <c r="D77" i="20" s="1"/>
  <c r="I12" i="20"/>
  <c r="J12" i="20" s="1"/>
  <c r="I21" i="20"/>
  <c r="J21" i="20" s="1"/>
  <c r="I31" i="20"/>
  <c r="J31" i="20" s="1"/>
  <c r="C37" i="20"/>
  <c r="D37" i="20" s="1"/>
  <c r="I51" i="20"/>
  <c r="J51" i="20" s="1"/>
  <c r="C57" i="20"/>
  <c r="D57" i="20" s="1"/>
  <c r="I119" i="20"/>
  <c r="J119" i="20" s="1"/>
  <c r="I133" i="20"/>
  <c r="J133" i="20" s="1"/>
  <c r="C72" i="20"/>
  <c r="D72" i="20" s="1"/>
  <c r="C78" i="20"/>
  <c r="I134" i="20"/>
  <c r="J134" i="20" s="1"/>
  <c r="I148" i="20"/>
  <c r="J148" i="20" s="1"/>
  <c r="C13" i="20"/>
  <c r="D13" i="20" s="1"/>
  <c r="I26" i="20"/>
  <c r="J26" i="20" s="1"/>
  <c r="C32" i="20"/>
  <c r="D32" i="20" s="1"/>
  <c r="C52" i="20"/>
  <c r="D52" i="20" s="1"/>
  <c r="I61" i="20"/>
  <c r="J61" i="20" s="1"/>
  <c r="I66" i="20"/>
  <c r="J66" i="20" s="1"/>
  <c r="I72" i="20"/>
  <c r="J72" i="20" s="1"/>
  <c r="I78" i="20"/>
  <c r="J78" i="20" s="1"/>
  <c r="I149" i="20"/>
  <c r="J149" i="20" s="1"/>
  <c r="I13" i="20"/>
  <c r="J13" i="20" s="1"/>
  <c r="C18" i="20"/>
  <c r="D18" i="20" s="1"/>
  <c r="I32" i="20"/>
  <c r="J32" i="20" s="1"/>
  <c r="I41" i="20"/>
  <c r="J41" i="20" s="1"/>
  <c r="I46" i="20"/>
  <c r="J46" i="20" s="1"/>
  <c r="I52" i="20"/>
  <c r="J52" i="20" s="1"/>
  <c r="I7" i="20"/>
  <c r="J7" i="20" s="1"/>
  <c r="C14" i="20"/>
  <c r="D14" i="20" s="1"/>
  <c r="C33" i="20"/>
  <c r="D33" i="20" s="1"/>
  <c r="C53" i="20"/>
  <c r="D53" i="20" s="1"/>
  <c r="C58" i="20"/>
  <c r="D58" i="20" s="1"/>
  <c r="I62" i="20"/>
  <c r="J62" i="20" s="1"/>
  <c r="I63" i="20"/>
  <c r="J63" i="20" s="1"/>
  <c r="I73" i="20"/>
  <c r="J73" i="20" s="1"/>
  <c r="I94" i="20"/>
  <c r="J94" i="20" s="1"/>
  <c r="I108" i="20"/>
  <c r="J108" i="20" s="1"/>
  <c r="C38" i="20"/>
  <c r="D38" i="20" s="1"/>
  <c r="I42" i="20"/>
  <c r="J42" i="20" s="1"/>
  <c r="I43" i="20"/>
  <c r="J43" i="20" s="1"/>
  <c r="I14" i="20"/>
  <c r="J14" i="20" s="1"/>
  <c r="C23" i="20"/>
  <c r="D23" i="20" s="1"/>
  <c r="I27" i="20"/>
  <c r="J27" i="20" s="1"/>
  <c r="I47" i="20"/>
  <c r="J47" i="20" s="1"/>
  <c r="C74" i="20"/>
  <c r="D74" i="20" s="1"/>
  <c r="I124" i="20"/>
  <c r="J124" i="20" s="1"/>
  <c r="I138" i="20"/>
  <c r="J138" i="20" s="1"/>
  <c r="I8" i="20"/>
  <c r="J8" i="20" s="1"/>
  <c r="I19" i="20"/>
  <c r="J19" i="20" s="1"/>
  <c r="C34" i="20"/>
  <c r="D34" i="20" s="1"/>
  <c r="C54" i="20"/>
  <c r="D54" i="20" s="1"/>
  <c r="C63" i="20"/>
  <c r="D63" i="20" s="1"/>
  <c r="I74" i="20"/>
  <c r="J74" i="20" s="1"/>
  <c r="I139" i="20"/>
  <c r="J139" i="20" s="1"/>
  <c r="I153" i="20"/>
  <c r="I80" i="20"/>
  <c r="J80" i="20" s="1"/>
  <c r="I85" i="20"/>
  <c r="J85" i="20" s="1"/>
  <c r="I90" i="20"/>
  <c r="J90" i="20" s="1"/>
  <c r="I95" i="20"/>
  <c r="J95" i="20" s="1"/>
  <c r="I100" i="20"/>
  <c r="J100" i="20" s="1"/>
  <c r="I105" i="20"/>
  <c r="J105" i="20" s="1"/>
  <c r="I110" i="20"/>
  <c r="J110" i="20" s="1"/>
  <c r="I115" i="20"/>
  <c r="J115" i="20" s="1"/>
  <c r="I120" i="20"/>
  <c r="J120" i="20" s="1"/>
  <c r="I125" i="20"/>
  <c r="J125" i="20" s="1"/>
  <c r="I130" i="20"/>
  <c r="J130" i="20" s="1"/>
  <c r="I135" i="20"/>
  <c r="J135" i="20" s="1"/>
  <c r="I140" i="20"/>
  <c r="J140" i="20" s="1"/>
  <c r="I145" i="20"/>
  <c r="J145" i="20" s="1"/>
  <c r="I150" i="20"/>
  <c r="J150" i="20" s="1"/>
  <c r="C46" i="19"/>
  <c r="D46" i="19" s="1"/>
  <c r="C45" i="19"/>
  <c r="D45" i="19" s="1"/>
  <c r="I62" i="19"/>
  <c r="J62" i="19" s="1"/>
  <c r="I61" i="19"/>
  <c r="J61" i="19" s="1"/>
  <c r="C69" i="19"/>
  <c r="D69" i="19" s="1"/>
  <c r="C70" i="19"/>
  <c r="D70" i="19" s="1"/>
  <c r="I6" i="19"/>
  <c r="J6" i="19" s="1"/>
  <c r="C66" i="19"/>
  <c r="D66" i="19" s="1"/>
  <c r="C65" i="19"/>
  <c r="D65" i="19" s="1"/>
  <c r="C49" i="19"/>
  <c r="D49" i="19" s="1"/>
  <c r="C50" i="19"/>
  <c r="D50" i="19" s="1"/>
  <c r="I66" i="19"/>
  <c r="J66" i="19" s="1"/>
  <c r="C9" i="19"/>
  <c r="D9" i="19" s="1"/>
  <c r="I7" i="18"/>
  <c r="J7" i="18" s="1"/>
  <c r="I47" i="18"/>
  <c r="J47" i="18" s="1"/>
  <c r="I74" i="14"/>
  <c r="J74" i="14" s="1"/>
  <c r="I133" i="14"/>
  <c r="J133" i="14" s="1"/>
  <c r="I151" i="14"/>
  <c r="J151" i="14" s="1"/>
  <c r="I110" i="17"/>
  <c r="J110" i="17" s="1"/>
  <c r="I95" i="19"/>
  <c r="J95" i="19" s="1"/>
  <c r="I115" i="19"/>
  <c r="J115" i="19" s="1"/>
  <c r="I135" i="19"/>
  <c r="J135" i="19" s="1"/>
  <c r="C77" i="14"/>
  <c r="D77" i="14" s="1"/>
  <c r="I31" i="17"/>
  <c r="J31" i="17" s="1"/>
  <c r="I18" i="18"/>
  <c r="J18" i="18" s="1"/>
  <c r="I139" i="18"/>
  <c r="J139" i="18" s="1"/>
  <c r="I19" i="19"/>
  <c r="J19" i="19" s="1"/>
  <c r="I34" i="19"/>
  <c r="J34" i="19" s="1"/>
  <c r="I59" i="19"/>
  <c r="J59" i="19" s="1"/>
  <c r="O63" i="19"/>
  <c r="P63" i="19" s="1"/>
  <c r="C73" i="19"/>
  <c r="D73" i="19" s="1"/>
  <c r="I19" i="16"/>
  <c r="J19" i="16" s="1"/>
  <c r="C19" i="18"/>
  <c r="D19" i="18" s="1"/>
  <c r="I25" i="18"/>
  <c r="J25" i="18" s="1"/>
  <c r="I8" i="18"/>
  <c r="J8" i="18" s="1"/>
  <c r="I153" i="14"/>
  <c r="J153" i="14" s="1"/>
  <c r="C58" i="14"/>
  <c r="D58" i="14" s="1"/>
  <c r="I79" i="14"/>
  <c r="J79" i="14" s="1"/>
  <c r="I99" i="14"/>
  <c r="J99" i="14" s="1"/>
  <c r="I58" i="18"/>
  <c r="J58" i="18" s="1"/>
  <c r="O4" i="19"/>
  <c r="P4" i="19" s="1"/>
  <c r="I14" i="19"/>
  <c r="J14" i="19" s="1"/>
  <c r="I29" i="19"/>
  <c r="J29" i="19" s="1"/>
  <c r="I54" i="19"/>
  <c r="J54" i="19" s="1"/>
  <c r="C19" i="14"/>
  <c r="D19" i="14" s="1"/>
  <c r="C39" i="14"/>
  <c r="D39" i="14" s="1"/>
  <c r="C59" i="14"/>
  <c r="D59" i="14" s="1"/>
  <c r="I22" i="14"/>
  <c r="J22" i="14" s="1"/>
  <c r="I42" i="14"/>
  <c r="J42" i="14" s="1"/>
  <c r="I41" i="17"/>
  <c r="J41" i="17" s="1"/>
  <c r="I104" i="18"/>
  <c r="J104" i="18" s="1"/>
  <c r="O29" i="19"/>
  <c r="P29" i="19" s="1"/>
  <c r="C41" i="14"/>
  <c r="D41" i="14" s="1"/>
  <c r="C43" i="18"/>
  <c r="D43" i="18" s="1"/>
  <c r="C15" i="19"/>
  <c r="D15" i="19" s="1"/>
  <c r="C55" i="19"/>
  <c r="D55" i="19" s="1"/>
  <c r="I43" i="18"/>
  <c r="J43" i="18" s="1"/>
  <c r="I25" i="19"/>
  <c r="J25" i="19" s="1"/>
  <c r="C30" i="19"/>
  <c r="D30" i="19" s="1"/>
  <c r="I42" i="19"/>
  <c r="J42" i="19" s="1"/>
  <c r="O60" i="19"/>
  <c r="P60" i="19" s="1"/>
  <c r="I74" i="19"/>
  <c r="J74" i="19" s="1"/>
  <c r="C42" i="14"/>
  <c r="D42" i="14" s="1"/>
  <c r="I5" i="14"/>
  <c r="J5" i="14" s="1"/>
  <c r="I63" i="14"/>
  <c r="J63" i="14" s="1"/>
  <c r="I138" i="17"/>
  <c r="J138" i="17" s="1"/>
  <c r="C12" i="18"/>
  <c r="D12" i="18" s="1"/>
  <c r="I126" i="18"/>
  <c r="J126" i="18" s="1"/>
  <c r="I30" i="19"/>
  <c r="J30" i="19" s="1"/>
  <c r="C61" i="19"/>
  <c r="D61" i="19" s="1"/>
  <c r="I84" i="19"/>
  <c r="J84" i="19" s="1"/>
  <c r="I104" i="19"/>
  <c r="J104" i="19" s="1"/>
  <c r="I124" i="19"/>
  <c r="J124" i="19" s="1"/>
  <c r="I144" i="19"/>
  <c r="J144" i="19" s="1"/>
  <c r="C78" i="19"/>
  <c r="I3" i="19" s="1"/>
  <c r="J3" i="19" s="1"/>
  <c r="I12" i="18"/>
  <c r="J12" i="18" s="1"/>
  <c r="I51" i="18"/>
  <c r="J51" i="18" s="1"/>
  <c r="I89" i="18"/>
  <c r="J89" i="18" s="1"/>
  <c r="I146" i="18"/>
  <c r="J146" i="18" s="1"/>
  <c r="I10" i="19"/>
  <c r="J10" i="19" s="1"/>
  <c r="I36" i="19"/>
  <c r="J36" i="19" s="1"/>
  <c r="I50" i="19"/>
  <c r="J50" i="19" s="1"/>
  <c r="I69" i="19"/>
  <c r="J69" i="19" s="1"/>
  <c r="C75" i="19"/>
  <c r="D75" i="19" s="1"/>
  <c r="I39" i="19"/>
  <c r="J39" i="19" s="1"/>
  <c r="I120" i="17"/>
  <c r="J120" i="17" s="1"/>
  <c r="O4" i="18"/>
  <c r="P4" i="18" s="1"/>
  <c r="I44" i="18"/>
  <c r="J44" i="18" s="1"/>
  <c r="C52" i="18"/>
  <c r="D52" i="18" s="1"/>
  <c r="I67" i="18"/>
  <c r="J67" i="18" s="1"/>
  <c r="O10" i="19"/>
  <c r="P10" i="19" s="1"/>
  <c r="C31" i="19"/>
  <c r="D31" i="19" s="1"/>
  <c r="I18" i="14"/>
  <c r="J18" i="14" s="1"/>
  <c r="I52" i="18"/>
  <c r="J52" i="18" s="1"/>
  <c r="C76" i="18"/>
  <c r="D76" i="18" s="1"/>
  <c r="C11" i="19"/>
  <c r="D11" i="19" s="1"/>
  <c r="C51" i="19"/>
  <c r="D51" i="19" s="1"/>
  <c r="I37" i="18"/>
  <c r="J37" i="18" s="1"/>
  <c r="C68" i="18"/>
  <c r="D68" i="18" s="1"/>
  <c r="O62" i="19"/>
  <c r="P62" i="19" s="1"/>
  <c r="I57" i="14"/>
  <c r="J57" i="14" s="1"/>
  <c r="C38" i="18"/>
  <c r="D38" i="18" s="1"/>
  <c r="I68" i="18"/>
  <c r="J68" i="18" s="1"/>
  <c r="C63" i="19"/>
  <c r="D63" i="19" s="1"/>
  <c r="I51" i="14"/>
  <c r="J51" i="14" s="1"/>
  <c r="C77" i="18"/>
  <c r="D77" i="18" s="1"/>
  <c r="I22" i="19"/>
  <c r="J22" i="19" s="1"/>
  <c r="C27" i="19"/>
  <c r="D27" i="19" s="1"/>
  <c r="O42" i="19"/>
  <c r="P42" i="19" s="1"/>
  <c r="O9" i="19"/>
  <c r="P9" i="19" s="1"/>
  <c r="I63" i="19"/>
  <c r="J63" i="19" s="1"/>
  <c r="C23" i="18"/>
  <c r="D23" i="18" s="1"/>
  <c r="I77" i="18"/>
  <c r="J77" i="18" s="1"/>
  <c r="C7" i="19"/>
  <c r="D7" i="19" s="1"/>
  <c r="I17" i="19"/>
  <c r="J17" i="19" s="1"/>
  <c r="I27" i="19"/>
  <c r="J27" i="19" s="1"/>
  <c r="C38" i="19"/>
  <c r="D38" i="19" s="1"/>
  <c r="C47" i="19"/>
  <c r="D47" i="19" s="1"/>
  <c r="I57" i="19"/>
  <c r="J57" i="19" s="1"/>
  <c r="C71" i="19"/>
  <c r="D71" i="19" s="1"/>
  <c r="I67" i="19"/>
  <c r="J67" i="19" s="1"/>
  <c r="I38" i="14"/>
  <c r="J38" i="14" s="1"/>
  <c r="O57" i="17"/>
  <c r="P57" i="17" s="1"/>
  <c r="O17" i="17"/>
  <c r="P17" i="17" s="1"/>
  <c r="I96" i="18"/>
  <c r="J96" i="18" s="1"/>
  <c r="I7" i="19"/>
  <c r="J7" i="19" s="1"/>
  <c r="O18" i="19"/>
  <c r="P18" i="19" s="1"/>
  <c r="O28" i="19"/>
  <c r="P28" i="19" s="1"/>
  <c r="C43" i="19"/>
  <c r="D43" i="19" s="1"/>
  <c r="I47" i="19"/>
  <c r="J47" i="19" s="1"/>
  <c r="I78" i="19"/>
  <c r="J78" i="19" s="1"/>
  <c r="C20" i="17"/>
  <c r="D20" i="17" s="1"/>
  <c r="C56" i="17"/>
  <c r="D56" i="17" s="1"/>
  <c r="I146" i="17"/>
  <c r="J146" i="17" s="1"/>
  <c r="C32" i="18"/>
  <c r="D32" i="18" s="1"/>
  <c r="C70" i="18"/>
  <c r="D70" i="18" s="1"/>
  <c r="C23" i="19"/>
  <c r="D23" i="19" s="1"/>
  <c r="I43" i="19"/>
  <c r="J43" i="19" s="1"/>
  <c r="O53" i="19"/>
  <c r="P53" i="19" s="1"/>
  <c r="C58" i="19"/>
  <c r="D58" i="19" s="1"/>
  <c r="O71" i="19"/>
  <c r="P71" i="19" s="1"/>
  <c r="I105" i="19"/>
  <c r="J105" i="19" s="1"/>
  <c r="C4" i="19"/>
  <c r="D4" i="19" s="1"/>
  <c r="C5" i="19"/>
  <c r="D5" i="19" s="1"/>
  <c r="I118" i="19"/>
  <c r="J118" i="19" s="1"/>
  <c r="I40" i="19"/>
  <c r="J40" i="19" s="1"/>
  <c r="I41" i="19"/>
  <c r="J41" i="19" s="1"/>
  <c r="I79" i="19"/>
  <c r="J79" i="19" s="1"/>
  <c r="I99" i="19"/>
  <c r="J99" i="19" s="1"/>
  <c r="I119" i="19"/>
  <c r="J119" i="19" s="1"/>
  <c r="I139" i="19"/>
  <c r="J139" i="19" s="1"/>
  <c r="I98" i="19"/>
  <c r="J98" i="19" s="1"/>
  <c r="I117" i="19"/>
  <c r="J117" i="19" s="1"/>
  <c r="I138" i="19"/>
  <c r="J138" i="19" s="1"/>
  <c r="C20" i="19"/>
  <c r="D20" i="19" s="1"/>
  <c r="C35" i="19"/>
  <c r="D35" i="19" s="1"/>
  <c r="C60" i="19"/>
  <c r="D60" i="19" s="1"/>
  <c r="C64" i="19"/>
  <c r="D64" i="19" s="1"/>
  <c r="I68" i="19"/>
  <c r="J68" i="19" s="1"/>
  <c r="I80" i="19"/>
  <c r="J80" i="19" s="1"/>
  <c r="I100" i="19"/>
  <c r="J100" i="19" s="1"/>
  <c r="I120" i="19"/>
  <c r="J120" i="19" s="1"/>
  <c r="I140" i="19"/>
  <c r="J140" i="19" s="1"/>
  <c r="I9" i="19"/>
  <c r="J9" i="19" s="1"/>
  <c r="I20" i="19"/>
  <c r="J20" i="19" s="1"/>
  <c r="I21" i="19"/>
  <c r="J21" i="19" s="1"/>
  <c r="I35" i="19"/>
  <c r="J35" i="19" s="1"/>
  <c r="C41" i="19"/>
  <c r="D41" i="19" s="1"/>
  <c r="I49" i="19"/>
  <c r="J49" i="19" s="1"/>
  <c r="I81" i="19"/>
  <c r="J81" i="19" s="1"/>
  <c r="I101" i="19"/>
  <c r="J101" i="19" s="1"/>
  <c r="I121" i="19"/>
  <c r="J121" i="19" s="1"/>
  <c r="I141" i="19"/>
  <c r="J141" i="19" s="1"/>
  <c r="I60" i="19"/>
  <c r="J60" i="19" s="1"/>
  <c r="I64" i="19"/>
  <c r="J64" i="19" s="1"/>
  <c r="C74" i="19"/>
  <c r="D74" i="19" s="1"/>
  <c r="I15" i="19"/>
  <c r="J15" i="19" s="1"/>
  <c r="C21" i="19"/>
  <c r="D21" i="19" s="1"/>
  <c r="I55" i="19"/>
  <c r="J55" i="19" s="1"/>
  <c r="I145" i="19"/>
  <c r="J145" i="19" s="1"/>
  <c r="C56" i="19"/>
  <c r="D56" i="19" s="1"/>
  <c r="I75" i="19"/>
  <c r="J75" i="19" s="1"/>
  <c r="I86" i="19"/>
  <c r="J86" i="19" s="1"/>
  <c r="I106" i="19"/>
  <c r="J106" i="19" s="1"/>
  <c r="I126" i="19"/>
  <c r="J126" i="19" s="1"/>
  <c r="I146" i="19"/>
  <c r="J146" i="19" s="1"/>
  <c r="I137" i="19"/>
  <c r="J137" i="19" s="1"/>
  <c r="I16" i="19"/>
  <c r="J16" i="19" s="1"/>
  <c r="I31" i="19"/>
  <c r="J31" i="19" s="1"/>
  <c r="C42" i="19"/>
  <c r="D42" i="19" s="1"/>
  <c r="I56" i="19"/>
  <c r="J56" i="19" s="1"/>
  <c r="I87" i="19"/>
  <c r="J87" i="19" s="1"/>
  <c r="I107" i="19"/>
  <c r="J107" i="19" s="1"/>
  <c r="I127" i="19"/>
  <c r="J127" i="19" s="1"/>
  <c r="I147" i="19"/>
  <c r="J147" i="19" s="1"/>
  <c r="I11" i="19"/>
  <c r="J11" i="19" s="1"/>
  <c r="I51" i="19"/>
  <c r="J51" i="19" s="1"/>
  <c r="I88" i="19"/>
  <c r="J88" i="19" s="1"/>
  <c r="I108" i="19"/>
  <c r="J108" i="19" s="1"/>
  <c r="I128" i="19"/>
  <c r="J128" i="19" s="1"/>
  <c r="I148" i="19"/>
  <c r="J148" i="19" s="1"/>
  <c r="I97" i="19"/>
  <c r="J97" i="19" s="1"/>
  <c r="C22" i="19"/>
  <c r="D22" i="19" s="1"/>
  <c r="C32" i="19"/>
  <c r="D32" i="19" s="1"/>
  <c r="I37" i="19"/>
  <c r="J37" i="19" s="1"/>
  <c r="I70" i="19"/>
  <c r="J70" i="19" s="1"/>
  <c r="C76" i="19"/>
  <c r="D76" i="19" s="1"/>
  <c r="I89" i="19"/>
  <c r="J89" i="19" s="1"/>
  <c r="I109" i="19"/>
  <c r="J109" i="19" s="1"/>
  <c r="I129" i="19"/>
  <c r="J129" i="19" s="1"/>
  <c r="I149" i="19"/>
  <c r="J149" i="19" s="1"/>
  <c r="C16" i="19"/>
  <c r="D16" i="19" s="1"/>
  <c r="C12" i="19"/>
  <c r="D12" i="19" s="1"/>
  <c r="C52" i="19"/>
  <c r="D52" i="19" s="1"/>
  <c r="I76" i="19"/>
  <c r="J76" i="19" s="1"/>
  <c r="I90" i="19"/>
  <c r="J90" i="19" s="1"/>
  <c r="I110" i="19"/>
  <c r="J110" i="19" s="1"/>
  <c r="I130" i="19"/>
  <c r="J130" i="19" s="1"/>
  <c r="I150" i="19"/>
  <c r="J150" i="19" s="1"/>
  <c r="I125" i="19"/>
  <c r="J125" i="19" s="1"/>
  <c r="C62" i="19"/>
  <c r="D62" i="19" s="1"/>
  <c r="C24" i="19"/>
  <c r="D24" i="19" s="1"/>
  <c r="C25" i="19"/>
  <c r="D25" i="19" s="1"/>
  <c r="I12" i="19"/>
  <c r="J12" i="19" s="1"/>
  <c r="I52" i="19"/>
  <c r="J52" i="19" s="1"/>
  <c r="I71" i="19"/>
  <c r="J71" i="19" s="1"/>
  <c r="I92" i="19"/>
  <c r="J92" i="19" s="1"/>
  <c r="I112" i="19"/>
  <c r="J112" i="19" s="1"/>
  <c r="I132" i="19"/>
  <c r="J132" i="19" s="1"/>
  <c r="I152" i="19"/>
  <c r="J152" i="19" s="1"/>
  <c r="I85" i="19"/>
  <c r="J85" i="19" s="1"/>
  <c r="C33" i="19"/>
  <c r="D33" i="19" s="1"/>
  <c r="I38" i="19"/>
  <c r="J38" i="19" s="1"/>
  <c r="I93" i="19"/>
  <c r="J93" i="19" s="1"/>
  <c r="I113" i="19"/>
  <c r="J113" i="19" s="1"/>
  <c r="I133" i="19"/>
  <c r="J133" i="19" s="1"/>
  <c r="I153" i="19"/>
  <c r="I13" i="19"/>
  <c r="J13" i="19" s="1"/>
  <c r="C17" i="19"/>
  <c r="D17" i="19" s="1"/>
  <c r="I33" i="19"/>
  <c r="J33" i="19" s="1"/>
  <c r="C37" i="19"/>
  <c r="D37" i="19" s="1"/>
  <c r="I53" i="19"/>
  <c r="J53" i="19" s="1"/>
  <c r="C57" i="19"/>
  <c r="D57" i="19" s="1"/>
  <c r="I73" i="19"/>
  <c r="J73" i="19" s="1"/>
  <c r="C77" i="19"/>
  <c r="D77" i="19" s="1"/>
  <c r="C27" i="18"/>
  <c r="D27" i="18" s="1"/>
  <c r="I4" i="18"/>
  <c r="J4" i="18" s="1"/>
  <c r="C28" i="18"/>
  <c r="D28" i="18" s="1"/>
  <c r="C69" i="18"/>
  <c r="D69" i="18" s="1"/>
  <c r="I71" i="14"/>
  <c r="J71" i="14" s="1"/>
  <c r="C7" i="18"/>
  <c r="D7" i="18" s="1"/>
  <c r="I63" i="18"/>
  <c r="J63" i="18" s="1"/>
  <c r="C33" i="18"/>
  <c r="D33" i="18" s="1"/>
  <c r="I65" i="17"/>
  <c r="J65" i="17" s="1"/>
  <c r="I87" i="18"/>
  <c r="J87" i="18" s="1"/>
  <c r="I137" i="18"/>
  <c r="J137" i="18" s="1"/>
  <c r="C53" i="18"/>
  <c r="D53" i="18" s="1"/>
  <c r="I6" i="14"/>
  <c r="J6" i="14" s="1"/>
  <c r="I99" i="17"/>
  <c r="J99" i="17" s="1"/>
  <c r="I116" i="17"/>
  <c r="J116" i="17" s="1"/>
  <c r="O37" i="18"/>
  <c r="P37" i="18" s="1"/>
  <c r="I57" i="18"/>
  <c r="J57" i="18" s="1"/>
  <c r="I88" i="18"/>
  <c r="J88" i="18" s="1"/>
  <c r="I105" i="18"/>
  <c r="J105" i="18" s="1"/>
  <c r="I138" i="18"/>
  <c r="J138" i="18" s="1"/>
  <c r="C9" i="14"/>
  <c r="D9" i="14" s="1"/>
  <c r="I103" i="14"/>
  <c r="J103" i="14" s="1"/>
  <c r="C27" i="17"/>
  <c r="D27" i="17" s="1"/>
  <c r="C73" i="17"/>
  <c r="D73" i="17" s="1"/>
  <c r="C71" i="18"/>
  <c r="D71" i="18" s="1"/>
  <c r="I122" i="18"/>
  <c r="J122" i="18" s="1"/>
  <c r="C67" i="18"/>
  <c r="D67" i="18" s="1"/>
  <c r="C30" i="14"/>
  <c r="D30" i="14" s="1"/>
  <c r="C50" i="14"/>
  <c r="D50" i="14" s="1"/>
  <c r="C70" i="14"/>
  <c r="D70" i="14" s="1"/>
  <c r="I86" i="14"/>
  <c r="J86" i="14" s="1"/>
  <c r="I104" i="14"/>
  <c r="J104" i="14" s="1"/>
  <c r="I99" i="16"/>
  <c r="J99" i="16" s="1"/>
  <c r="I12" i="17"/>
  <c r="J12" i="17" s="1"/>
  <c r="I20" i="17"/>
  <c r="J20" i="17" s="1"/>
  <c r="I72" i="17"/>
  <c r="J72" i="17" s="1"/>
  <c r="I82" i="17"/>
  <c r="J82" i="17" s="1"/>
  <c r="I137" i="17"/>
  <c r="J137" i="17" s="1"/>
  <c r="O19" i="18"/>
  <c r="P19" i="18" s="1"/>
  <c r="I27" i="18"/>
  <c r="J27" i="18" s="1"/>
  <c r="I38" i="18"/>
  <c r="J38" i="18" s="1"/>
  <c r="C58" i="18"/>
  <c r="D58" i="18" s="1"/>
  <c r="I71" i="18"/>
  <c r="J71" i="18" s="1"/>
  <c r="I90" i="18"/>
  <c r="J90" i="18" s="1"/>
  <c r="I123" i="18"/>
  <c r="J123" i="18" s="1"/>
  <c r="I140" i="18"/>
  <c r="J140" i="18" s="1"/>
  <c r="I143" i="18"/>
  <c r="J143" i="18" s="1"/>
  <c r="O33" i="14"/>
  <c r="P33" i="14" s="1"/>
  <c r="I33" i="14"/>
  <c r="J33" i="14" s="1"/>
  <c r="I52" i="14"/>
  <c r="J52" i="14" s="1"/>
  <c r="I109" i="14"/>
  <c r="J109" i="14" s="1"/>
  <c r="I142" i="16"/>
  <c r="J142" i="16" s="1"/>
  <c r="I22" i="17"/>
  <c r="J22" i="17" s="1"/>
  <c r="C29" i="17"/>
  <c r="D29" i="17" s="1"/>
  <c r="I43" i="17"/>
  <c r="J43" i="17" s="1"/>
  <c r="I87" i="17"/>
  <c r="J87" i="17" s="1"/>
  <c r="I122" i="17"/>
  <c r="J122" i="17" s="1"/>
  <c r="I127" i="18"/>
  <c r="J127" i="18" s="1"/>
  <c r="I33" i="16"/>
  <c r="J33" i="16" s="1"/>
  <c r="C12" i="14"/>
  <c r="D12" i="14" s="1"/>
  <c r="I25" i="16"/>
  <c r="J25" i="16" s="1"/>
  <c r="C50" i="17"/>
  <c r="D50" i="17" s="1"/>
  <c r="I104" i="17"/>
  <c r="J104" i="17" s="1"/>
  <c r="I142" i="18"/>
  <c r="J142" i="18" s="1"/>
  <c r="I108" i="14"/>
  <c r="J108" i="14" s="1"/>
  <c r="I110" i="18"/>
  <c r="J110" i="18" s="1"/>
  <c r="O22" i="17"/>
  <c r="P22" i="17" s="1"/>
  <c r="I59" i="17"/>
  <c r="J59" i="17" s="1"/>
  <c r="C9" i="18"/>
  <c r="D9" i="18" s="1"/>
  <c r="I24" i="18"/>
  <c r="J24" i="18" s="1"/>
  <c r="O11" i="14"/>
  <c r="P11" i="14" s="1"/>
  <c r="C18" i="14"/>
  <c r="D18" i="14" s="1"/>
  <c r="C38" i="14"/>
  <c r="D38" i="14" s="1"/>
  <c r="I15" i="14"/>
  <c r="J15" i="14" s="1"/>
  <c r="I73" i="14"/>
  <c r="J73" i="14" s="1"/>
  <c r="I92" i="14"/>
  <c r="J92" i="14" s="1"/>
  <c r="I74" i="16"/>
  <c r="J74" i="16" s="1"/>
  <c r="C23" i="17"/>
  <c r="D23" i="17" s="1"/>
  <c r="C30" i="17"/>
  <c r="D30" i="17" s="1"/>
  <c r="O60" i="17"/>
  <c r="P60" i="17" s="1"/>
  <c r="C69" i="17"/>
  <c r="D69" i="17" s="1"/>
  <c r="I89" i="17"/>
  <c r="J89" i="17" s="1"/>
  <c r="I9" i="18"/>
  <c r="J9" i="18" s="1"/>
  <c r="O24" i="18"/>
  <c r="P24" i="18" s="1"/>
  <c r="C29" i="18"/>
  <c r="D29" i="18" s="1"/>
  <c r="I34" i="18"/>
  <c r="J34" i="18" s="1"/>
  <c r="O48" i="18"/>
  <c r="P48" i="18" s="1"/>
  <c r="C73" i="18"/>
  <c r="D73" i="18" s="1"/>
  <c r="I79" i="18"/>
  <c r="J79" i="18" s="1"/>
  <c r="I112" i="18"/>
  <c r="J112" i="18" s="1"/>
  <c r="I129" i="18"/>
  <c r="J129" i="18" s="1"/>
  <c r="O70" i="14"/>
  <c r="P70" i="14" s="1"/>
  <c r="O50" i="14"/>
  <c r="P50" i="14" s="1"/>
  <c r="O30" i="14"/>
  <c r="P30" i="14" s="1"/>
  <c r="I111" i="14"/>
  <c r="J111" i="14" s="1"/>
  <c r="I46" i="16"/>
  <c r="J46" i="16" s="1"/>
  <c r="I65" i="16"/>
  <c r="J65" i="16" s="1"/>
  <c r="C16" i="17"/>
  <c r="D16" i="17" s="1"/>
  <c r="C53" i="17"/>
  <c r="D53" i="17" s="1"/>
  <c r="C5" i="18"/>
  <c r="D5" i="18" s="1"/>
  <c r="C15" i="18"/>
  <c r="D15" i="18" s="1"/>
  <c r="I20" i="18"/>
  <c r="J20" i="18" s="1"/>
  <c r="I29" i="18"/>
  <c r="J29" i="18" s="1"/>
  <c r="O44" i="18"/>
  <c r="P44" i="18" s="1"/>
  <c r="C49" i="18"/>
  <c r="D49" i="18" s="1"/>
  <c r="I54" i="18"/>
  <c r="J54" i="18" s="1"/>
  <c r="C60" i="18"/>
  <c r="D60" i="18" s="1"/>
  <c r="I64" i="18"/>
  <c r="J64" i="18" s="1"/>
  <c r="I73" i="18"/>
  <c r="J73" i="18" s="1"/>
  <c r="C8" i="17"/>
  <c r="D8" i="17" s="1"/>
  <c r="I5" i="18"/>
  <c r="J5" i="18" s="1"/>
  <c r="I15" i="18"/>
  <c r="J15" i="18" s="1"/>
  <c r="O20" i="18"/>
  <c r="P20" i="18" s="1"/>
  <c r="C25" i="18"/>
  <c r="D25" i="18" s="1"/>
  <c r="C35" i="18"/>
  <c r="D35" i="18" s="1"/>
  <c r="I40" i="18"/>
  <c r="J40" i="18" s="1"/>
  <c r="I49" i="18"/>
  <c r="J49" i="18" s="1"/>
  <c r="I97" i="18"/>
  <c r="J97" i="18" s="1"/>
  <c r="I147" i="18"/>
  <c r="J147" i="18" s="1"/>
  <c r="I49" i="17"/>
  <c r="J49" i="17" s="1"/>
  <c r="C52" i="14"/>
  <c r="D52" i="14" s="1"/>
  <c r="I68" i="14"/>
  <c r="J68" i="14" s="1"/>
  <c r="I88" i="14"/>
  <c r="J88" i="14" s="1"/>
  <c r="I109" i="18"/>
  <c r="J109" i="18" s="1"/>
  <c r="AJ39" i="10"/>
  <c r="C45" i="17"/>
  <c r="D45" i="17" s="1"/>
  <c r="C45" i="18"/>
  <c r="D45" i="18" s="1"/>
  <c r="C55" i="18"/>
  <c r="D55" i="18" s="1"/>
  <c r="C21" i="14"/>
  <c r="D21" i="14" s="1"/>
  <c r="C61" i="14"/>
  <c r="D61" i="14" s="1"/>
  <c r="I19" i="14"/>
  <c r="J19" i="14" s="1"/>
  <c r="I96" i="14"/>
  <c r="J96" i="14" s="1"/>
  <c r="C21" i="18"/>
  <c r="D21" i="18" s="1"/>
  <c r="O36" i="18"/>
  <c r="P36" i="18" s="1"/>
  <c r="I45" i="18"/>
  <c r="J45" i="18" s="1"/>
  <c r="C65" i="18"/>
  <c r="D65" i="18" s="1"/>
  <c r="I82" i="18"/>
  <c r="J82" i="18" s="1"/>
  <c r="I132" i="18"/>
  <c r="J132" i="18" s="1"/>
  <c r="I134" i="14"/>
  <c r="J134" i="14" s="1"/>
  <c r="N38" i="14"/>
  <c r="O38" i="14" s="1"/>
  <c r="P38" i="14" s="1"/>
  <c r="C48" i="16"/>
  <c r="D48" i="16" s="1"/>
  <c r="C9" i="17"/>
  <c r="D9" i="17" s="1"/>
  <c r="C33" i="17"/>
  <c r="D33" i="17" s="1"/>
  <c r="I21" i="18"/>
  <c r="J21" i="18" s="1"/>
  <c r="C41" i="18"/>
  <c r="D41" i="18" s="1"/>
  <c r="I65" i="18"/>
  <c r="J65" i="18" s="1"/>
  <c r="I69" i="18"/>
  <c r="J69" i="18" s="1"/>
  <c r="I107" i="18"/>
  <c r="J107" i="18" s="1"/>
  <c r="O23" i="18"/>
  <c r="P23" i="18" s="1"/>
  <c r="I44" i="16"/>
  <c r="J44" i="16" s="1"/>
  <c r="I121" i="17"/>
  <c r="J121" i="17" s="1"/>
  <c r="C43" i="14"/>
  <c r="D43" i="14" s="1"/>
  <c r="I21" i="14"/>
  <c r="J21" i="14" s="1"/>
  <c r="N44" i="14"/>
  <c r="C21" i="16"/>
  <c r="D21" i="16" s="1"/>
  <c r="I48" i="16"/>
  <c r="J48" i="16" s="1"/>
  <c r="I150" i="16"/>
  <c r="J150" i="16" s="1"/>
  <c r="I25" i="17"/>
  <c r="J25" i="17" s="1"/>
  <c r="C54" i="17"/>
  <c r="D54" i="17" s="1"/>
  <c r="I77" i="17"/>
  <c r="J77" i="17" s="1"/>
  <c r="I41" i="18"/>
  <c r="J41" i="18" s="1"/>
  <c r="C61" i="18"/>
  <c r="D61" i="18" s="1"/>
  <c r="O65" i="18"/>
  <c r="P65" i="18" s="1"/>
  <c r="I117" i="18"/>
  <c r="J117" i="18" s="1"/>
  <c r="I139" i="17"/>
  <c r="J139" i="17" s="1"/>
  <c r="O39" i="18"/>
  <c r="P39" i="18" s="1"/>
  <c r="N58" i="14"/>
  <c r="C70" i="17"/>
  <c r="D70" i="17" s="1"/>
  <c r="C11" i="18"/>
  <c r="D11" i="18" s="1"/>
  <c r="I61" i="18"/>
  <c r="J61" i="18" s="1"/>
  <c r="C75" i="18"/>
  <c r="D75" i="18" s="1"/>
  <c r="C13" i="18"/>
  <c r="D13" i="18" s="1"/>
  <c r="C72" i="14"/>
  <c r="D72" i="14" s="1"/>
  <c r="I144" i="14"/>
  <c r="J144" i="14" s="1"/>
  <c r="I92" i="18"/>
  <c r="J92" i="18" s="1"/>
  <c r="C25" i="14"/>
  <c r="D25" i="14" s="1"/>
  <c r="I23" i="14"/>
  <c r="J23" i="14" s="1"/>
  <c r="I43" i="14"/>
  <c r="J43" i="14" s="1"/>
  <c r="I61" i="14"/>
  <c r="J61" i="14" s="1"/>
  <c r="I80" i="14"/>
  <c r="J80" i="14" s="1"/>
  <c r="I118" i="14"/>
  <c r="J118" i="14" s="1"/>
  <c r="C78" i="16"/>
  <c r="D78" i="16" s="1"/>
  <c r="O18" i="17"/>
  <c r="P18" i="17" s="1"/>
  <c r="I63" i="17"/>
  <c r="J63" i="17" s="1"/>
  <c r="I96" i="17"/>
  <c r="J96" i="17" s="1"/>
  <c r="O6" i="18"/>
  <c r="P6" i="18" s="1"/>
  <c r="I11" i="18"/>
  <c r="J11" i="18" s="1"/>
  <c r="C31" i="18"/>
  <c r="D31" i="18" s="1"/>
  <c r="I102" i="18"/>
  <c r="J102" i="18" s="1"/>
  <c r="I152" i="18"/>
  <c r="J152" i="18" s="1"/>
  <c r="C32" i="14"/>
  <c r="D32" i="14" s="1"/>
  <c r="AF35" i="10"/>
  <c r="I31" i="14"/>
  <c r="J31" i="14" s="1"/>
  <c r="I126" i="14"/>
  <c r="J126" i="14" s="1"/>
  <c r="I36" i="17"/>
  <c r="J36" i="17" s="1"/>
  <c r="I32" i="14"/>
  <c r="J32" i="14" s="1"/>
  <c r="I93" i="18"/>
  <c r="J93" i="18" s="1"/>
  <c r="O62" i="17"/>
  <c r="P62" i="17" s="1"/>
  <c r="O42" i="17"/>
  <c r="P42" i="17" s="1"/>
  <c r="C6" i="14"/>
  <c r="D6" i="14" s="1"/>
  <c r="I17" i="18"/>
  <c r="J17" i="18" s="1"/>
  <c r="I31" i="18"/>
  <c r="J31" i="18" s="1"/>
  <c r="C51" i="18"/>
  <c r="D51" i="18" s="1"/>
  <c r="I13" i="18"/>
  <c r="J13" i="18" s="1"/>
  <c r="I19" i="18"/>
  <c r="J19" i="18" s="1"/>
  <c r="C39" i="18"/>
  <c r="D39" i="18" s="1"/>
  <c r="I91" i="18"/>
  <c r="J91" i="18" s="1"/>
  <c r="I108" i="18"/>
  <c r="J108" i="18" s="1"/>
  <c r="I125" i="18"/>
  <c r="J125" i="18" s="1"/>
  <c r="I141" i="18"/>
  <c r="J141" i="18" s="1"/>
  <c r="I124" i="18"/>
  <c r="J124" i="18" s="1"/>
  <c r="I33" i="18"/>
  <c r="J33" i="18" s="1"/>
  <c r="I39" i="18"/>
  <c r="J39" i="18" s="1"/>
  <c r="C59" i="18"/>
  <c r="D59" i="18" s="1"/>
  <c r="C72" i="18"/>
  <c r="D72" i="18" s="1"/>
  <c r="I53" i="18"/>
  <c r="J53" i="18" s="1"/>
  <c r="I59" i="18"/>
  <c r="J59" i="18" s="1"/>
  <c r="I72" i="18"/>
  <c r="J72" i="18" s="1"/>
  <c r="C14" i="18"/>
  <c r="D14" i="18" s="1"/>
  <c r="I28" i="18"/>
  <c r="J28" i="18" s="1"/>
  <c r="C44" i="18"/>
  <c r="D44" i="18" s="1"/>
  <c r="I78" i="18"/>
  <c r="J78" i="18" s="1"/>
  <c r="I94" i="18"/>
  <c r="J94" i="18" s="1"/>
  <c r="I144" i="18"/>
  <c r="J144" i="18" s="1"/>
  <c r="C78" i="18"/>
  <c r="I14" i="18"/>
  <c r="J14" i="18" s="1"/>
  <c r="C20" i="18"/>
  <c r="D20" i="18" s="1"/>
  <c r="C34" i="18"/>
  <c r="D34" i="18" s="1"/>
  <c r="I48" i="18"/>
  <c r="J48" i="18" s="1"/>
  <c r="C64" i="18"/>
  <c r="D64" i="18" s="1"/>
  <c r="I95" i="18"/>
  <c r="J95" i="18" s="1"/>
  <c r="I111" i="18"/>
  <c r="J111" i="18" s="1"/>
  <c r="I128" i="18"/>
  <c r="J128" i="18" s="1"/>
  <c r="I145" i="18"/>
  <c r="J145" i="18" s="1"/>
  <c r="I35" i="18"/>
  <c r="J35" i="18" s="1"/>
  <c r="I81" i="18"/>
  <c r="J81" i="18" s="1"/>
  <c r="I98" i="18"/>
  <c r="J98" i="18" s="1"/>
  <c r="I115" i="18"/>
  <c r="J115" i="18" s="1"/>
  <c r="I131" i="18"/>
  <c r="J131" i="18" s="1"/>
  <c r="I130" i="18"/>
  <c r="J130" i="18" s="1"/>
  <c r="I148" i="18"/>
  <c r="J148" i="18" s="1"/>
  <c r="C16" i="18"/>
  <c r="D16" i="18" s="1"/>
  <c r="C30" i="18"/>
  <c r="D30" i="18" s="1"/>
  <c r="I55" i="18"/>
  <c r="J55" i="18" s="1"/>
  <c r="C74" i="18"/>
  <c r="D74" i="18" s="1"/>
  <c r="I99" i="18"/>
  <c r="J99" i="18" s="1"/>
  <c r="I149" i="18"/>
  <c r="J149" i="18" s="1"/>
  <c r="C6" i="18"/>
  <c r="D6" i="18" s="1"/>
  <c r="I10" i="18"/>
  <c r="J10" i="18" s="1"/>
  <c r="C36" i="18"/>
  <c r="D36" i="18" s="1"/>
  <c r="C50" i="18"/>
  <c r="D50" i="18" s="1"/>
  <c r="I74" i="18"/>
  <c r="J74" i="18" s="1"/>
  <c r="I83" i="18"/>
  <c r="J83" i="18" s="1"/>
  <c r="I100" i="18"/>
  <c r="J100" i="18" s="1"/>
  <c r="I116" i="18"/>
  <c r="J116" i="18" s="1"/>
  <c r="I133" i="18"/>
  <c r="J133" i="18" s="1"/>
  <c r="I150" i="18"/>
  <c r="J150" i="18" s="1"/>
  <c r="I60" i="18"/>
  <c r="J60" i="18" s="1"/>
  <c r="I16" i="18"/>
  <c r="J16" i="18" s="1"/>
  <c r="C26" i="18"/>
  <c r="D26" i="18" s="1"/>
  <c r="I30" i="18"/>
  <c r="J30" i="18" s="1"/>
  <c r="C56" i="18"/>
  <c r="D56" i="18" s="1"/>
  <c r="I84" i="18"/>
  <c r="J84" i="18" s="1"/>
  <c r="I134" i="18"/>
  <c r="J134" i="18" s="1"/>
  <c r="I80" i="18"/>
  <c r="J80" i="18" s="1"/>
  <c r="I6" i="18"/>
  <c r="J6" i="18" s="1"/>
  <c r="C22" i="18"/>
  <c r="D22" i="18" s="1"/>
  <c r="I36" i="18"/>
  <c r="J36" i="18" s="1"/>
  <c r="C46" i="18"/>
  <c r="D46" i="18" s="1"/>
  <c r="I50" i="18"/>
  <c r="J50" i="18" s="1"/>
  <c r="I85" i="18"/>
  <c r="J85" i="18" s="1"/>
  <c r="I101" i="18"/>
  <c r="J101" i="18" s="1"/>
  <c r="I151" i="18"/>
  <c r="J151" i="18" s="1"/>
  <c r="C17" i="18"/>
  <c r="D17" i="18" s="1"/>
  <c r="I26" i="18"/>
  <c r="J26" i="18" s="1"/>
  <c r="C42" i="18"/>
  <c r="D42" i="18" s="1"/>
  <c r="I56" i="18"/>
  <c r="J56" i="18" s="1"/>
  <c r="C66" i="18"/>
  <c r="D66" i="18" s="1"/>
  <c r="I75" i="18"/>
  <c r="J75" i="18" s="1"/>
  <c r="I119" i="18"/>
  <c r="J119" i="18" s="1"/>
  <c r="I113" i="18"/>
  <c r="J113" i="18" s="1"/>
  <c r="I114" i="18"/>
  <c r="J114" i="18" s="1"/>
  <c r="I22" i="18"/>
  <c r="J22" i="18" s="1"/>
  <c r="C37" i="18"/>
  <c r="D37" i="18" s="1"/>
  <c r="I46" i="18"/>
  <c r="J46" i="18" s="1"/>
  <c r="C62" i="18"/>
  <c r="D62" i="18" s="1"/>
  <c r="I86" i="18"/>
  <c r="J86" i="18" s="1"/>
  <c r="I103" i="18"/>
  <c r="J103" i="18" s="1"/>
  <c r="I120" i="18"/>
  <c r="J120" i="18" s="1"/>
  <c r="I136" i="18"/>
  <c r="J136" i="18" s="1"/>
  <c r="I153" i="18"/>
  <c r="I5" i="17"/>
  <c r="J5" i="17" s="1"/>
  <c r="I6" i="17"/>
  <c r="J6" i="17" s="1"/>
  <c r="C24" i="17"/>
  <c r="D24" i="17" s="1"/>
  <c r="I60" i="17"/>
  <c r="J60" i="17" s="1"/>
  <c r="I46" i="17"/>
  <c r="J46" i="17" s="1"/>
  <c r="C10" i="17"/>
  <c r="D10" i="17" s="1"/>
  <c r="C63" i="17"/>
  <c r="D63" i="17" s="1"/>
  <c r="C64" i="17"/>
  <c r="D64" i="17" s="1"/>
  <c r="O61" i="17"/>
  <c r="P61" i="17" s="1"/>
  <c r="O41" i="17"/>
  <c r="P41" i="17" s="1"/>
  <c r="N18" i="14"/>
  <c r="C13" i="17"/>
  <c r="D13" i="17" s="1"/>
  <c r="C22" i="17"/>
  <c r="D22" i="17" s="1"/>
  <c r="C26" i="17"/>
  <c r="D26" i="17" s="1"/>
  <c r="I45" i="17"/>
  <c r="J45" i="17" s="1"/>
  <c r="I66" i="17"/>
  <c r="J66" i="17" s="1"/>
  <c r="I26" i="17"/>
  <c r="J26" i="17" s="1"/>
  <c r="O64" i="16"/>
  <c r="P64" i="16" s="1"/>
  <c r="AF75" i="10"/>
  <c r="I16" i="14"/>
  <c r="J16" i="14" s="1"/>
  <c r="N24" i="14"/>
  <c r="O32" i="16"/>
  <c r="P32" i="16" s="1"/>
  <c r="O73" i="16"/>
  <c r="P73" i="16" s="1"/>
  <c r="O58" i="17"/>
  <c r="P58" i="17" s="1"/>
  <c r="C67" i="17"/>
  <c r="D67" i="17" s="1"/>
  <c r="I83" i="14"/>
  <c r="J83" i="14" s="1"/>
  <c r="I84" i="14"/>
  <c r="J84" i="14" s="1"/>
  <c r="C56" i="14"/>
  <c r="D56" i="14" s="1"/>
  <c r="I28" i="14"/>
  <c r="J28" i="14" s="1"/>
  <c r="N64" i="14"/>
  <c r="O77" i="17"/>
  <c r="P77" i="17" s="1"/>
  <c r="I141" i="17"/>
  <c r="J141" i="17" s="1"/>
  <c r="I10" i="14"/>
  <c r="J10" i="14" s="1"/>
  <c r="I29" i="14"/>
  <c r="J29" i="14" s="1"/>
  <c r="I48" i="14"/>
  <c r="J48" i="14" s="1"/>
  <c r="N78" i="14"/>
  <c r="C10" i="16"/>
  <c r="D10" i="16" s="1"/>
  <c r="C75" i="16"/>
  <c r="D75" i="16" s="1"/>
  <c r="I87" i="16"/>
  <c r="J87" i="16" s="1"/>
  <c r="O14" i="17"/>
  <c r="P14" i="17" s="1"/>
  <c r="C19" i="17"/>
  <c r="D19" i="17" s="1"/>
  <c r="C34" i="14"/>
  <c r="D34" i="14" s="1"/>
  <c r="I26" i="14"/>
  <c r="J26" i="14" s="1"/>
  <c r="I137" i="14"/>
  <c r="J137" i="14" s="1"/>
  <c r="C15" i="14"/>
  <c r="D15" i="14" s="1"/>
  <c r="I103" i="16"/>
  <c r="J103" i="16" s="1"/>
  <c r="C16" i="14"/>
  <c r="D16" i="14" s="1"/>
  <c r="I47" i="14"/>
  <c r="J47" i="14" s="1"/>
  <c r="I121" i="14"/>
  <c r="J121" i="14" s="1"/>
  <c r="C18" i="16"/>
  <c r="D18" i="16" s="1"/>
  <c r="C60" i="14"/>
  <c r="D60" i="14" s="1"/>
  <c r="I11" i="14"/>
  <c r="J11" i="14" s="1"/>
  <c r="I123" i="14"/>
  <c r="J123" i="14" s="1"/>
  <c r="I140" i="14"/>
  <c r="J140" i="14" s="1"/>
  <c r="I10" i="16"/>
  <c r="J10" i="16" s="1"/>
  <c r="O59" i="16"/>
  <c r="P59" i="16" s="1"/>
  <c r="I75" i="16"/>
  <c r="J75" i="16" s="1"/>
  <c r="C14" i="17"/>
  <c r="D14" i="17" s="1"/>
  <c r="O23" i="17"/>
  <c r="P23" i="17" s="1"/>
  <c r="I55" i="17"/>
  <c r="J55" i="17" s="1"/>
  <c r="I93" i="17"/>
  <c r="J93" i="17" s="1"/>
  <c r="I126" i="17"/>
  <c r="J126" i="17" s="1"/>
  <c r="I143" i="17"/>
  <c r="J143" i="17" s="1"/>
  <c r="I91" i="17"/>
  <c r="J91" i="17" s="1"/>
  <c r="I58" i="14"/>
  <c r="J58" i="14" s="1"/>
  <c r="I9" i="17"/>
  <c r="J9" i="17" s="1"/>
  <c r="I19" i="17"/>
  <c r="J19" i="17" s="1"/>
  <c r="O32" i="17"/>
  <c r="P32" i="17" s="1"/>
  <c r="C75" i="14"/>
  <c r="D75" i="14" s="1"/>
  <c r="C36" i="14"/>
  <c r="D36" i="14" s="1"/>
  <c r="C76" i="14"/>
  <c r="D76" i="14" s="1"/>
  <c r="I66" i="14"/>
  <c r="J66" i="14" s="1"/>
  <c r="O63" i="17"/>
  <c r="P63" i="17" s="1"/>
  <c r="I13" i="14"/>
  <c r="J13" i="14" s="1"/>
  <c r="I89" i="14"/>
  <c r="J89" i="14" s="1"/>
  <c r="I142" i="14"/>
  <c r="J142" i="14" s="1"/>
  <c r="C36" i="16"/>
  <c r="D36" i="16" s="1"/>
  <c r="O44" i="16"/>
  <c r="P44" i="16" s="1"/>
  <c r="C69" i="16"/>
  <c r="D69" i="16" s="1"/>
  <c r="I144" i="16"/>
  <c r="J144" i="16" s="1"/>
  <c r="C5" i="17"/>
  <c r="D5" i="17" s="1"/>
  <c r="O68" i="17"/>
  <c r="P68" i="17" s="1"/>
  <c r="O78" i="17"/>
  <c r="P78" i="17" s="1"/>
  <c r="I111" i="17"/>
  <c r="J111" i="17" s="1"/>
  <c r="I128" i="17"/>
  <c r="J128" i="17" s="1"/>
  <c r="I26" i="16"/>
  <c r="J26" i="16" s="1"/>
  <c r="C57" i="14"/>
  <c r="D57" i="14" s="1"/>
  <c r="I125" i="14"/>
  <c r="J125" i="14" s="1"/>
  <c r="C61" i="16"/>
  <c r="D61" i="16" s="1"/>
  <c r="I38" i="17"/>
  <c r="J38" i="17" s="1"/>
  <c r="I28" i="16"/>
  <c r="J28" i="16" s="1"/>
  <c r="O52" i="16"/>
  <c r="P52" i="16" s="1"/>
  <c r="C74" i="17"/>
  <c r="D74" i="17" s="1"/>
  <c r="C14" i="14"/>
  <c r="D14" i="14" s="1"/>
  <c r="I45" i="14"/>
  <c r="J45" i="14" s="1"/>
  <c r="I84" i="16"/>
  <c r="J84" i="16" s="1"/>
  <c r="C44" i="14"/>
  <c r="D44" i="14" s="1"/>
  <c r="I127" i="14"/>
  <c r="J127" i="14" s="1"/>
  <c r="I145" i="14"/>
  <c r="J145" i="14" s="1"/>
  <c r="I113" i="14"/>
  <c r="J113" i="14" s="1"/>
  <c r="C29" i="16"/>
  <c r="D29" i="16" s="1"/>
  <c r="I110" i="16"/>
  <c r="J110" i="16" s="1"/>
  <c r="I147" i="16"/>
  <c r="J147" i="16" s="1"/>
  <c r="I15" i="17"/>
  <c r="J15" i="17" s="1"/>
  <c r="O24" i="17"/>
  <c r="P24" i="17" s="1"/>
  <c r="C39" i="17"/>
  <c r="D39" i="17" s="1"/>
  <c r="C61" i="17"/>
  <c r="D61" i="17" s="1"/>
  <c r="I69" i="17"/>
  <c r="J69" i="17" s="1"/>
  <c r="C54" i="14"/>
  <c r="D54" i="14" s="1"/>
  <c r="I64" i="14"/>
  <c r="J64" i="14" s="1"/>
  <c r="I119" i="14"/>
  <c r="J119" i="14" s="1"/>
  <c r="I17" i="16"/>
  <c r="J17" i="16" s="1"/>
  <c r="O72" i="16"/>
  <c r="P72" i="16" s="1"/>
  <c r="O12" i="14"/>
  <c r="P12" i="14" s="1"/>
  <c r="I93" i="14"/>
  <c r="J93" i="14" s="1"/>
  <c r="I128" i="14"/>
  <c r="J128" i="14" s="1"/>
  <c r="C45" i="16"/>
  <c r="D45" i="16" s="1"/>
  <c r="I70" i="16"/>
  <c r="J70" i="16" s="1"/>
  <c r="I130" i="16"/>
  <c r="J130" i="16" s="1"/>
  <c r="O20" i="17"/>
  <c r="P20" i="17" s="1"/>
  <c r="C34" i="17"/>
  <c r="D34" i="17" s="1"/>
  <c r="C47" i="17"/>
  <c r="D47" i="17" s="1"/>
  <c r="I61" i="17"/>
  <c r="J61" i="17" s="1"/>
  <c r="C65" i="17"/>
  <c r="D65" i="17" s="1"/>
  <c r="I81" i="17"/>
  <c r="J81" i="17" s="1"/>
  <c r="I131" i="17"/>
  <c r="J131" i="17" s="1"/>
  <c r="C30" i="16"/>
  <c r="D30" i="16" s="1"/>
  <c r="I53" i="16"/>
  <c r="J53" i="16" s="1"/>
  <c r="I29" i="17"/>
  <c r="J29" i="17" s="1"/>
  <c r="I39" i="17"/>
  <c r="J39" i="17" s="1"/>
  <c r="C43" i="17"/>
  <c r="D43" i="17" s="1"/>
  <c r="I5" i="16"/>
  <c r="J5" i="16" s="1"/>
  <c r="C25" i="17"/>
  <c r="D25" i="17" s="1"/>
  <c r="C50" i="16"/>
  <c r="D50" i="16" s="1"/>
  <c r="C7" i="14"/>
  <c r="D7" i="14" s="1"/>
  <c r="C40" i="14"/>
  <c r="D40" i="14" s="1"/>
  <c r="I39" i="14"/>
  <c r="J39" i="14" s="1"/>
  <c r="O5" i="16"/>
  <c r="P5" i="16" s="1"/>
  <c r="I21" i="17"/>
  <c r="J21" i="17" s="1"/>
  <c r="O43" i="17"/>
  <c r="P43" i="17" s="1"/>
  <c r="I75" i="17"/>
  <c r="J75" i="17" s="1"/>
  <c r="C74" i="14"/>
  <c r="D74" i="14" s="1"/>
  <c r="C55" i="14"/>
  <c r="D55" i="14" s="1"/>
  <c r="I27" i="14"/>
  <c r="J27" i="14" s="1"/>
  <c r="C28" i="14"/>
  <c r="D28" i="14" s="1"/>
  <c r="C48" i="14"/>
  <c r="D48" i="14" s="1"/>
  <c r="C68" i="14"/>
  <c r="D68" i="14" s="1"/>
  <c r="I20" i="14"/>
  <c r="J20" i="14" s="1"/>
  <c r="I40" i="14"/>
  <c r="J40" i="14" s="1"/>
  <c r="I59" i="14"/>
  <c r="J59" i="14" s="1"/>
  <c r="I77" i="14"/>
  <c r="J77" i="14" s="1"/>
  <c r="I97" i="14"/>
  <c r="J97" i="14" s="1"/>
  <c r="I114" i="16"/>
  <c r="J114" i="16" s="1"/>
  <c r="I101" i="17"/>
  <c r="J101" i="17" s="1"/>
  <c r="I151" i="17"/>
  <c r="J151" i="17" s="1"/>
  <c r="C35" i="14"/>
  <c r="D35" i="14" s="1"/>
  <c r="C37" i="14"/>
  <c r="D37" i="14" s="1"/>
  <c r="I80" i="16"/>
  <c r="J80" i="16" s="1"/>
  <c r="C7" i="17"/>
  <c r="D7" i="17" s="1"/>
  <c r="I35" i="17"/>
  <c r="J35" i="17" s="1"/>
  <c r="C44" i="17"/>
  <c r="D44" i="17" s="1"/>
  <c r="C41" i="17"/>
  <c r="D41" i="17" s="1"/>
  <c r="C49" i="17"/>
  <c r="D49" i="17" s="1"/>
  <c r="C59" i="17"/>
  <c r="D59" i="17" s="1"/>
  <c r="I106" i="17"/>
  <c r="J106" i="17" s="1"/>
  <c r="O66" i="16"/>
  <c r="P66" i="16" s="1"/>
  <c r="O46" i="16"/>
  <c r="P46" i="16" s="1"/>
  <c r="O26" i="16"/>
  <c r="P26" i="16" s="1"/>
  <c r="O6" i="14"/>
  <c r="P6" i="14" s="1"/>
  <c r="N4" i="14"/>
  <c r="I6" i="16"/>
  <c r="J6" i="16" s="1"/>
  <c r="I39" i="16"/>
  <c r="J39" i="16" s="1"/>
  <c r="I40" i="17"/>
  <c r="J40" i="17" s="1"/>
  <c r="I86" i="17"/>
  <c r="J86" i="17" s="1"/>
  <c r="I136" i="17"/>
  <c r="J136" i="17" s="1"/>
  <c r="I74" i="17"/>
  <c r="J74" i="17" s="1"/>
  <c r="I73" i="17"/>
  <c r="J73" i="17" s="1"/>
  <c r="I54" i="17"/>
  <c r="J54" i="17" s="1"/>
  <c r="I53" i="17"/>
  <c r="J53" i="17" s="1"/>
  <c r="C72" i="17"/>
  <c r="D72" i="17" s="1"/>
  <c r="C71" i="17"/>
  <c r="D71" i="17" s="1"/>
  <c r="I88" i="17"/>
  <c r="J88" i="17" s="1"/>
  <c r="C38" i="17"/>
  <c r="D38" i="17" s="1"/>
  <c r="C37" i="17"/>
  <c r="D37" i="17" s="1"/>
  <c r="I90" i="17"/>
  <c r="J90" i="17" s="1"/>
  <c r="I124" i="17"/>
  <c r="J124" i="17" s="1"/>
  <c r="I140" i="17"/>
  <c r="J140" i="17" s="1"/>
  <c r="I4" i="17"/>
  <c r="J4" i="17" s="1"/>
  <c r="I14" i="17"/>
  <c r="J14" i="17" s="1"/>
  <c r="I13" i="17"/>
  <c r="J13" i="17" s="1"/>
  <c r="I27" i="17"/>
  <c r="J27" i="17" s="1"/>
  <c r="I28" i="17"/>
  <c r="J28" i="17" s="1"/>
  <c r="I37" i="17"/>
  <c r="J37" i="17" s="1"/>
  <c r="I108" i="17"/>
  <c r="J108" i="17" s="1"/>
  <c r="I107" i="17"/>
  <c r="J107" i="17" s="1"/>
  <c r="I23" i="17"/>
  <c r="J23" i="17" s="1"/>
  <c r="C55" i="17"/>
  <c r="D55" i="17" s="1"/>
  <c r="I92" i="17"/>
  <c r="J92" i="17" s="1"/>
  <c r="I109" i="17"/>
  <c r="J109" i="17" s="1"/>
  <c r="I125" i="17"/>
  <c r="J125" i="17" s="1"/>
  <c r="I142" i="17"/>
  <c r="J142" i="17" s="1"/>
  <c r="I32" i="17"/>
  <c r="J32" i="17" s="1"/>
  <c r="I50" i="17"/>
  <c r="J50" i="17" s="1"/>
  <c r="C60" i="17"/>
  <c r="D60" i="17" s="1"/>
  <c r="I67" i="17"/>
  <c r="J67" i="17" s="1"/>
  <c r="I68" i="17"/>
  <c r="J68" i="17" s="1"/>
  <c r="C28" i="17"/>
  <c r="D28" i="17" s="1"/>
  <c r="C42" i="17"/>
  <c r="D42" i="17" s="1"/>
  <c r="I78" i="17"/>
  <c r="J78" i="17" s="1"/>
  <c r="I94" i="17"/>
  <c r="J94" i="17" s="1"/>
  <c r="I127" i="17"/>
  <c r="J127" i="17" s="1"/>
  <c r="I144" i="17"/>
  <c r="J144" i="17" s="1"/>
  <c r="C78" i="17"/>
  <c r="C77" i="17"/>
  <c r="D77" i="17" s="1"/>
  <c r="C46" i="17"/>
  <c r="D46" i="17" s="1"/>
  <c r="I42" i="17"/>
  <c r="J42" i="17" s="1"/>
  <c r="I79" i="17"/>
  <c r="J79" i="17" s="1"/>
  <c r="I95" i="17"/>
  <c r="J95" i="17" s="1"/>
  <c r="I112" i="17"/>
  <c r="J112" i="17" s="1"/>
  <c r="I129" i="17"/>
  <c r="J129" i="17" s="1"/>
  <c r="I145" i="17"/>
  <c r="J145" i="17" s="1"/>
  <c r="C15" i="17"/>
  <c r="D15" i="17" s="1"/>
  <c r="I24" i="17"/>
  <c r="J24" i="17" s="1"/>
  <c r="I34" i="17"/>
  <c r="J34" i="17" s="1"/>
  <c r="I33" i="17"/>
  <c r="J33" i="17" s="1"/>
  <c r="C51" i="17"/>
  <c r="D51" i="17" s="1"/>
  <c r="C52" i="17"/>
  <c r="D52" i="17" s="1"/>
  <c r="I113" i="17"/>
  <c r="J113" i="17" s="1"/>
  <c r="I10" i="17"/>
  <c r="J10" i="17" s="1"/>
  <c r="I51" i="17"/>
  <c r="J51" i="17" s="1"/>
  <c r="I56" i="17"/>
  <c r="J56" i="17" s="1"/>
  <c r="I80" i="17"/>
  <c r="J80" i="17" s="1"/>
  <c r="I97" i="17"/>
  <c r="J97" i="17" s="1"/>
  <c r="I114" i="17"/>
  <c r="J114" i="17" s="1"/>
  <c r="I130" i="17"/>
  <c r="J130" i="17" s="1"/>
  <c r="I147" i="17"/>
  <c r="J147" i="17" s="1"/>
  <c r="I123" i="17"/>
  <c r="J123" i="17" s="1"/>
  <c r="I98" i="17"/>
  <c r="J98" i="17" s="1"/>
  <c r="I148" i="17"/>
  <c r="J148" i="17" s="1"/>
  <c r="C6" i="17"/>
  <c r="D6" i="17" s="1"/>
  <c r="I48" i="17"/>
  <c r="J48" i="17" s="1"/>
  <c r="I47" i="17"/>
  <c r="J47" i="17" s="1"/>
  <c r="C58" i="17"/>
  <c r="D58" i="17" s="1"/>
  <c r="C57" i="17"/>
  <c r="D57" i="17" s="1"/>
  <c r="I115" i="17"/>
  <c r="J115" i="17" s="1"/>
  <c r="I132" i="17"/>
  <c r="J132" i="17" s="1"/>
  <c r="I149" i="17"/>
  <c r="J149" i="17" s="1"/>
  <c r="C21" i="17"/>
  <c r="D21" i="17" s="1"/>
  <c r="I58" i="17"/>
  <c r="J58" i="17" s="1"/>
  <c r="I57" i="17"/>
  <c r="J57" i="17" s="1"/>
  <c r="C75" i="17"/>
  <c r="D75" i="17" s="1"/>
  <c r="C11" i="17"/>
  <c r="D11" i="17" s="1"/>
  <c r="C12" i="17"/>
  <c r="D12" i="17" s="1"/>
  <c r="I16" i="17"/>
  <c r="J16" i="17" s="1"/>
  <c r="I52" i="17"/>
  <c r="J52" i="17" s="1"/>
  <c r="I70" i="17"/>
  <c r="J70" i="17" s="1"/>
  <c r="I84" i="17"/>
  <c r="J84" i="17" s="1"/>
  <c r="I100" i="17"/>
  <c r="J100" i="17" s="1"/>
  <c r="I117" i="17"/>
  <c r="J117" i="17" s="1"/>
  <c r="I134" i="17"/>
  <c r="J134" i="17" s="1"/>
  <c r="I150" i="17"/>
  <c r="J150" i="17" s="1"/>
  <c r="I11" i="17"/>
  <c r="J11" i="17" s="1"/>
  <c r="C35" i="17"/>
  <c r="D35" i="17" s="1"/>
  <c r="C40" i="17"/>
  <c r="D40" i="17" s="1"/>
  <c r="C48" i="17"/>
  <c r="D48" i="17" s="1"/>
  <c r="I118" i="17"/>
  <c r="J118" i="17" s="1"/>
  <c r="C18" i="17"/>
  <c r="D18" i="17" s="1"/>
  <c r="C17" i="17"/>
  <c r="D17" i="17" s="1"/>
  <c r="I30" i="17"/>
  <c r="J30" i="17" s="1"/>
  <c r="C62" i="17"/>
  <c r="D62" i="17" s="1"/>
  <c r="C66" i="17"/>
  <c r="D66" i="17" s="1"/>
  <c r="I85" i="17"/>
  <c r="J85" i="17" s="1"/>
  <c r="I102" i="17"/>
  <c r="J102" i="17" s="1"/>
  <c r="I119" i="17"/>
  <c r="J119" i="17" s="1"/>
  <c r="I135" i="17"/>
  <c r="J135" i="17" s="1"/>
  <c r="I152" i="17"/>
  <c r="J152" i="17" s="1"/>
  <c r="C31" i="17"/>
  <c r="D31" i="17" s="1"/>
  <c r="C32" i="17"/>
  <c r="D32" i="17" s="1"/>
  <c r="I7" i="17"/>
  <c r="J7" i="17" s="1"/>
  <c r="I8" i="17"/>
  <c r="J8" i="17" s="1"/>
  <c r="I18" i="17"/>
  <c r="J18" i="17" s="1"/>
  <c r="I17" i="17"/>
  <c r="J17" i="17" s="1"/>
  <c r="I62" i="17"/>
  <c r="J62" i="17" s="1"/>
  <c r="C76" i="17"/>
  <c r="D76" i="17" s="1"/>
  <c r="I103" i="17"/>
  <c r="J103" i="17" s="1"/>
  <c r="I153" i="17"/>
  <c r="I44" i="17"/>
  <c r="J44" i="17" s="1"/>
  <c r="I64" i="17"/>
  <c r="J64" i="17" s="1"/>
  <c r="C68" i="17"/>
  <c r="D68" i="17" s="1"/>
  <c r="I8" i="14"/>
  <c r="J8" i="14" s="1"/>
  <c r="I9" i="14"/>
  <c r="J9" i="14" s="1"/>
  <c r="O74" i="14"/>
  <c r="P74" i="14" s="1"/>
  <c r="O54" i="14"/>
  <c r="P54" i="14" s="1"/>
  <c r="O34" i="14"/>
  <c r="P34" i="14" s="1"/>
  <c r="N14" i="14"/>
  <c r="O14" i="16"/>
  <c r="P14" i="16" s="1"/>
  <c r="I46" i="14"/>
  <c r="J46" i="14" s="1"/>
  <c r="I65" i="14"/>
  <c r="J65" i="14" s="1"/>
  <c r="I120" i="14"/>
  <c r="J120" i="14" s="1"/>
  <c r="I30" i="14"/>
  <c r="J30" i="14" s="1"/>
  <c r="I49" i="14"/>
  <c r="J49" i="14" s="1"/>
  <c r="I50" i="14"/>
  <c r="J50" i="14" s="1"/>
  <c r="I105" i="14"/>
  <c r="J105" i="14" s="1"/>
  <c r="I69" i="14"/>
  <c r="J69" i="14" s="1"/>
  <c r="I70" i="14"/>
  <c r="J70" i="14" s="1"/>
  <c r="I106" i="14"/>
  <c r="J106" i="14" s="1"/>
  <c r="I107" i="14"/>
  <c r="J107" i="14" s="1"/>
  <c r="I141" i="14"/>
  <c r="J141" i="14" s="1"/>
  <c r="C19" i="16"/>
  <c r="D19" i="16" s="1"/>
  <c r="I138" i="14"/>
  <c r="J138" i="14" s="1"/>
  <c r="O69" i="14"/>
  <c r="P69" i="14" s="1"/>
  <c r="O49" i="14"/>
  <c r="P49" i="14" s="1"/>
  <c r="O29" i="14"/>
  <c r="P29" i="14" s="1"/>
  <c r="O9" i="16"/>
  <c r="P9" i="16" s="1"/>
  <c r="C11" i="16"/>
  <c r="D11" i="16" s="1"/>
  <c r="C51" i="16"/>
  <c r="D51" i="16" s="1"/>
  <c r="I90" i="14"/>
  <c r="J90" i="14" s="1"/>
  <c r="I91" i="14"/>
  <c r="J91" i="14" s="1"/>
  <c r="I34" i="14"/>
  <c r="J34" i="14" s="1"/>
  <c r="I35" i="14"/>
  <c r="J35" i="14" s="1"/>
  <c r="I122" i="14"/>
  <c r="J122" i="14" s="1"/>
  <c r="C27" i="14"/>
  <c r="D27" i="14" s="1"/>
  <c r="C47" i="14"/>
  <c r="D47" i="14" s="1"/>
  <c r="C67" i="14"/>
  <c r="D67" i="14" s="1"/>
  <c r="I54" i="14"/>
  <c r="J54" i="14" s="1"/>
  <c r="I55" i="14"/>
  <c r="J55" i="14" s="1"/>
  <c r="I138" i="16"/>
  <c r="J138" i="16" s="1"/>
  <c r="I139" i="16"/>
  <c r="J139" i="16" s="1"/>
  <c r="O25" i="16"/>
  <c r="P25" i="16" s="1"/>
  <c r="C8" i="14"/>
  <c r="D8" i="14" s="1"/>
  <c r="C29" i="14"/>
  <c r="D29" i="14" s="1"/>
  <c r="C49" i="14"/>
  <c r="D49" i="14" s="1"/>
  <c r="C69" i="14"/>
  <c r="D69" i="14" s="1"/>
  <c r="I94" i="14"/>
  <c r="J94" i="14" s="1"/>
  <c r="I110" i="14"/>
  <c r="J110" i="14" s="1"/>
  <c r="C10" i="14"/>
  <c r="D10" i="14" s="1"/>
  <c r="I75" i="14"/>
  <c r="J75" i="14" s="1"/>
  <c r="I130" i="14"/>
  <c r="J130" i="14" s="1"/>
  <c r="I131" i="14"/>
  <c r="J131" i="14" s="1"/>
  <c r="N62" i="14"/>
  <c r="C11" i="14"/>
  <c r="D11" i="14" s="1"/>
  <c r="I149" i="14"/>
  <c r="J149" i="14" s="1"/>
  <c r="I150" i="14"/>
  <c r="J150" i="14" s="1"/>
  <c r="I14" i="16"/>
  <c r="J14" i="16" s="1"/>
  <c r="I15" i="16"/>
  <c r="J15" i="16" s="1"/>
  <c r="N60" i="14"/>
  <c r="C13" i="14"/>
  <c r="D13" i="14" s="1"/>
  <c r="C33" i="14"/>
  <c r="D33" i="14" s="1"/>
  <c r="C53" i="14"/>
  <c r="D53" i="14" s="1"/>
  <c r="C73" i="14"/>
  <c r="D73" i="14" s="1"/>
  <c r="I41" i="14"/>
  <c r="J41" i="14" s="1"/>
  <c r="I114" i="14"/>
  <c r="J114" i="14" s="1"/>
  <c r="I115" i="14"/>
  <c r="J115" i="14" s="1"/>
  <c r="C71" i="16"/>
  <c r="D71" i="16" s="1"/>
  <c r="N22" i="14"/>
  <c r="N61" i="14"/>
  <c r="N40" i="14"/>
  <c r="I60" i="14"/>
  <c r="J60" i="14" s="1"/>
  <c r="N42" i="14"/>
  <c r="N41" i="14"/>
  <c r="C32" i="16"/>
  <c r="D32" i="16" s="1"/>
  <c r="N21" i="14"/>
  <c r="O21" i="14" s="1"/>
  <c r="P21" i="14" s="1"/>
  <c r="N77" i="14"/>
  <c r="N57" i="14"/>
  <c r="N17" i="14"/>
  <c r="I62" i="14"/>
  <c r="J62" i="14" s="1"/>
  <c r="I81" i="14"/>
  <c r="J81" i="14" s="1"/>
  <c r="I100" i="14"/>
  <c r="J100" i="14" s="1"/>
  <c r="I136" i="14"/>
  <c r="J136" i="14" s="1"/>
  <c r="I135" i="14"/>
  <c r="J135" i="14" s="1"/>
  <c r="O3" i="14"/>
  <c r="P3" i="14" s="1"/>
  <c r="I55" i="16"/>
  <c r="J55" i="16" s="1"/>
  <c r="N76" i="14"/>
  <c r="O76" i="14" s="1"/>
  <c r="P76" i="14" s="1"/>
  <c r="N56" i="14"/>
  <c r="O56" i="14" s="1"/>
  <c r="P56" i="14" s="1"/>
  <c r="N36" i="14"/>
  <c r="O37" i="14" s="1"/>
  <c r="P37" i="14" s="1"/>
  <c r="N16" i="14"/>
  <c r="I7" i="14"/>
  <c r="J7" i="14" s="1"/>
  <c r="I25" i="14"/>
  <c r="J25" i="14" s="1"/>
  <c r="I7" i="16"/>
  <c r="J7" i="16" s="1"/>
  <c r="AF55" i="10"/>
  <c r="N19" i="14"/>
  <c r="N39" i="14"/>
  <c r="N59" i="14"/>
  <c r="I73" i="16"/>
  <c r="J73" i="16" s="1"/>
  <c r="I108" i="16"/>
  <c r="J108" i="16" s="1"/>
  <c r="I123" i="16"/>
  <c r="J123" i="16" s="1"/>
  <c r="AI63" i="10"/>
  <c r="C22" i="14"/>
  <c r="D22" i="14" s="1"/>
  <c r="O19" i="16"/>
  <c r="P19" i="16" s="1"/>
  <c r="C74" i="16"/>
  <c r="D74" i="16" s="1"/>
  <c r="I79" i="16"/>
  <c r="J79" i="16" s="1"/>
  <c r="I140" i="16"/>
  <c r="J140" i="16" s="1"/>
  <c r="I93" i="16"/>
  <c r="J93" i="16" s="1"/>
  <c r="AI43" i="10"/>
  <c r="O10" i="16"/>
  <c r="P10" i="16" s="1"/>
  <c r="I29" i="16"/>
  <c r="J29" i="16" s="1"/>
  <c r="O33" i="16"/>
  <c r="P33" i="16" s="1"/>
  <c r="C44" i="16"/>
  <c r="D44" i="16" s="1"/>
  <c r="C59" i="16"/>
  <c r="D59" i="16" s="1"/>
  <c r="O69" i="16"/>
  <c r="P69" i="16" s="1"/>
  <c r="I95" i="16"/>
  <c r="J95" i="16" s="1"/>
  <c r="I125" i="16"/>
  <c r="J125" i="16" s="1"/>
  <c r="AI23" i="10"/>
  <c r="N3" i="14"/>
  <c r="N23" i="14"/>
  <c r="N43" i="14"/>
  <c r="N63" i="14"/>
  <c r="C25" i="16"/>
  <c r="D25" i="16" s="1"/>
  <c r="C34" i="16"/>
  <c r="D34" i="16" s="1"/>
  <c r="C49" i="16"/>
  <c r="D49" i="16" s="1"/>
  <c r="C54" i="16"/>
  <c r="D54" i="16" s="1"/>
  <c r="I59" i="16"/>
  <c r="J59" i="16" s="1"/>
  <c r="AJ19" i="10"/>
  <c r="N25" i="14"/>
  <c r="N45" i="14"/>
  <c r="N65" i="14"/>
  <c r="I143" i="16"/>
  <c r="J143" i="16" s="1"/>
  <c r="N26" i="14"/>
  <c r="N46" i="14"/>
  <c r="N66" i="14"/>
  <c r="C7" i="16"/>
  <c r="D7" i="16" s="1"/>
  <c r="O39" i="16"/>
  <c r="P39" i="16" s="1"/>
  <c r="O71" i="16"/>
  <c r="P71" i="16" s="1"/>
  <c r="I98" i="16"/>
  <c r="J98" i="16" s="1"/>
  <c r="I128" i="16"/>
  <c r="J128" i="16" s="1"/>
  <c r="N7" i="14"/>
  <c r="O7" i="14" s="1"/>
  <c r="P7" i="14" s="1"/>
  <c r="N27" i="14"/>
  <c r="N47" i="14"/>
  <c r="N67" i="14"/>
  <c r="I21" i="16"/>
  <c r="J21" i="16" s="1"/>
  <c r="O31" i="16"/>
  <c r="P31" i="16" s="1"/>
  <c r="C40" i="16"/>
  <c r="D40" i="16" s="1"/>
  <c r="I45" i="16"/>
  <c r="J45" i="16" s="1"/>
  <c r="C55" i="16"/>
  <c r="D55" i="16" s="1"/>
  <c r="I83" i="16"/>
  <c r="J83" i="16" s="1"/>
  <c r="I113" i="16"/>
  <c r="J113" i="16" s="1"/>
  <c r="I145" i="16"/>
  <c r="J145" i="16" s="1"/>
  <c r="N8" i="14"/>
  <c r="C12" i="16"/>
  <c r="D12" i="16" s="1"/>
  <c r="I35" i="16"/>
  <c r="J35" i="16" s="1"/>
  <c r="N9" i="14"/>
  <c r="O10" i="14" s="1"/>
  <c r="P10" i="14" s="1"/>
  <c r="C22" i="16"/>
  <c r="D22" i="16" s="1"/>
  <c r="I85" i="16"/>
  <c r="J85" i="16" s="1"/>
  <c r="I100" i="16"/>
  <c r="J100" i="16" s="1"/>
  <c r="I146" i="14"/>
  <c r="J146" i="14" s="1"/>
  <c r="C41" i="16"/>
  <c r="D41" i="16" s="1"/>
  <c r="I115" i="16"/>
  <c r="J115" i="16" s="1"/>
  <c r="I85" i="14"/>
  <c r="J85" i="14" s="1"/>
  <c r="N31" i="14"/>
  <c r="O31" i="14" s="1"/>
  <c r="P31" i="14" s="1"/>
  <c r="N51" i="14"/>
  <c r="O51" i="14" s="1"/>
  <c r="P51" i="14" s="1"/>
  <c r="N71" i="14"/>
  <c r="O71" i="14" s="1"/>
  <c r="P71" i="14" s="1"/>
  <c r="C27" i="16"/>
  <c r="D27" i="16" s="1"/>
  <c r="C67" i="16"/>
  <c r="D67" i="16" s="1"/>
  <c r="I148" i="16"/>
  <c r="J148" i="16" s="1"/>
  <c r="AA75" i="10"/>
  <c r="N72" i="14"/>
  <c r="I8" i="16"/>
  <c r="J8" i="16" s="1"/>
  <c r="I102" i="16"/>
  <c r="J102" i="16" s="1"/>
  <c r="I133" i="16"/>
  <c r="J133" i="16" s="1"/>
  <c r="AA55" i="10"/>
  <c r="N13" i="14"/>
  <c r="O13" i="14" s="1"/>
  <c r="P13" i="14" s="1"/>
  <c r="O4" i="16"/>
  <c r="P4" i="16" s="1"/>
  <c r="I36" i="16"/>
  <c r="J36" i="16" s="1"/>
  <c r="I51" i="16"/>
  <c r="J51" i="16" s="1"/>
  <c r="I56" i="16"/>
  <c r="J56" i="16" s="1"/>
  <c r="I67" i="16"/>
  <c r="J67" i="16" s="1"/>
  <c r="C72" i="16"/>
  <c r="D72" i="16" s="1"/>
  <c r="I88" i="16"/>
  <c r="J88" i="16" s="1"/>
  <c r="I134" i="16"/>
  <c r="J134" i="16" s="1"/>
  <c r="AD63" i="10"/>
  <c r="I102" i="14"/>
  <c r="J102" i="14" s="1"/>
  <c r="O27" i="16"/>
  <c r="P27" i="16" s="1"/>
  <c r="C47" i="16"/>
  <c r="D47" i="16" s="1"/>
  <c r="O67" i="16"/>
  <c r="P67" i="16" s="1"/>
  <c r="C77" i="16"/>
  <c r="D77" i="16" s="1"/>
  <c r="I89" i="16"/>
  <c r="J89" i="16" s="1"/>
  <c r="I118" i="16"/>
  <c r="J118" i="16" s="1"/>
  <c r="I135" i="16"/>
  <c r="J135" i="16" s="1"/>
  <c r="N15" i="14"/>
  <c r="N35" i="14"/>
  <c r="O35" i="14" s="1"/>
  <c r="P35" i="14" s="1"/>
  <c r="C9" i="16"/>
  <c r="D9" i="16" s="1"/>
  <c r="C37" i="16"/>
  <c r="D37" i="16" s="1"/>
  <c r="C52" i="16"/>
  <c r="D52" i="16" s="1"/>
  <c r="C57" i="16"/>
  <c r="D57" i="16" s="1"/>
  <c r="C63" i="16"/>
  <c r="D63" i="16" s="1"/>
  <c r="I77" i="16"/>
  <c r="J77" i="16" s="1"/>
  <c r="AE59" i="10"/>
  <c r="O24" i="16"/>
  <c r="P24" i="16" s="1"/>
  <c r="I57" i="16"/>
  <c r="J57" i="16" s="1"/>
  <c r="I63" i="16"/>
  <c r="J63" i="16" s="1"/>
  <c r="I120" i="16"/>
  <c r="J120" i="16" s="1"/>
  <c r="C14" i="16"/>
  <c r="D14" i="16" s="1"/>
  <c r="I32" i="16"/>
  <c r="J32" i="16" s="1"/>
  <c r="O47" i="16"/>
  <c r="P47" i="16" s="1"/>
  <c r="I52" i="16"/>
  <c r="J52" i="16" s="1"/>
  <c r="I68" i="16"/>
  <c r="J68" i="16" s="1"/>
  <c r="I153" i="16"/>
  <c r="J153" i="16" s="1"/>
  <c r="I131" i="16"/>
  <c r="J131" i="16" s="1"/>
  <c r="I40" i="16"/>
  <c r="J40" i="16" s="1"/>
  <c r="I111" i="16"/>
  <c r="J111" i="16" s="1"/>
  <c r="I122" i="16"/>
  <c r="J122" i="16" s="1"/>
  <c r="C64" i="16"/>
  <c r="D64" i="16" s="1"/>
  <c r="I4" i="16"/>
  <c r="J4" i="16" s="1"/>
  <c r="I22" i="16"/>
  <c r="J22" i="16" s="1"/>
  <c r="C26" i="16"/>
  <c r="D26" i="16" s="1"/>
  <c r="C33" i="16"/>
  <c r="D33" i="16" s="1"/>
  <c r="C60" i="16"/>
  <c r="D60" i="16" s="1"/>
  <c r="I71" i="16"/>
  <c r="J71" i="16" s="1"/>
  <c r="I101" i="16"/>
  <c r="J101" i="16" s="1"/>
  <c r="I112" i="16"/>
  <c r="J112" i="16" s="1"/>
  <c r="I121" i="16"/>
  <c r="J121" i="16" s="1"/>
  <c r="C8" i="16"/>
  <c r="D8" i="16" s="1"/>
  <c r="I60" i="16"/>
  <c r="J60" i="16" s="1"/>
  <c r="I64" i="16"/>
  <c r="J64" i="16" s="1"/>
  <c r="C68" i="16"/>
  <c r="D68" i="16" s="1"/>
  <c r="I90" i="16"/>
  <c r="J90" i="16" s="1"/>
  <c r="I124" i="16"/>
  <c r="J124" i="16" s="1"/>
  <c r="I146" i="16"/>
  <c r="J146" i="16" s="1"/>
  <c r="I11" i="16"/>
  <c r="J11" i="16" s="1"/>
  <c r="I18" i="16"/>
  <c r="J18" i="16" s="1"/>
  <c r="I37" i="16"/>
  <c r="J37" i="16" s="1"/>
  <c r="I41" i="16"/>
  <c r="J41" i="16" s="1"/>
  <c r="I91" i="16"/>
  <c r="J91" i="16" s="1"/>
  <c r="C15" i="16"/>
  <c r="D15" i="16" s="1"/>
  <c r="O45" i="16"/>
  <c r="P45" i="16" s="1"/>
  <c r="C42" i="16"/>
  <c r="D42" i="16" s="1"/>
  <c r="I49" i="16"/>
  <c r="J49" i="16" s="1"/>
  <c r="I81" i="16"/>
  <c r="J81" i="16" s="1"/>
  <c r="I92" i="16"/>
  <c r="J92" i="16" s="1"/>
  <c r="I136" i="16"/>
  <c r="J136" i="16" s="1"/>
  <c r="C6" i="16"/>
  <c r="D6" i="16" s="1"/>
  <c r="C5" i="16"/>
  <c r="D5" i="16" s="1"/>
  <c r="C23" i="16"/>
  <c r="D23" i="16" s="1"/>
  <c r="I30" i="16"/>
  <c r="J30" i="16" s="1"/>
  <c r="I42" i="16"/>
  <c r="J42" i="16" s="1"/>
  <c r="C46" i="16"/>
  <c r="D46" i="16" s="1"/>
  <c r="C53" i="16"/>
  <c r="D53" i="16" s="1"/>
  <c r="I104" i="16"/>
  <c r="J104" i="16" s="1"/>
  <c r="I126" i="16"/>
  <c r="J126" i="16" s="1"/>
  <c r="I137" i="16"/>
  <c r="J137" i="16" s="1"/>
  <c r="I23" i="16"/>
  <c r="J23" i="16" s="1"/>
  <c r="C38" i="16"/>
  <c r="D38" i="16" s="1"/>
  <c r="C65" i="16"/>
  <c r="D65" i="16" s="1"/>
  <c r="C76" i="16"/>
  <c r="D76" i="16" s="1"/>
  <c r="I82" i="16"/>
  <c r="J82" i="16" s="1"/>
  <c r="I34" i="16"/>
  <c r="J34" i="16" s="1"/>
  <c r="I38" i="16"/>
  <c r="J38" i="16" s="1"/>
  <c r="I61" i="16"/>
  <c r="J61" i="16" s="1"/>
  <c r="I72" i="16"/>
  <c r="J72" i="16" s="1"/>
  <c r="I76" i="16"/>
  <c r="J76" i="16" s="1"/>
  <c r="I94" i="16"/>
  <c r="J94" i="16" s="1"/>
  <c r="I116" i="16"/>
  <c r="J116" i="16" s="1"/>
  <c r="I127" i="16"/>
  <c r="J127" i="16" s="1"/>
  <c r="I27" i="16"/>
  <c r="J27" i="16" s="1"/>
  <c r="O65" i="16"/>
  <c r="P65" i="16" s="1"/>
  <c r="I105" i="16"/>
  <c r="J105" i="16" s="1"/>
  <c r="C24" i="16"/>
  <c r="D24" i="16" s="1"/>
  <c r="C31" i="16"/>
  <c r="D31" i="16" s="1"/>
  <c r="C35" i="16"/>
  <c r="D35" i="16" s="1"/>
  <c r="C62" i="16"/>
  <c r="D62" i="16" s="1"/>
  <c r="I69" i="16"/>
  <c r="J69" i="16" s="1"/>
  <c r="I106" i="16"/>
  <c r="J106" i="16" s="1"/>
  <c r="I117" i="16"/>
  <c r="J117" i="16" s="1"/>
  <c r="I9" i="16"/>
  <c r="J9" i="16" s="1"/>
  <c r="I12" i="16"/>
  <c r="J12" i="16" s="1"/>
  <c r="C16" i="16"/>
  <c r="D16" i="16" s="1"/>
  <c r="C20" i="16"/>
  <c r="D20" i="16" s="1"/>
  <c r="I31" i="16"/>
  <c r="J31" i="16" s="1"/>
  <c r="C43" i="16"/>
  <c r="D43" i="16" s="1"/>
  <c r="I50" i="16"/>
  <c r="J50" i="16" s="1"/>
  <c r="I62" i="16"/>
  <c r="J62" i="16" s="1"/>
  <c r="C66" i="16"/>
  <c r="D66" i="16" s="1"/>
  <c r="C73" i="16"/>
  <c r="D73" i="16" s="1"/>
  <c r="I129" i="16"/>
  <c r="J129" i="16" s="1"/>
  <c r="I151" i="16"/>
  <c r="J151" i="16" s="1"/>
  <c r="I16" i="16"/>
  <c r="J16" i="16" s="1"/>
  <c r="I20" i="16"/>
  <c r="J20" i="16" s="1"/>
  <c r="I24" i="16"/>
  <c r="J24" i="16" s="1"/>
  <c r="C28" i="16"/>
  <c r="D28" i="16" s="1"/>
  <c r="I43" i="16"/>
  <c r="J43" i="16" s="1"/>
  <c r="C58" i="16"/>
  <c r="D58" i="16" s="1"/>
  <c r="I96" i="16"/>
  <c r="J96" i="16" s="1"/>
  <c r="I107" i="16"/>
  <c r="J107" i="16" s="1"/>
  <c r="I78" i="16"/>
  <c r="J78" i="16" s="1"/>
  <c r="O16" i="16"/>
  <c r="P16" i="16" s="1"/>
  <c r="I54" i="16"/>
  <c r="J54" i="16" s="1"/>
  <c r="I58" i="16"/>
  <c r="J58" i="16" s="1"/>
  <c r="I119" i="16"/>
  <c r="J119" i="16" s="1"/>
  <c r="I141" i="16"/>
  <c r="J141" i="16" s="1"/>
  <c r="I152" i="16"/>
  <c r="J152" i="16" s="1"/>
  <c r="C13" i="16"/>
  <c r="D13" i="16" s="1"/>
  <c r="I47" i="16"/>
  <c r="J47" i="16" s="1"/>
  <c r="I86" i="16"/>
  <c r="J86" i="16" s="1"/>
  <c r="I97" i="16"/>
  <c r="J97" i="16" s="1"/>
  <c r="I13" i="16"/>
  <c r="J13" i="16" s="1"/>
  <c r="C17" i="16"/>
  <c r="D17" i="16" s="1"/>
  <c r="C5" i="14"/>
  <c r="D5" i="14" s="1"/>
  <c r="C4" i="14"/>
  <c r="D4" i="14" s="1"/>
  <c r="AJ21" i="10"/>
  <c r="AE21" i="10"/>
  <c r="AF21" i="10"/>
  <c r="AA21" i="10"/>
  <c r="AG21" i="10"/>
  <c r="AB21" i="10"/>
  <c r="AH21" i="10"/>
  <c r="AC21" i="10"/>
  <c r="AI21" i="10"/>
  <c r="AD21" i="10"/>
  <c r="AH71" i="10"/>
  <c r="AC71" i="10"/>
  <c r="AI71" i="10"/>
  <c r="AD71" i="10"/>
  <c r="AJ71" i="10"/>
  <c r="AE71" i="10"/>
  <c r="AF71" i="10"/>
  <c r="AA71" i="10"/>
  <c r="AH11" i="10"/>
  <c r="AC11" i="10"/>
  <c r="AI11" i="10"/>
  <c r="AD11" i="10"/>
  <c r="AJ11" i="10"/>
  <c r="AE11" i="10"/>
  <c r="AF11" i="10"/>
  <c r="AA11" i="10"/>
  <c r="AB11" i="10"/>
  <c r="AH67" i="10"/>
  <c r="AJ41" i="10"/>
  <c r="AE41" i="10"/>
  <c r="AF41" i="10"/>
  <c r="AA41" i="10"/>
  <c r="AG41" i="10"/>
  <c r="AB41" i="10"/>
  <c r="AH41" i="10"/>
  <c r="AC41" i="10"/>
  <c r="AI41" i="10"/>
  <c r="AD41" i="10"/>
  <c r="AH51" i="10"/>
  <c r="AC51" i="10"/>
  <c r="AI51" i="10"/>
  <c r="AD51" i="10"/>
  <c r="AJ51" i="10"/>
  <c r="AE51" i="10"/>
  <c r="AF51" i="10"/>
  <c r="AA51" i="10"/>
  <c r="AH50" i="10"/>
  <c r="AC50" i="10"/>
  <c r="AI50" i="10"/>
  <c r="AD50" i="10"/>
  <c r="AJ50" i="10"/>
  <c r="AE50" i="10"/>
  <c r="AF50" i="10"/>
  <c r="AA50" i="10"/>
  <c r="AG50" i="10"/>
  <c r="AB50" i="10"/>
  <c r="AH47" i="10"/>
  <c r="AJ61" i="10"/>
  <c r="AE61" i="10"/>
  <c r="AF61" i="10"/>
  <c r="AA61" i="10"/>
  <c r="AG61" i="10"/>
  <c r="AB61" i="10"/>
  <c r="AH61" i="10"/>
  <c r="AC61" i="10"/>
  <c r="AI61" i="10"/>
  <c r="AD61" i="10"/>
  <c r="AH31" i="10"/>
  <c r="AC31" i="10"/>
  <c r="AI31" i="10"/>
  <c r="AD31" i="10"/>
  <c r="AJ31" i="10"/>
  <c r="AE31" i="10"/>
  <c r="AF31" i="10"/>
  <c r="AA31" i="10"/>
  <c r="AH70" i="10"/>
  <c r="AC70" i="10"/>
  <c r="AI70" i="10"/>
  <c r="AD70" i="10"/>
  <c r="AJ70" i="10"/>
  <c r="AE70" i="10"/>
  <c r="AF70" i="10"/>
  <c r="AA70" i="10"/>
  <c r="AG70" i="10"/>
  <c r="AB70" i="10"/>
  <c r="AH30" i="10"/>
  <c r="AC30" i="10"/>
  <c r="AI30" i="10"/>
  <c r="AD30" i="10"/>
  <c r="AJ30" i="10"/>
  <c r="AE30" i="10"/>
  <c r="AF30" i="10"/>
  <c r="AA30" i="10"/>
  <c r="AG30" i="10"/>
  <c r="AB30" i="10"/>
  <c r="AH10" i="10"/>
  <c r="AC10" i="10"/>
  <c r="AI10" i="10"/>
  <c r="AD10" i="10"/>
  <c r="AJ10" i="10"/>
  <c r="AE10" i="10"/>
  <c r="AF10" i="10"/>
  <c r="AA10" i="10"/>
  <c r="AG10" i="10"/>
  <c r="AB10" i="10"/>
  <c r="AH69" i="10"/>
  <c r="AC69" i="10"/>
  <c r="AI69" i="10"/>
  <c r="AD69" i="10"/>
  <c r="AJ69" i="10"/>
  <c r="AE69" i="10"/>
  <c r="AF69" i="10"/>
  <c r="AA69" i="10"/>
  <c r="AG69" i="10"/>
  <c r="AB69" i="10"/>
  <c r="AH49" i="10"/>
  <c r="AC49" i="10"/>
  <c r="AI49" i="10"/>
  <c r="AD49" i="10"/>
  <c r="AJ49" i="10"/>
  <c r="AE49" i="10"/>
  <c r="AF49" i="10"/>
  <c r="AA49" i="10"/>
  <c r="AG49" i="10"/>
  <c r="AB49" i="10"/>
  <c r="AH29" i="10"/>
  <c r="AC29" i="10"/>
  <c r="AI29" i="10"/>
  <c r="AD29" i="10"/>
  <c r="AJ29" i="10"/>
  <c r="AE29" i="10"/>
  <c r="AF29" i="10"/>
  <c r="AA29" i="10"/>
  <c r="AG29" i="10"/>
  <c r="AB29" i="10"/>
  <c r="AH9" i="10"/>
  <c r="AC9" i="10"/>
  <c r="AI9" i="10"/>
  <c r="AD9" i="10"/>
  <c r="AJ9" i="10"/>
  <c r="AE9" i="10"/>
  <c r="AF9" i="10"/>
  <c r="AA9" i="10"/>
  <c r="AG9" i="10"/>
  <c r="AB9" i="10"/>
  <c r="AH27" i="10"/>
  <c r="AI5" i="10"/>
  <c r="AD5" i="10"/>
  <c r="AJ5" i="10"/>
  <c r="AE5" i="10"/>
  <c r="AF5" i="10"/>
  <c r="AA5" i="10"/>
  <c r="AG5" i="10"/>
  <c r="AB5" i="10"/>
  <c r="AH5" i="10"/>
  <c r="AC5" i="10"/>
  <c r="AI68" i="10"/>
  <c r="AD68" i="10"/>
  <c r="AJ68" i="10"/>
  <c r="AE68" i="10"/>
  <c r="AF68" i="10"/>
  <c r="AA68" i="10"/>
  <c r="AG68" i="10"/>
  <c r="AB68" i="10"/>
  <c r="AH68" i="10"/>
  <c r="AC68" i="10"/>
  <c r="AI48" i="10"/>
  <c r="AD48" i="10"/>
  <c r="AJ48" i="10"/>
  <c r="AE48" i="10"/>
  <c r="AF48" i="10"/>
  <c r="AA48" i="10"/>
  <c r="AG48" i="10"/>
  <c r="AB48" i="10"/>
  <c r="AH48" i="10"/>
  <c r="AC48" i="10"/>
  <c r="AI28" i="10"/>
  <c r="AD28" i="10"/>
  <c r="AJ28" i="10"/>
  <c r="AE28" i="10"/>
  <c r="AF28" i="10"/>
  <c r="AA28" i="10"/>
  <c r="AG28" i="10"/>
  <c r="AB28" i="10"/>
  <c r="AH28" i="10"/>
  <c r="AC28" i="10"/>
  <c r="AI8" i="10"/>
  <c r="AD8" i="10"/>
  <c r="AJ8" i="10"/>
  <c r="AE8" i="10"/>
  <c r="AF8" i="10"/>
  <c r="AA8" i="10"/>
  <c r="AG8" i="10"/>
  <c r="AB8" i="10"/>
  <c r="AH8" i="10"/>
  <c r="AC8" i="10"/>
  <c r="AH7" i="10"/>
  <c r="AJ64" i="10"/>
  <c r="AE64" i="10"/>
  <c r="AF64" i="10"/>
  <c r="AA64" i="10"/>
  <c r="AG64" i="10"/>
  <c r="AB64" i="10"/>
  <c r="AH64" i="10"/>
  <c r="AC64" i="10"/>
  <c r="AI64" i="10"/>
  <c r="AD64" i="10"/>
  <c r="AJ44" i="10"/>
  <c r="AE44" i="10"/>
  <c r="AF44" i="10"/>
  <c r="AA44" i="10"/>
  <c r="AG44" i="10"/>
  <c r="AB44" i="10"/>
  <c r="AH44" i="10"/>
  <c r="AC44" i="10"/>
  <c r="AI44" i="10"/>
  <c r="AD44" i="10"/>
  <c r="AJ24" i="10"/>
  <c r="AE24" i="10"/>
  <c r="AF24" i="10"/>
  <c r="AA24" i="10"/>
  <c r="AG24" i="10"/>
  <c r="AB24" i="10"/>
  <c r="AH24" i="10"/>
  <c r="AC24" i="10"/>
  <c r="AI24" i="10"/>
  <c r="AD24" i="10"/>
  <c r="AJ4" i="10"/>
  <c r="AE4" i="10"/>
  <c r="AF4" i="10"/>
  <c r="AA4" i="10"/>
  <c r="AG4" i="10"/>
  <c r="AB4" i="10"/>
  <c r="AH4" i="10"/>
  <c r="AC4" i="10"/>
  <c r="AI4" i="10"/>
  <c r="AD4" i="10"/>
  <c r="AJ63" i="10"/>
  <c r="AE63" i="10"/>
  <c r="AF63" i="10"/>
  <c r="AA63" i="10"/>
  <c r="AG63" i="10"/>
  <c r="AB63" i="10"/>
  <c r="AH63" i="10"/>
  <c r="AC63" i="10"/>
  <c r="AJ43" i="10"/>
  <c r="AE43" i="10"/>
  <c r="AF43" i="10"/>
  <c r="AA43" i="10"/>
  <c r="AG43" i="10"/>
  <c r="AB43" i="10"/>
  <c r="AH43" i="10"/>
  <c r="AC43" i="10"/>
  <c r="AJ23" i="10"/>
  <c r="AE23" i="10"/>
  <c r="AF23" i="10"/>
  <c r="AA23" i="10"/>
  <c r="AG23" i="10"/>
  <c r="AB23" i="10"/>
  <c r="AH23" i="10"/>
  <c r="AC23" i="10"/>
  <c r="AJ3" i="10"/>
  <c r="AE3" i="10"/>
  <c r="AF3" i="10"/>
  <c r="AA3" i="10"/>
  <c r="AG3" i="10"/>
  <c r="AB3" i="10"/>
  <c r="AH3" i="10"/>
  <c r="AC3" i="10"/>
  <c r="AD3" i="10"/>
  <c r="AI67" i="10"/>
  <c r="AD67" i="10"/>
  <c r="AJ67" i="10"/>
  <c r="AE67" i="10"/>
  <c r="AF67" i="10"/>
  <c r="AA67" i="10"/>
  <c r="AG67" i="10"/>
  <c r="AB67" i="10"/>
  <c r="AI7" i="10"/>
  <c r="AD7" i="10"/>
  <c r="AJ7" i="10"/>
  <c r="AE7" i="10"/>
  <c r="AF7" i="10"/>
  <c r="AA7" i="10"/>
  <c r="AG7" i="10"/>
  <c r="AB7" i="10"/>
  <c r="AI46" i="10"/>
  <c r="AD46" i="10"/>
  <c r="AJ46" i="10"/>
  <c r="AE46" i="10"/>
  <c r="AF46" i="10"/>
  <c r="AA46" i="10"/>
  <c r="AG46" i="10"/>
  <c r="AB46" i="10"/>
  <c r="AH46" i="10"/>
  <c r="AC46" i="10"/>
  <c r="AI65" i="10"/>
  <c r="AD65" i="10"/>
  <c r="AJ65" i="10"/>
  <c r="AE65" i="10"/>
  <c r="AF65" i="10"/>
  <c r="AA65" i="10"/>
  <c r="AG65" i="10"/>
  <c r="AB65" i="10"/>
  <c r="AH65" i="10"/>
  <c r="AC65" i="10"/>
  <c r="AF19" i="10"/>
  <c r="AA19" i="10"/>
  <c r="AG19" i="10"/>
  <c r="AB19" i="10"/>
  <c r="AH19" i="10"/>
  <c r="AC19" i="10"/>
  <c r="AI19" i="10"/>
  <c r="AD19" i="10"/>
  <c r="AF18" i="10"/>
  <c r="AA18" i="10"/>
  <c r="AG18" i="10"/>
  <c r="AB18" i="10"/>
  <c r="AH18" i="10"/>
  <c r="AC18" i="10"/>
  <c r="AI18" i="10"/>
  <c r="AD18" i="10"/>
  <c r="AJ18" i="10"/>
  <c r="AE18" i="10"/>
  <c r="AF17" i="10"/>
  <c r="AA17" i="10"/>
  <c r="AG17" i="10"/>
  <c r="AB17" i="10"/>
  <c r="AH17" i="10"/>
  <c r="AC17" i="10"/>
  <c r="AI17" i="10"/>
  <c r="AD17" i="10"/>
  <c r="AJ17" i="10"/>
  <c r="AE17" i="10"/>
  <c r="AG76" i="10"/>
  <c r="AB76" i="10"/>
  <c r="AH76" i="10"/>
  <c r="AC76" i="10"/>
  <c r="AI76" i="10"/>
  <c r="AD76" i="10"/>
  <c r="AJ76" i="10"/>
  <c r="AE76" i="10"/>
  <c r="AF76" i="10"/>
  <c r="AA76" i="10"/>
  <c r="AG56" i="10"/>
  <c r="AB56" i="10"/>
  <c r="AH56" i="10"/>
  <c r="AC56" i="10"/>
  <c r="AI56" i="10"/>
  <c r="AD56" i="10"/>
  <c r="AJ56" i="10"/>
  <c r="AE56" i="10"/>
  <c r="AF56" i="10"/>
  <c r="AA56" i="10"/>
  <c r="AG36" i="10"/>
  <c r="AB36" i="10"/>
  <c r="AH36" i="10"/>
  <c r="AC36" i="10"/>
  <c r="AI36" i="10"/>
  <c r="AD36" i="10"/>
  <c r="AJ36" i="10"/>
  <c r="AE36" i="10"/>
  <c r="AF36" i="10"/>
  <c r="AA36" i="10"/>
  <c r="AG16" i="10"/>
  <c r="AB16" i="10"/>
  <c r="AH16" i="10"/>
  <c r="AC16" i="10"/>
  <c r="AI16" i="10"/>
  <c r="AD16" i="10"/>
  <c r="AJ16" i="10"/>
  <c r="AE16" i="10"/>
  <c r="AF16" i="10"/>
  <c r="AA16" i="10"/>
  <c r="AI47" i="10"/>
  <c r="AD47" i="10"/>
  <c r="AJ47" i="10"/>
  <c r="AE47" i="10"/>
  <c r="AF47" i="10"/>
  <c r="AA47" i="10"/>
  <c r="AG47" i="10"/>
  <c r="AB47" i="10"/>
  <c r="AI45" i="10"/>
  <c r="AD45" i="10"/>
  <c r="AJ45" i="10"/>
  <c r="AE45" i="10"/>
  <c r="AF45" i="10"/>
  <c r="AA45" i="10"/>
  <c r="AG45" i="10"/>
  <c r="AB45" i="10"/>
  <c r="AH45" i="10"/>
  <c r="AC45" i="10"/>
  <c r="AJ22" i="10"/>
  <c r="AE22" i="10"/>
  <c r="AF22" i="10"/>
  <c r="AA22" i="10"/>
  <c r="AG22" i="10"/>
  <c r="AB22" i="10"/>
  <c r="AH22" i="10"/>
  <c r="AC22" i="10"/>
  <c r="AI22" i="10"/>
  <c r="AD22" i="10"/>
  <c r="AF39" i="10"/>
  <c r="AA39" i="10"/>
  <c r="AG39" i="10"/>
  <c r="AB39" i="10"/>
  <c r="AH39" i="10"/>
  <c r="AC39" i="10"/>
  <c r="AI39" i="10"/>
  <c r="AD39" i="10"/>
  <c r="AF38" i="10"/>
  <c r="AA38" i="10"/>
  <c r="AG38" i="10"/>
  <c r="AB38" i="10"/>
  <c r="AH38" i="10"/>
  <c r="AC38" i="10"/>
  <c r="AI38" i="10"/>
  <c r="AD38" i="10"/>
  <c r="AJ38" i="10"/>
  <c r="AE38" i="10"/>
  <c r="AF77" i="10"/>
  <c r="AA77" i="10"/>
  <c r="AG77" i="10"/>
  <c r="AB77" i="10"/>
  <c r="AH77" i="10"/>
  <c r="AC77" i="10"/>
  <c r="AI77" i="10"/>
  <c r="AD77" i="10"/>
  <c r="AJ77" i="10"/>
  <c r="AE77" i="10"/>
  <c r="AG15" i="10"/>
  <c r="AB15" i="10"/>
  <c r="AH15" i="10"/>
  <c r="AC15" i="10"/>
  <c r="AI15" i="10"/>
  <c r="AD15" i="10"/>
  <c r="AJ15" i="10"/>
  <c r="AE15" i="10"/>
  <c r="AA15" i="10"/>
  <c r="AG71" i="10"/>
  <c r="AI66" i="10"/>
  <c r="AD66" i="10"/>
  <c r="AJ66" i="10"/>
  <c r="AE66" i="10"/>
  <c r="AF66" i="10"/>
  <c r="AA66" i="10"/>
  <c r="AG66" i="10"/>
  <c r="AB66" i="10"/>
  <c r="AH66" i="10"/>
  <c r="AC66" i="10"/>
  <c r="AF60" i="10"/>
  <c r="AA60" i="10"/>
  <c r="AG60" i="10"/>
  <c r="AB60" i="10"/>
  <c r="AH60" i="10"/>
  <c r="AC60" i="10"/>
  <c r="AI60" i="10"/>
  <c r="AD60" i="10"/>
  <c r="AJ60" i="10"/>
  <c r="AE60" i="10"/>
  <c r="AF20" i="10"/>
  <c r="AA20" i="10"/>
  <c r="AG20" i="10"/>
  <c r="AB20" i="10"/>
  <c r="AH20" i="10"/>
  <c r="AC20" i="10"/>
  <c r="AI20" i="10"/>
  <c r="AD20" i="10"/>
  <c r="AJ20" i="10"/>
  <c r="AE20" i="10"/>
  <c r="AF59" i="10"/>
  <c r="AA59" i="10"/>
  <c r="AG59" i="10"/>
  <c r="AB59" i="10"/>
  <c r="AH59" i="10"/>
  <c r="AC59" i="10"/>
  <c r="AI59" i="10"/>
  <c r="AD59" i="10"/>
  <c r="AF57" i="10"/>
  <c r="AA57" i="10"/>
  <c r="AG57" i="10"/>
  <c r="AB57" i="10"/>
  <c r="AH57" i="10"/>
  <c r="AC57" i="10"/>
  <c r="AI57" i="10"/>
  <c r="AD57" i="10"/>
  <c r="AJ57" i="10"/>
  <c r="AE57" i="10"/>
  <c r="AG35" i="10"/>
  <c r="AB35" i="10"/>
  <c r="AH35" i="10"/>
  <c r="AC35" i="10"/>
  <c r="AI35" i="10"/>
  <c r="AD35" i="10"/>
  <c r="AJ35" i="10"/>
  <c r="AE35" i="10"/>
  <c r="AG74" i="10"/>
  <c r="AB74" i="10"/>
  <c r="AH74" i="10"/>
  <c r="AC74" i="10"/>
  <c r="AI74" i="10"/>
  <c r="AD74" i="10"/>
  <c r="AJ74" i="10"/>
  <c r="AE74" i="10"/>
  <c r="AF74" i="10"/>
  <c r="AA74" i="10"/>
  <c r="AG54" i="10"/>
  <c r="AB54" i="10"/>
  <c r="AH54" i="10"/>
  <c r="AC54" i="10"/>
  <c r="AI54" i="10"/>
  <c r="AD54" i="10"/>
  <c r="AJ54" i="10"/>
  <c r="AE54" i="10"/>
  <c r="AF54" i="10"/>
  <c r="AA54" i="10"/>
  <c r="AG34" i="10"/>
  <c r="AB34" i="10"/>
  <c r="AH34" i="10"/>
  <c r="AC34" i="10"/>
  <c r="AI34" i="10"/>
  <c r="AD34" i="10"/>
  <c r="AJ34" i="10"/>
  <c r="AE34" i="10"/>
  <c r="AF34" i="10"/>
  <c r="AA34" i="10"/>
  <c r="AG14" i="10"/>
  <c r="AB14" i="10"/>
  <c r="AH14" i="10"/>
  <c r="AC14" i="10"/>
  <c r="AI14" i="10"/>
  <c r="AD14" i="10"/>
  <c r="AJ14" i="10"/>
  <c r="AE14" i="10"/>
  <c r="AF14" i="10"/>
  <c r="AA14" i="10"/>
  <c r="AB71" i="10"/>
  <c r="AG51" i="10"/>
  <c r="AI27" i="10"/>
  <c r="AD27" i="10"/>
  <c r="AJ27" i="10"/>
  <c r="AE27" i="10"/>
  <c r="AF27" i="10"/>
  <c r="AA27" i="10"/>
  <c r="AG27" i="10"/>
  <c r="AB27" i="10"/>
  <c r="AI26" i="10"/>
  <c r="AD26" i="10"/>
  <c r="AJ26" i="10"/>
  <c r="AE26" i="10"/>
  <c r="AF26" i="10"/>
  <c r="AA26" i="10"/>
  <c r="AG26" i="10"/>
  <c r="AB26" i="10"/>
  <c r="AH26" i="10"/>
  <c r="AC26" i="10"/>
  <c r="AI25" i="10"/>
  <c r="AD25" i="10"/>
  <c r="AJ25" i="10"/>
  <c r="AE25" i="10"/>
  <c r="AF25" i="10"/>
  <c r="AA25" i="10"/>
  <c r="AG25" i="10"/>
  <c r="AB25" i="10"/>
  <c r="AH25" i="10"/>
  <c r="AC25" i="10"/>
  <c r="AJ42" i="10"/>
  <c r="AE42" i="10"/>
  <c r="AF42" i="10"/>
  <c r="AA42" i="10"/>
  <c r="AG42" i="10"/>
  <c r="AB42" i="10"/>
  <c r="AH42" i="10"/>
  <c r="AC42" i="10"/>
  <c r="AI42" i="10"/>
  <c r="AD42" i="10"/>
  <c r="AF40" i="10"/>
  <c r="AA40" i="10"/>
  <c r="AG40" i="10"/>
  <c r="AB40" i="10"/>
  <c r="AH40" i="10"/>
  <c r="AC40" i="10"/>
  <c r="AI40" i="10"/>
  <c r="AD40" i="10"/>
  <c r="AJ40" i="10"/>
  <c r="AE40" i="10"/>
  <c r="AF58" i="10"/>
  <c r="AA58" i="10"/>
  <c r="AG58" i="10"/>
  <c r="AB58" i="10"/>
  <c r="AH58" i="10"/>
  <c r="AC58" i="10"/>
  <c r="AI58" i="10"/>
  <c r="AD58" i="10"/>
  <c r="AJ58" i="10"/>
  <c r="AE58" i="10"/>
  <c r="AF37" i="10"/>
  <c r="AA37" i="10"/>
  <c r="AG37" i="10"/>
  <c r="AB37" i="10"/>
  <c r="AH37" i="10"/>
  <c r="AC37" i="10"/>
  <c r="AI37" i="10"/>
  <c r="AD37" i="10"/>
  <c r="AJ37" i="10"/>
  <c r="AE37" i="10"/>
  <c r="AG55" i="10"/>
  <c r="AB55" i="10"/>
  <c r="AH55" i="10"/>
  <c r="AC55" i="10"/>
  <c r="AI55" i="10"/>
  <c r="AD55" i="10"/>
  <c r="AJ55" i="10"/>
  <c r="AE55" i="10"/>
  <c r="AG53" i="10"/>
  <c r="AB53" i="10"/>
  <c r="AH53" i="10"/>
  <c r="AC53" i="10"/>
  <c r="AI53" i="10"/>
  <c r="AD53" i="10"/>
  <c r="AJ53" i="10"/>
  <c r="AE53" i="10"/>
  <c r="AF53" i="10"/>
  <c r="AA53" i="10"/>
  <c r="AG33" i="10"/>
  <c r="AB33" i="10"/>
  <c r="AH33" i="10"/>
  <c r="AC33" i="10"/>
  <c r="AI33" i="10"/>
  <c r="AD33" i="10"/>
  <c r="AJ33" i="10"/>
  <c r="AE33" i="10"/>
  <c r="AF33" i="10"/>
  <c r="AA33" i="10"/>
  <c r="AG13" i="10"/>
  <c r="AB13" i="10"/>
  <c r="AH13" i="10"/>
  <c r="AC13" i="10"/>
  <c r="AI13" i="10"/>
  <c r="AD13" i="10"/>
  <c r="AJ13" i="10"/>
  <c r="AE13" i="10"/>
  <c r="AF13" i="10"/>
  <c r="AA13" i="10"/>
  <c r="AB51" i="10"/>
  <c r="AG31" i="10"/>
  <c r="AI6" i="10"/>
  <c r="AD6" i="10"/>
  <c r="AJ6" i="10"/>
  <c r="AE6" i="10"/>
  <c r="AF6" i="10"/>
  <c r="AA6" i="10"/>
  <c r="AG6" i="10"/>
  <c r="AB6" i="10"/>
  <c r="AH6" i="10"/>
  <c r="AC6" i="10"/>
  <c r="AJ62" i="10"/>
  <c r="AE62" i="10"/>
  <c r="AF62" i="10"/>
  <c r="AA62" i="10"/>
  <c r="AG62" i="10"/>
  <c r="AB62" i="10"/>
  <c r="AH62" i="10"/>
  <c r="AC62" i="10"/>
  <c r="AI62" i="10"/>
  <c r="AD62" i="10"/>
  <c r="AF78" i="10"/>
  <c r="AA78" i="10"/>
  <c r="AG78" i="10"/>
  <c r="AB78" i="10"/>
  <c r="AH78" i="10"/>
  <c r="AC78" i="10"/>
  <c r="AI78" i="10"/>
  <c r="AD78" i="10"/>
  <c r="AJ78" i="10"/>
  <c r="AE78" i="10"/>
  <c r="AG75" i="10"/>
  <c r="AB75" i="10"/>
  <c r="AH75" i="10"/>
  <c r="AC75" i="10"/>
  <c r="AI75" i="10"/>
  <c r="AD75" i="10"/>
  <c r="AJ75" i="10"/>
  <c r="AE75" i="10"/>
  <c r="AG73" i="10"/>
  <c r="AB73" i="10"/>
  <c r="AH73" i="10"/>
  <c r="AC73" i="10"/>
  <c r="AI73" i="10"/>
  <c r="AD73" i="10"/>
  <c r="AJ73" i="10"/>
  <c r="AE73" i="10"/>
  <c r="AF73" i="10"/>
  <c r="AA73" i="10"/>
  <c r="AH72" i="10"/>
  <c r="AC72" i="10"/>
  <c r="AI72" i="10"/>
  <c r="AD72" i="10"/>
  <c r="AJ72" i="10"/>
  <c r="AE72" i="10"/>
  <c r="AF72" i="10"/>
  <c r="AA72" i="10"/>
  <c r="AG72" i="10"/>
  <c r="AB72" i="10"/>
  <c r="AH52" i="10"/>
  <c r="AC52" i="10"/>
  <c r="AI52" i="10"/>
  <c r="AD52" i="10"/>
  <c r="AJ52" i="10"/>
  <c r="AE52" i="10"/>
  <c r="AF52" i="10"/>
  <c r="AA52" i="10"/>
  <c r="AG52" i="10"/>
  <c r="AB52" i="10"/>
  <c r="AH32" i="10"/>
  <c r="AC32" i="10"/>
  <c r="AI32" i="10"/>
  <c r="AD32" i="10"/>
  <c r="AJ32" i="10"/>
  <c r="AE32" i="10"/>
  <c r="AF32" i="10"/>
  <c r="AA32" i="10"/>
  <c r="AG32" i="10"/>
  <c r="AB32" i="10"/>
  <c r="AH12" i="10"/>
  <c r="AC12" i="10"/>
  <c r="AI12" i="10"/>
  <c r="AD12" i="10"/>
  <c r="AJ12" i="10"/>
  <c r="AE12" i="10"/>
  <c r="AF12" i="10"/>
  <c r="AA12" i="10"/>
  <c r="AG12" i="10"/>
  <c r="AB12" i="10"/>
  <c r="AB31" i="10"/>
  <c r="AG11" i="10"/>
  <c r="H4" i="9"/>
  <c r="H5" i="9"/>
  <c r="H6" i="9"/>
  <c r="H8" i="9"/>
  <c r="H7" i="9"/>
  <c r="G9" i="9"/>
  <c r="G10" i="9"/>
  <c r="G12" i="9"/>
  <c r="G11" i="9"/>
  <c r="G6" i="9"/>
  <c r="G4" i="9"/>
  <c r="G8" i="9"/>
  <c r="H12" i="9"/>
  <c r="H11" i="9"/>
  <c r="H10" i="9"/>
  <c r="G7" i="9"/>
  <c r="G5" i="9"/>
  <c r="H9" i="9"/>
  <c r="H3" i="9"/>
  <c r="G3" i="9"/>
  <c r="C4" i="9"/>
  <c r="D4" i="9"/>
  <c r="F4" i="9"/>
  <c r="C12" i="9"/>
  <c r="C8" i="9"/>
  <c r="F8" i="9"/>
  <c r="D12" i="9"/>
  <c r="E8" i="9"/>
  <c r="E12" i="9"/>
  <c r="C9" i="9"/>
  <c r="D5" i="9"/>
  <c r="E5" i="9"/>
  <c r="F5" i="9"/>
  <c r="C6" i="9"/>
  <c r="C11" i="9"/>
  <c r="D3" i="9"/>
  <c r="D7" i="9"/>
  <c r="D11" i="9"/>
  <c r="D9" i="9"/>
  <c r="D10" i="9"/>
  <c r="E6" i="9"/>
  <c r="F10" i="9"/>
  <c r="C7" i="9"/>
  <c r="E3" i="9"/>
  <c r="E7" i="9"/>
  <c r="E11" i="9"/>
  <c r="E9" i="9"/>
  <c r="C10" i="9"/>
  <c r="F6" i="9"/>
  <c r="C3" i="9"/>
  <c r="F11" i="3"/>
  <c r="G11" i="3" s="1"/>
  <c r="H11" i="3" s="1"/>
  <c r="F10" i="3"/>
  <c r="G10" i="3" s="1"/>
  <c r="H10" i="3" s="1"/>
  <c r="F9" i="3"/>
  <c r="G9" i="3" s="1"/>
  <c r="H9" i="3" s="1"/>
  <c r="F8" i="3"/>
  <c r="G8" i="3" s="1"/>
  <c r="H8" i="3" s="1"/>
  <c r="F7" i="3"/>
  <c r="G7" i="3" s="1"/>
  <c r="H7" i="3" s="1"/>
  <c r="F6" i="3"/>
  <c r="G6" i="3" s="1"/>
  <c r="H6" i="3" s="1"/>
  <c r="F5" i="3"/>
  <c r="G5" i="3" s="1"/>
  <c r="H5" i="3" s="1"/>
  <c r="G4" i="3"/>
  <c r="H4" i="3" s="1"/>
  <c r="G3" i="3"/>
  <c r="H3" i="3" s="1"/>
  <c r="D78" i="19" l="1"/>
  <c r="D78" i="14"/>
  <c r="I3" i="16"/>
  <c r="J3" i="16" s="1"/>
  <c r="O68" i="21"/>
  <c r="P68" i="21" s="1"/>
  <c r="O75" i="22"/>
  <c r="P75" i="22" s="1"/>
  <c r="O50" i="22"/>
  <c r="P50" i="22" s="1"/>
  <c r="O41" i="22"/>
  <c r="P41" i="22" s="1"/>
  <c r="O8" i="19"/>
  <c r="P8" i="19" s="1"/>
  <c r="O20" i="22"/>
  <c r="P20" i="22" s="1"/>
  <c r="O30" i="21"/>
  <c r="P30" i="21" s="1"/>
  <c r="O44" i="17"/>
  <c r="P44" i="17" s="1"/>
  <c r="O47" i="19"/>
  <c r="P47" i="19" s="1"/>
  <c r="O51" i="22"/>
  <c r="P51" i="22" s="1"/>
  <c r="O7" i="22"/>
  <c r="P7" i="22" s="1"/>
  <c r="O38" i="22"/>
  <c r="P38" i="22" s="1"/>
  <c r="O77" i="20"/>
  <c r="P77" i="20" s="1"/>
  <c r="O11" i="22"/>
  <c r="P11" i="22" s="1"/>
  <c r="O39" i="17"/>
  <c r="P39" i="17" s="1"/>
  <c r="O24" i="14"/>
  <c r="P24" i="14" s="1"/>
  <c r="O75" i="19"/>
  <c r="P75" i="19" s="1"/>
  <c r="O71" i="20"/>
  <c r="P71" i="20" s="1"/>
  <c r="O66" i="22"/>
  <c r="P66" i="22" s="1"/>
  <c r="O28" i="22"/>
  <c r="P28" i="22" s="1"/>
  <c r="O9" i="22"/>
  <c r="P9" i="22" s="1"/>
  <c r="O11" i="21"/>
  <c r="P11" i="21" s="1"/>
  <c r="O78" i="21"/>
  <c r="P78" i="21" s="1"/>
  <c r="O27" i="22"/>
  <c r="P27" i="22" s="1"/>
  <c r="O78" i="22"/>
  <c r="P78" i="22" s="1"/>
  <c r="O15" i="22"/>
  <c r="P15" i="22" s="1"/>
  <c r="O43" i="20"/>
  <c r="P43" i="20" s="1"/>
  <c r="O73" i="21"/>
  <c r="P73" i="21" s="1"/>
  <c r="O17" i="22"/>
  <c r="P17" i="22" s="1"/>
  <c r="O76" i="22"/>
  <c r="P76" i="22" s="1"/>
  <c r="O76" i="20"/>
  <c r="P76" i="20" s="1"/>
  <c r="O75" i="21"/>
  <c r="P75" i="21" s="1"/>
  <c r="O64" i="21"/>
  <c r="P64" i="21" s="1"/>
  <c r="O59" i="21"/>
  <c r="P59" i="21" s="1"/>
  <c r="O25" i="20"/>
  <c r="P25" i="20" s="1"/>
  <c r="O68" i="22"/>
  <c r="P68" i="22" s="1"/>
  <c r="O11" i="17"/>
  <c r="P11" i="17" s="1"/>
  <c r="O25" i="19"/>
  <c r="P25" i="19" s="1"/>
  <c r="O49" i="19"/>
  <c r="P49" i="19" s="1"/>
  <c r="O66" i="20"/>
  <c r="P66" i="20" s="1"/>
  <c r="O51" i="20"/>
  <c r="P51" i="20" s="1"/>
  <c r="O54" i="21"/>
  <c r="P54" i="21" s="1"/>
  <c r="O16" i="21"/>
  <c r="P16" i="21" s="1"/>
  <c r="O30" i="22"/>
  <c r="P30" i="22" s="1"/>
  <c r="O35" i="22"/>
  <c r="P35" i="22" s="1"/>
  <c r="O43" i="22"/>
  <c r="P43" i="22" s="1"/>
  <c r="O56" i="22"/>
  <c r="P56" i="22" s="1"/>
  <c r="O51" i="19"/>
  <c r="P51" i="19" s="1"/>
  <c r="O60" i="20"/>
  <c r="P60" i="20" s="1"/>
  <c r="O62" i="21"/>
  <c r="P62" i="21" s="1"/>
  <c r="O25" i="22"/>
  <c r="P25" i="22" s="1"/>
  <c r="O63" i="22"/>
  <c r="P63" i="22" s="1"/>
  <c r="O33" i="22"/>
  <c r="P33" i="22" s="1"/>
  <c r="O47" i="22"/>
  <c r="P47" i="22" s="1"/>
  <c r="O40" i="19"/>
  <c r="P40" i="19" s="1"/>
  <c r="O44" i="21"/>
  <c r="P44" i="21" s="1"/>
  <c r="O64" i="22"/>
  <c r="P64" i="22" s="1"/>
  <c r="O10" i="22"/>
  <c r="P10" i="22" s="1"/>
  <c r="O58" i="22"/>
  <c r="P58" i="22" s="1"/>
  <c r="O23" i="22"/>
  <c r="P23" i="22" s="1"/>
  <c r="O5" i="19"/>
  <c r="P5" i="19" s="1"/>
  <c r="O47" i="20"/>
  <c r="P47" i="20" s="1"/>
  <c r="O37" i="20"/>
  <c r="P37" i="20" s="1"/>
  <c r="O9" i="21"/>
  <c r="P9" i="21" s="1"/>
  <c r="O23" i="21"/>
  <c r="P23" i="21" s="1"/>
  <c r="O4" i="21"/>
  <c r="P4" i="21" s="1"/>
  <c r="O35" i="21"/>
  <c r="P35" i="21" s="1"/>
  <c r="O69" i="22"/>
  <c r="P69" i="22" s="1"/>
  <c r="O45" i="22"/>
  <c r="P45" i="22" s="1"/>
  <c r="O53" i="22"/>
  <c r="P53" i="22" s="1"/>
  <c r="O18" i="22"/>
  <c r="P18" i="22" s="1"/>
  <c r="O22" i="20"/>
  <c r="P22" i="20" s="1"/>
  <c r="O63" i="18"/>
  <c r="P63" i="18" s="1"/>
  <c r="O10" i="20"/>
  <c r="P10" i="20" s="1"/>
  <c r="O55" i="20"/>
  <c r="P55" i="20" s="1"/>
  <c r="O70" i="21"/>
  <c r="P70" i="21" s="1"/>
  <c r="O26" i="21"/>
  <c r="P26" i="21" s="1"/>
  <c r="O61" i="22"/>
  <c r="P61" i="22" s="1"/>
  <c r="O21" i="22"/>
  <c r="P21" i="22" s="1"/>
  <c r="O39" i="22"/>
  <c r="P39" i="22" s="1"/>
  <c r="D78" i="22"/>
  <c r="I3" i="22"/>
  <c r="J3" i="22" s="1"/>
  <c r="O54" i="17"/>
  <c r="P54" i="17" s="1"/>
  <c r="O32" i="19"/>
  <c r="P32" i="19" s="1"/>
  <c r="O28" i="20"/>
  <c r="P28" i="20" s="1"/>
  <c r="O77" i="21"/>
  <c r="P77" i="21" s="1"/>
  <c r="O4" i="17"/>
  <c r="P4" i="17" s="1"/>
  <c r="O59" i="18"/>
  <c r="P59" i="18" s="1"/>
  <c r="O58" i="18"/>
  <c r="P58" i="18" s="1"/>
  <c r="O76" i="21"/>
  <c r="P76" i="21" s="1"/>
  <c r="O32" i="18"/>
  <c r="P32" i="18" s="1"/>
  <c r="O59" i="14"/>
  <c r="P59" i="14" s="1"/>
  <c r="O14" i="20"/>
  <c r="P14" i="20" s="1"/>
  <c r="O26" i="20"/>
  <c r="P26" i="20" s="1"/>
  <c r="O65" i="21"/>
  <c r="P65" i="21" s="1"/>
  <c r="O74" i="18"/>
  <c r="P74" i="18" s="1"/>
  <c r="O34" i="18"/>
  <c r="P34" i="18" s="1"/>
  <c r="O44" i="19"/>
  <c r="P44" i="19" s="1"/>
  <c r="O20" i="20"/>
  <c r="P20" i="20" s="1"/>
  <c r="O37" i="21"/>
  <c r="P37" i="21" s="1"/>
  <c r="O45" i="21"/>
  <c r="P45" i="21" s="1"/>
  <c r="O34" i="19"/>
  <c r="P34" i="19" s="1"/>
  <c r="O35" i="20"/>
  <c r="P35" i="20" s="1"/>
  <c r="O15" i="21"/>
  <c r="P15" i="21" s="1"/>
  <c r="O25" i="14"/>
  <c r="P25" i="14" s="1"/>
  <c r="O64" i="18"/>
  <c r="P64" i="18" s="1"/>
  <c r="O67" i="20"/>
  <c r="P67" i="20" s="1"/>
  <c r="O44" i="20"/>
  <c r="P44" i="20" s="1"/>
  <c r="O5" i="21"/>
  <c r="P5" i="21" s="1"/>
  <c r="O58" i="20"/>
  <c r="P58" i="20" s="1"/>
  <c r="O62" i="20"/>
  <c r="P62" i="20" s="1"/>
  <c r="O65" i="20"/>
  <c r="P65" i="20" s="1"/>
  <c r="O16" i="20"/>
  <c r="P16" i="20" s="1"/>
  <c r="O20" i="21"/>
  <c r="P20" i="21" s="1"/>
  <c r="O56" i="21"/>
  <c r="P56" i="21" s="1"/>
  <c r="O55" i="21"/>
  <c r="P55" i="21" s="1"/>
  <c r="O31" i="20"/>
  <c r="P31" i="20" s="1"/>
  <c r="O53" i="20"/>
  <c r="P53" i="20" s="1"/>
  <c r="O50" i="20"/>
  <c r="P50" i="20" s="1"/>
  <c r="O5" i="20"/>
  <c r="P5" i="20" s="1"/>
  <c r="O47" i="21"/>
  <c r="P47" i="21" s="1"/>
  <c r="O18" i="21"/>
  <c r="P18" i="21" s="1"/>
  <c r="O65" i="19"/>
  <c r="P65" i="19" s="1"/>
  <c r="O11" i="20"/>
  <c r="P11" i="20" s="1"/>
  <c r="O42" i="20"/>
  <c r="P42" i="20" s="1"/>
  <c r="O40" i="20"/>
  <c r="P40" i="20" s="1"/>
  <c r="O33" i="21"/>
  <c r="P33" i="21" s="1"/>
  <c r="O13" i="21"/>
  <c r="P13" i="21" s="1"/>
  <c r="O67" i="18"/>
  <c r="P67" i="18" s="1"/>
  <c r="O15" i="19"/>
  <c r="P15" i="19" s="1"/>
  <c r="O35" i="19"/>
  <c r="P35" i="19" s="1"/>
  <c r="O30" i="20"/>
  <c r="P30" i="20" s="1"/>
  <c r="O63" i="21"/>
  <c r="P63" i="21" s="1"/>
  <c r="O4" i="20"/>
  <c r="P4" i="20" s="1"/>
  <c r="O61" i="21"/>
  <c r="P61" i="21" s="1"/>
  <c r="O32" i="21"/>
  <c r="P32" i="21" s="1"/>
  <c r="O8" i="17"/>
  <c r="P8" i="17" s="1"/>
  <c r="O23" i="20"/>
  <c r="P23" i="20" s="1"/>
  <c r="O60" i="21"/>
  <c r="P60" i="21" s="1"/>
  <c r="O34" i="21"/>
  <c r="P34" i="21" s="1"/>
  <c r="O48" i="21"/>
  <c r="P48" i="21" s="1"/>
  <c r="O33" i="18"/>
  <c r="P33" i="18" s="1"/>
  <c r="O66" i="17"/>
  <c r="P66" i="17" s="1"/>
  <c r="O15" i="18"/>
  <c r="P15" i="18" s="1"/>
  <c r="O12" i="20"/>
  <c r="P12" i="20" s="1"/>
  <c r="O48" i="20"/>
  <c r="P48" i="20" s="1"/>
  <c r="O38" i="21"/>
  <c r="P38" i="21" s="1"/>
  <c r="O74" i="21"/>
  <c r="P74" i="21" s="1"/>
  <c r="O50" i="21"/>
  <c r="P50" i="21" s="1"/>
  <c r="O25" i="21"/>
  <c r="P25" i="21" s="1"/>
  <c r="O78" i="20"/>
  <c r="P78" i="20" s="1"/>
  <c r="O28" i="21"/>
  <c r="P28" i="21" s="1"/>
  <c r="O69" i="21"/>
  <c r="P69" i="21" s="1"/>
  <c r="O41" i="21"/>
  <c r="P41" i="21" s="1"/>
  <c r="O12" i="21"/>
  <c r="P12" i="21" s="1"/>
  <c r="D78" i="21"/>
  <c r="I3" i="21"/>
  <c r="J3" i="21" s="1"/>
  <c r="J153" i="21"/>
  <c r="O3" i="21"/>
  <c r="P3" i="21" s="1"/>
  <c r="O4" i="14"/>
  <c r="P4" i="14" s="1"/>
  <c r="O74" i="16"/>
  <c r="P74" i="16" s="1"/>
  <c r="O6" i="20"/>
  <c r="P6" i="20" s="1"/>
  <c r="O64" i="17"/>
  <c r="P64" i="17" s="1"/>
  <c r="O22" i="19"/>
  <c r="P22" i="19" s="1"/>
  <c r="O27" i="18"/>
  <c r="P27" i="18" s="1"/>
  <c r="O57" i="19"/>
  <c r="P57" i="19" s="1"/>
  <c r="O11" i="19"/>
  <c r="P11" i="19" s="1"/>
  <c r="O36" i="20"/>
  <c r="P36" i="20" s="1"/>
  <c r="O6" i="16"/>
  <c r="P6" i="16" s="1"/>
  <c r="O39" i="14"/>
  <c r="P39" i="14" s="1"/>
  <c r="O68" i="18"/>
  <c r="P68" i="18" s="1"/>
  <c r="O45" i="20"/>
  <c r="P45" i="20" s="1"/>
  <c r="O50" i="17"/>
  <c r="P50" i="17" s="1"/>
  <c r="O77" i="18"/>
  <c r="P77" i="18" s="1"/>
  <c r="O28" i="18"/>
  <c r="P28" i="18" s="1"/>
  <c r="O25" i="18"/>
  <c r="P25" i="18" s="1"/>
  <c r="O16" i="19"/>
  <c r="P16" i="19" s="1"/>
  <c r="O56" i="20"/>
  <c r="P56" i="20" s="1"/>
  <c r="O41" i="18"/>
  <c r="P41" i="18" s="1"/>
  <c r="O9" i="17"/>
  <c r="P9" i="17" s="1"/>
  <c r="O64" i="19"/>
  <c r="P64" i="19" s="1"/>
  <c r="O71" i="18"/>
  <c r="P71" i="18" s="1"/>
  <c r="O52" i="20"/>
  <c r="P52" i="20" s="1"/>
  <c r="O52" i="14"/>
  <c r="P52" i="14" s="1"/>
  <c r="O37" i="19"/>
  <c r="P37" i="19" s="1"/>
  <c r="O41" i="20"/>
  <c r="P41" i="20" s="1"/>
  <c r="O70" i="20"/>
  <c r="P70" i="20" s="1"/>
  <c r="O63" i="20"/>
  <c r="P63" i="20" s="1"/>
  <c r="O12" i="19"/>
  <c r="P12" i="19" s="1"/>
  <c r="O59" i="19"/>
  <c r="P59" i="19" s="1"/>
  <c r="O21" i="20"/>
  <c r="P21" i="20" s="1"/>
  <c r="O74" i="20"/>
  <c r="P74" i="20" s="1"/>
  <c r="O75" i="20"/>
  <c r="P75" i="20" s="1"/>
  <c r="O74" i="19"/>
  <c r="P74" i="19" s="1"/>
  <c r="O39" i="20"/>
  <c r="P39" i="20" s="1"/>
  <c r="O59" i="20"/>
  <c r="P59" i="20" s="1"/>
  <c r="O42" i="18"/>
  <c r="P42" i="18" s="1"/>
  <c r="O6" i="19"/>
  <c r="P6" i="19" s="1"/>
  <c r="O49" i="20"/>
  <c r="P49" i="20" s="1"/>
  <c r="O19" i="20"/>
  <c r="P19" i="20" s="1"/>
  <c r="O28" i="17"/>
  <c r="P28" i="17" s="1"/>
  <c r="O72" i="17"/>
  <c r="P72" i="17" s="1"/>
  <c r="O38" i="18"/>
  <c r="P38" i="18" s="1"/>
  <c r="O55" i="19"/>
  <c r="P55" i="19" s="1"/>
  <c r="O24" i="19"/>
  <c r="P24" i="19" s="1"/>
  <c r="O29" i="20"/>
  <c r="P29" i="20" s="1"/>
  <c r="O68" i="20"/>
  <c r="P68" i="20" s="1"/>
  <c r="O8" i="20"/>
  <c r="P8" i="20" s="1"/>
  <c r="O37" i="17"/>
  <c r="P37" i="17" s="1"/>
  <c r="O33" i="19"/>
  <c r="P33" i="19" s="1"/>
  <c r="O41" i="19"/>
  <c r="P41" i="19" s="1"/>
  <c r="O19" i="19"/>
  <c r="P19" i="19" s="1"/>
  <c r="O73" i="20"/>
  <c r="P73" i="20" s="1"/>
  <c r="O54" i="20"/>
  <c r="P54" i="20" s="1"/>
  <c r="O17" i="20"/>
  <c r="P17" i="20" s="1"/>
  <c r="J153" i="20"/>
  <c r="O3" i="20"/>
  <c r="P3" i="20" s="1"/>
  <c r="D78" i="20"/>
  <c r="I3" i="20"/>
  <c r="J3" i="20" s="1"/>
  <c r="O38" i="19"/>
  <c r="P38" i="19" s="1"/>
  <c r="O53" i="16"/>
  <c r="P53" i="16" s="1"/>
  <c r="O65" i="14"/>
  <c r="P65" i="14" s="1"/>
  <c r="O19" i="14"/>
  <c r="P19" i="14" s="1"/>
  <c r="O22" i="16"/>
  <c r="P22" i="16" s="1"/>
  <c r="O47" i="17"/>
  <c r="P47" i="17" s="1"/>
  <c r="O5" i="17"/>
  <c r="P5" i="17" s="1"/>
  <c r="O13" i="19"/>
  <c r="P13" i="19" s="1"/>
  <c r="O7" i="19"/>
  <c r="P7" i="19" s="1"/>
  <c r="O10" i="17"/>
  <c r="P10" i="17" s="1"/>
  <c r="O16" i="18"/>
  <c r="P16" i="18" s="1"/>
  <c r="O43" i="19"/>
  <c r="P43" i="19" s="1"/>
  <c r="O43" i="18"/>
  <c r="P43" i="18" s="1"/>
  <c r="O72" i="18"/>
  <c r="P72" i="18" s="1"/>
  <c r="O76" i="19"/>
  <c r="P76" i="19" s="1"/>
  <c r="O75" i="16"/>
  <c r="P75" i="16" s="1"/>
  <c r="O53" i="18"/>
  <c r="P53" i="18" s="1"/>
  <c r="O45" i="19"/>
  <c r="P45" i="19" s="1"/>
  <c r="O13" i="18"/>
  <c r="P13" i="18" s="1"/>
  <c r="O26" i="19"/>
  <c r="P26" i="19" s="1"/>
  <c r="O30" i="19"/>
  <c r="P30" i="19" s="1"/>
  <c r="O78" i="18"/>
  <c r="P78" i="18" s="1"/>
  <c r="O7" i="18"/>
  <c r="P7" i="18" s="1"/>
  <c r="O46" i="18"/>
  <c r="P46" i="18" s="1"/>
  <c r="O77" i="19"/>
  <c r="P77" i="19" s="1"/>
  <c r="O48" i="19"/>
  <c r="P48" i="19" s="1"/>
  <c r="O58" i="19"/>
  <c r="P58" i="19" s="1"/>
  <c r="O23" i="19"/>
  <c r="P23" i="19" s="1"/>
  <c r="O18" i="18"/>
  <c r="P18" i="18" s="1"/>
  <c r="O5" i="18"/>
  <c r="P5" i="18" s="1"/>
  <c r="O50" i="19"/>
  <c r="P50" i="19" s="1"/>
  <c r="O54" i="19"/>
  <c r="P54" i="19" s="1"/>
  <c r="O73" i="18"/>
  <c r="P73" i="18" s="1"/>
  <c r="O20" i="19"/>
  <c r="P20" i="19" s="1"/>
  <c r="O27" i="19"/>
  <c r="P27" i="19" s="1"/>
  <c r="O36" i="19"/>
  <c r="P36" i="19" s="1"/>
  <c r="O78" i="19"/>
  <c r="P78" i="19" s="1"/>
  <c r="O17" i="19"/>
  <c r="P17" i="19" s="1"/>
  <c r="O54" i="18"/>
  <c r="P54" i="18" s="1"/>
  <c r="O14" i="18"/>
  <c r="P14" i="18" s="1"/>
  <c r="O66" i="18"/>
  <c r="P66" i="18" s="1"/>
  <c r="O61" i="19"/>
  <c r="P61" i="19" s="1"/>
  <c r="O21" i="19"/>
  <c r="P21" i="19" s="1"/>
  <c r="O73" i="19"/>
  <c r="P73" i="19" s="1"/>
  <c r="O61" i="18"/>
  <c r="P61" i="18" s="1"/>
  <c r="O21" i="18"/>
  <c r="P21" i="18" s="1"/>
  <c r="O9" i="18"/>
  <c r="P9" i="18" s="1"/>
  <c r="O52" i="19"/>
  <c r="P52" i="19" s="1"/>
  <c r="O70" i="19"/>
  <c r="P70" i="19" s="1"/>
  <c r="O56" i="19"/>
  <c r="P56" i="19" s="1"/>
  <c r="O14" i="19"/>
  <c r="P14" i="19" s="1"/>
  <c r="O69" i="19"/>
  <c r="P69" i="19" s="1"/>
  <c r="O68" i="19"/>
  <c r="P68" i="19" s="1"/>
  <c r="O73" i="17"/>
  <c r="P73" i="17" s="1"/>
  <c r="O76" i="18"/>
  <c r="P76" i="18" s="1"/>
  <c r="O50" i="18"/>
  <c r="P50" i="18" s="1"/>
  <c r="O11" i="18"/>
  <c r="P11" i="18" s="1"/>
  <c r="O52" i="18"/>
  <c r="P52" i="18" s="1"/>
  <c r="O46" i="19"/>
  <c r="P46" i="19" s="1"/>
  <c r="O31" i="19"/>
  <c r="P31" i="19" s="1"/>
  <c r="O72" i="19"/>
  <c r="P72" i="19" s="1"/>
  <c r="O66" i="19"/>
  <c r="P66" i="19" s="1"/>
  <c r="J153" i="19"/>
  <c r="O3" i="19"/>
  <c r="P3" i="19" s="1"/>
  <c r="O70" i="17"/>
  <c r="P70" i="17" s="1"/>
  <c r="O51" i="18"/>
  <c r="P51" i="18" s="1"/>
  <c r="O62" i="18"/>
  <c r="P62" i="18" s="1"/>
  <c r="O7" i="17"/>
  <c r="P7" i="17" s="1"/>
  <c r="O31" i="18"/>
  <c r="P31" i="18" s="1"/>
  <c r="O51" i="17"/>
  <c r="P51" i="17" s="1"/>
  <c r="O47" i="18"/>
  <c r="P47" i="18" s="1"/>
  <c r="O45" i="17"/>
  <c r="P45" i="17" s="1"/>
  <c r="O45" i="14"/>
  <c r="P45" i="14" s="1"/>
  <c r="O17" i="16"/>
  <c r="P17" i="16" s="1"/>
  <c r="O34" i="17"/>
  <c r="P34" i="17" s="1"/>
  <c r="O27" i="17"/>
  <c r="P27" i="17" s="1"/>
  <c r="O60" i="18"/>
  <c r="P60" i="18" s="1"/>
  <c r="O8" i="18"/>
  <c r="P8" i="18" s="1"/>
  <c r="O69" i="18"/>
  <c r="P69" i="18" s="1"/>
  <c r="O29" i="17"/>
  <c r="P29" i="17" s="1"/>
  <c r="O56" i="18"/>
  <c r="P56" i="18" s="1"/>
  <c r="O45" i="18"/>
  <c r="P45" i="18" s="1"/>
  <c r="O70" i="18"/>
  <c r="P70" i="18" s="1"/>
  <c r="O76" i="16"/>
  <c r="P76" i="16" s="1"/>
  <c r="O5" i="14"/>
  <c r="P5" i="14" s="1"/>
  <c r="O19" i="17"/>
  <c r="P19" i="17" s="1"/>
  <c r="O57" i="18"/>
  <c r="P57" i="18" s="1"/>
  <c r="O10" i="18"/>
  <c r="P10" i="18" s="1"/>
  <c r="O34" i="16"/>
  <c r="P34" i="16" s="1"/>
  <c r="O29" i="18"/>
  <c r="P29" i="18" s="1"/>
  <c r="O22" i="18"/>
  <c r="P22" i="18" s="1"/>
  <c r="O17" i="18"/>
  <c r="P17" i="18" s="1"/>
  <c r="O26" i="18"/>
  <c r="P26" i="18" s="1"/>
  <c r="O60" i="16"/>
  <c r="P60" i="16" s="1"/>
  <c r="O12" i="16"/>
  <c r="P12" i="16" s="1"/>
  <c r="O66" i="14"/>
  <c r="P66" i="14" s="1"/>
  <c r="O75" i="18"/>
  <c r="P75" i="18" s="1"/>
  <c r="O40" i="18"/>
  <c r="P40" i="18" s="1"/>
  <c r="O46" i="14"/>
  <c r="P46" i="14" s="1"/>
  <c r="O20" i="16"/>
  <c r="P20" i="16" s="1"/>
  <c r="O71" i="17"/>
  <c r="P71" i="17" s="1"/>
  <c r="O55" i="18"/>
  <c r="P55" i="18" s="1"/>
  <c r="O12" i="18"/>
  <c r="P12" i="18" s="1"/>
  <c r="O30" i="18"/>
  <c r="P30" i="18" s="1"/>
  <c r="O26" i="14"/>
  <c r="P26" i="14" s="1"/>
  <c r="O40" i="16"/>
  <c r="P40" i="16" s="1"/>
  <c r="O35" i="18"/>
  <c r="P35" i="18" s="1"/>
  <c r="O49" i="18"/>
  <c r="P49" i="18" s="1"/>
  <c r="J153" i="18"/>
  <c r="O3" i="18"/>
  <c r="P3" i="18" s="1"/>
  <c r="I3" i="18"/>
  <c r="J3" i="18" s="1"/>
  <c r="D78" i="18"/>
  <c r="O43" i="14"/>
  <c r="P43" i="14" s="1"/>
  <c r="O15" i="16"/>
  <c r="P15" i="16" s="1"/>
  <c r="O46" i="17"/>
  <c r="P46" i="17" s="1"/>
  <c r="O48" i="17"/>
  <c r="P48" i="17" s="1"/>
  <c r="O42" i="16"/>
  <c r="P42" i="16" s="1"/>
  <c r="O16" i="17"/>
  <c r="P16" i="17" s="1"/>
  <c r="O15" i="17"/>
  <c r="P15" i="17" s="1"/>
  <c r="O40" i="14"/>
  <c r="P40" i="14" s="1"/>
  <c r="O25" i="17"/>
  <c r="P25" i="17" s="1"/>
  <c r="O21" i="17"/>
  <c r="P21" i="17" s="1"/>
  <c r="O61" i="14"/>
  <c r="P61" i="14" s="1"/>
  <c r="O74" i="17"/>
  <c r="P74" i="17" s="1"/>
  <c r="O22" i="14"/>
  <c r="P22" i="14" s="1"/>
  <c r="O62" i="14"/>
  <c r="P62" i="14" s="1"/>
  <c r="O53" i="17"/>
  <c r="P53" i="17" s="1"/>
  <c r="O56" i="17"/>
  <c r="P56" i="17" s="1"/>
  <c r="O55" i="17"/>
  <c r="P55" i="17" s="1"/>
  <c r="O67" i="14"/>
  <c r="P67" i="14" s="1"/>
  <c r="O62" i="16"/>
  <c r="P62" i="16" s="1"/>
  <c r="O33" i="17"/>
  <c r="P33" i="17" s="1"/>
  <c r="O36" i="17"/>
  <c r="P36" i="17" s="1"/>
  <c r="O35" i="17"/>
  <c r="P35" i="17" s="1"/>
  <c r="O47" i="14"/>
  <c r="P47" i="14" s="1"/>
  <c r="O13" i="17"/>
  <c r="P13" i="17" s="1"/>
  <c r="O30" i="17"/>
  <c r="P30" i="17" s="1"/>
  <c r="O26" i="17"/>
  <c r="P26" i="17" s="1"/>
  <c r="O59" i="17"/>
  <c r="P59" i="17" s="1"/>
  <c r="O27" i="14"/>
  <c r="P27" i="14" s="1"/>
  <c r="O15" i="14"/>
  <c r="P15" i="14" s="1"/>
  <c r="O50" i="16"/>
  <c r="P50" i="16" s="1"/>
  <c r="O16" i="14"/>
  <c r="P16" i="14" s="1"/>
  <c r="O77" i="16"/>
  <c r="P77" i="16" s="1"/>
  <c r="O32" i="14"/>
  <c r="P32" i="14" s="1"/>
  <c r="O65" i="17"/>
  <c r="P65" i="17" s="1"/>
  <c r="O49" i="17"/>
  <c r="P49" i="17" s="1"/>
  <c r="O35" i="16"/>
  <c r="P35" i="16" s="1"/>
  <c r="O77" i="14"/>
  <c r="P77" i="14" s="1"/>
  <c r="O76" i="17"/>
  <c r="P76" i="17" s="1"/>
  <c r="O75" i="17"/>
  <c r="P75" i="17" s="1"/>
  <c r="O12" i="17"/>
  <c r="P12" i="17" s="1"/>
  <c r="O29" i="16"/>
  <c r="P29" i="16" s="1"/>
  <c r="O72" i="14"/>
  <c r="P72" i="14" s="1"/>
  <c r="O7" i="16"/>
  <c r="P7" i="16" s="1"/>
  <c r="O70" i="16"/>
  <c r="P70" i="16" s="1"/>
  <c r="O56" i="16"/>
  <c r="P56" i="16" s="1"/>
  <c r="O21" i="16"/>
  <c r="P21" i="16" s="1"/>
  <c r="O52" i="17"/>
  <c r="P52" i="17" s="1"/>
  <c r="O69" i="17"/>
  <c r="P69" i="17" s="1"/>
  <c r="O67" i="17"/>
  <c r="P67" i="17" s="1"/>
  <c r="O9" i="14"/>
  <c r="P9" i="14" s="1"/>
  <c r="O54" i="16"/>
  <c r="P54" i="16" s="1"/>
  <c r="O63" i="14"/>
  <c r="P63" i="14" s="1"/>
  <c r="O6" i="17"/>
  <c r="P6" i="17" s="1"/>
  <c r="O38" i="17"/>
  <c r="P38" i="17" s="1"/>
  <c r="O31" i="17"/>
  <c r="P31" i="17" s="1"/>
  <c r="O40" i="17"/>
  <c r="P40" i="17" s="1"/>
  <c r="D78" i="17"/>
  <c r="I3" i="17"/>
  <c r="J3" i="17" s="1"/>
  <c r="J153" i="17"/>
  <c r="O3" i="17"/>
  <c r="P3" i="17" s="1"/>
  <c r="O44" i="14"/>
  <c r="P44" i="14" s="1"/>
  <c r="O68" i="14"/>
  <c r="P68" i="14" s="1"/>
  <c r="O17" i="14"/>
  <c r="P17" i="14" s="1"/>
  <c r="O37" i="16"/>
  <c r="P37" i="16" s="1"/>
  <c r="O64" i="14"/>
  <c r="P64" i="14" s="1"/>
  <c r="O36" i="16"/>
  <c r="P36" i="16" s="1"/>
  <c r="O57" i="14"/>
  <c r="P57" i="14" s="1"/>
  <c r="O36" i="14"/>
  <c r="P36" i="14" s="1"/>
  <c r="O57" i="16"/>
  <c r="P57" i="16" s="1"/>
  <c r="O61" i="16"/>
  <c r="P61" i="16" s="1"/>
  <c r="O48" i="16"/>
  <c r="P48" i="16" s="1"/>
  <c r="O23" i="14"/>
  <c r="P23" i="14" s="1"/>
  <c r="O8" i="14"/>
  <c r="P8" i="14" s="1"/>
  <c r="O48" i="14"/>
  <c r="P48" i="14" s="1"/>
  <c r="O68" i="16"/>
  <c r="P68" i="16" s="1"/>
  <c r="O43" i="16"/>
  <c r="P43" i="16" s="1"/>
  <c r="O28" i="14"/>
  <c r="P28" i="14" s="1"/>
  <c r="O78" i="16"/>
  <c r="P78" i="16" s="1"/>
  <c r="O73" i="14"/>
  <c r="P73" i="14" s="1"/>
  <c r="O18" i="16"/>
  <c r="P18" i="16" s="1"/>
  <c r="O58" i="14"/>
  <c r="P58" i="14" s="1"/>
  <c r="O14" i="14"/>
  <c r="P14" i="14" s="1"/>
  <c r="O23" i="16"/>
  <c r="P23" i="16" s="1"/>
  <c r="O38" i="16"/>
  <c r="P38" i="16" s="1"/>
  <c r="O51" i="16"/>
  <c r="P51" i="16" s="1"/>
  <c r="O13" i="16"/>
  <c r="P13" i="16" s="1"/>
  <c r="O49" i="16"/>
  <c r="P49" i="16" s="1"/>
  <c r="O28" i="16"/>
  <c r="P28" i="16" s="1"/>
  <c r="O58" i="16"/>
  <c r="P58" i="16" s="1"/>
  <c r="O20" i="14"/>
  <c r="P20" i="14" s="1"/>
  <c r="O78" i="14"/>
  <c r="P78" i="14" s="1"/>
  <c r="O18" i="14"/>
  <c r="P18" i="14" s="1"/>
  <c r="O3" i="16"/>
  <c r="P3" i="16" s="1"/>
  <c r="O55" i="16"/>
  <c r="P55" i="16" s="1"/>
  <c r="O30" i="16"/>
  <c r="P30" i="16" s="1"/>
  <c r="O41" i="14"/>
  <c r="P41" i="14" s="1"/>
  <c r="O41" i="16"/>
  <c r="P41" i="16" s="1"/>
  <c r="O11" i="16"/>
  <c r="P11" i="16" s="1"/>
  <c r="O42" i="14"/>
  <c r="P42" i="14" s="1"/>
  <c r="O60" i="14"/>
  <c r="P60" i="14" s="1"/>
  <c r="O8" i="16"/>
  <c r="P8" i="16" s="1"/>
  <c r="O63" i="16"/>
  <c r="P63" i="1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<sst xmlns="http://schemas.openxmlformats.org/spreadsheetml/2006/main" count="177" uniqueCount="58">
  <si>
    <t>Period (s)</t>
  </si>
  <si>
    <t xml:space="preserve">Additional Delays </t>
  </si>
  <si>
    <t>Frequency (Hz)</t>
  </si>
  <si>
    <t>Num Pulse Widths</t>
  </si>
  <si>
    <t>stitches/s</t>
  </si>
  <si>
    <r>
      <t>t</t>
    </r>
    <r>
      <rPr>
        <vertAlign val="subscript"/>
        <sz val="11"/>
        <color theme="1"/>
        <rFont val="Aptos Narrow"/>
        <family val="2"/>
        <scheme val="minor"/>
      </rPr>
      <t>t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</si>
  <si>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max</t>
    </r>
    <r>
      <rPr>
        <sz val="11"/>
        <color theme="1"/>
        <rFont val="Aptos Narrow"/>
        <family val="2"/>
        <scheme val="minor"/>
      </rPr>
      <t xml:space="preserve"> (m/s)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</si>
  <si>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max</t>
    </r>
    <r>
      <rPr>
        <sz val="11"/>
        <color theme="1"/>
        <rFont val="Aptos Narrow"/>
        <family val="2"/>
        <scheme val="minor"/>
      </rPr>
      <t xml:space="preserve"> (steps/s)</t>
    </r>
  </si>
  <si>
    <r>
      <t>a</t>
    </r>
    <r>
      <rPr>
        <vertAlign val="subscript"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or a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(m/s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)</t>
    </r>
  </si>
  <si>
    <r>
      <t>a</t>
    </r>
    <r>
      <rPr>
        <vertAlign val="subscript"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or a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(steps/s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)</t>
    </r>
  </si>
  <si>
    <t>Period (pw)</t>
  </si>
  <si>
    <t xml:space="preserve">Period (pw), rounded </t>
  </si>
  <si>
    <t>Period (s), result</t>
  </si>
  <si>
    <t>Frequency (Hz), result</t>
  </si>
  <si>
    <t>c</t>
  </si>
  <si>
    <t>a</t>
  </si>
  <si>
    <t>b</t>
  </si>
  <si>
    <t xml:space="preserve">Formulas above and image: https://www.linearmotiontips.com/how-to-calculate-velocity/ </t>
  </si>
  <si>
    <r>
      <t>t</t>
    </r>
    <r>
      <rPr>
        <b/>
        <vertAlign val="subscript"/>
        <sz val="11"/>
        <color theme="1"/>
        <rFont val="Aptos Narrow"/>
        <family val="2"/>
        <scheme val="minor"/>
      </rPr>
      <t>t</t>
    </r>
  </si>
  <si>
    <r>
      <t>V</t>
    </r>
    <r>
      <rPr>
        <b/>
        <vertAlign val="subscript"/>
        <sz val="11"/>
        <color theme="1"/>
        <rFont val="Aptos Narrow"/>
        <family val="2"/>
        <scheme val="minor"/>
      </rPr>
      <t>max</t>
    </r>
    <r>
      <rPr>
        <b/>
        <sz val="11"/>
        <color theme="1"/>
        <rFont val="Aptos Narrow"/>
        <family val="2"/>
        <scheme val="minor"/>
      </rPr>
      <t xml:space="preserve"> (m/s)</t>
    </r>
  </si>
  <si>
    <r>
      <t>V</t>
    </r>
    <r>
      <rPr>
        <b/>
        <vertAlign val="subscript"/>
        <sz val="11"/>
        <color theme="1"/>
        <rFont val="Aptos Narrow"/>
        <family val="2"/>
        <scheme val="minor"/>
      </rPr>
      <t>max</t>
    </r>
    <r>
      <rPr>
        <b/>
        <sz val="11"/>
        <color theme="1"/>
        <rFont val="Aptos Narrow"/>
        <family val="2"/>
        <scheme val="minor"/>
      </rPr>
      <t xml:space="preserve"> (steps/s)</t>
    </r>
  </si>
  <si>
    <r>
      <t>s</t>
    </r>
    <r>
      <rPr>
        <b/>
        <vertAlign val="subscript"/>
        <sz val="11"/>
        <color theme="1"/>
        <rFont val="Aptos Narrow"/>
        <family val="2"/>
        <scheme val="minor"/>
      </rPr>
      <t>t</t>
    </r>
  </si>
  <si>
    <r>
      <t>Acceleration (m/s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</si>
  <si>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r>
      <t>Acceleration (steps/s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</si>
  <si>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t_1</t>
  </si>
  <si>
    <t>t_2</t>
  </si>
  <si>
    <t>t_3</t>
  </si>
  <si>
    <t>t_4</t>
  </si>
  <si>
    <t>t_5</t>
  </si>
  <si>
    <t>t_6</t>
  </si>
  <si>
    <t>t_7</t>
  </si>
  <si>
    <t>t_8</t>
  </si>
  <si>
    <t>t_9</t>
  </si>
  <si>
    <t>t_10</t>
  </si>
  <si>
    <t>s(ta)</t>
  </si>
  <si>
    <t>s(tb)</t>
  </si>
  <si>
    <t>s(tc)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</si>
  <si>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</si>
  <si>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stitches/s </t>
  </si>
  <si>
    <t>T_motor (Nm)</t>
  </si>
  <si>
    <t>Lead</t>
  </si>
  <si>
    <t>Motor Hold torque</t>
  </si>
  <si>
    <t xml:space="preserve">Substitute torque graph for estimation </t>
  </si>
  <si>
    <t>Holding Torque (Nm)</t>
  </si>
  <si>
    <t>Resistance/phase (ohms)</t>
  </si>
  <si>
    <t>Inductance/phase (mH)</t>
  </si>
  <si>
    <t>Inertia (kg cm^2)</t>
  </si>
  <si>
    <t>Rated Voltage (VDC)</t>
  </si>
  <si>
    <t>Half-Step Holding Torque(Nm/oz in)</t>
  </si>
  <si>
    <t>0.213/30</t>
  </si>
  <si>
    <t>Motor Specs- 2430 datasheet</t>
  </si>
  <si>
    <t>?</t>
  </si>
  <si>
    <t>Use 5.4E-6 as is inertia of other two comparable motors</t>
  </si>
  <si>
    <t>J_in (calc'd)</t>
  </si>
  <si>
    <r>
      <t>a (m/s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</si>
  <si>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∆t</t>
  </si>
  <si>
    <t>∆t_pw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</si>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</sst>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0.000E+0"/>
    <numFmt numFmtId="165" formatCode="##0E+0"/>
    <numFmt numFmtId="166" formatCode="##0.0000E+0"/>
    <numFmt numFmtId="167" formatCode="0.0"/>
    <numFmt numFmtId="168" formatCode="##0.00E+0"/>
  </numFmts>
  <fonts count="9" x14ac:knownFonts="1"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0" fillId="0" borderId="0" xfId="0" applyNumberFormat="1" applyAlignment="1">
      <alignment wrapText="1"/>
    </xf>
    <xf numFmtId="1" fontId="0" fillId="0" borderId="0" xfId="0" applyNumberFormat="1"/>
    <xf numFmtId="167" fontId="0" fillId="0" borderId="0" xfId="0" applyNumberFormat="1" applyAlignment="1">
      <alignment wrapText="1"/>
    </xf>
    <xf numFmtId="167" fontId="0" fillId="0" borderId="0" xfId="0" applyNumberFormat="1"/>
    <xf numFmtId="168" fontId="0" fillId="0" borderId="0" xfId="0" applyNumberFormat="1"/>
    <xf numFmtId="11" fontId="0" fillId="0" borderId="0" xfId="0" applyNumberFormat="1"/>
    <xf numFmtId="0" fontId="4" fillId="0" borderId="0" xfId="0" applyFont="1"/>
    <xf numFmtId="164" fontId="4" fillId="0" borderId="0" xfId="0" applyNumberFormat="1" applyFont="1"/>
    <xf numFmtId="168" fontId="3" fillId="0" borderId="0" xfId="0" applyNumberFormat="1" applyFont="1"/>
    <xf numFmtId="166" fontId="3" fillId="0" borderId="0" xfId="0" applyNumberFormat="1" applyFont="1"/>
    <xf numFmtId="2" fontId="0" fillId="0" borderId="0" xfId="0" applyNumberFormat="1"/>
    <xf numFmtId="49" fontId="4" fillId="0" borderId="0" xfId="0" applyNumberFormat="1" applyFont="1"/>
    <xf numFmtId="166" fontId="8" fillId="0" borderId="0" xfId="0" applyNumberFormat="1" applyFont="1"/>
    <xf numFmtId="2" fontId="4" fillId="0" borderId="0" xfId="0" applyNumberFormat="1" applyFont="1"/>
    <xf numFmtId="166" fontId="3" fillId="0" borderId="0" xfId="0" applyNumberFormat="1" applyFont="1" applyBorder="1"/>
    <xf numFmtId="166" fontId="0" fillId="0" borderId="0" xfId="0" applyNumberFormat="1" applyBorder="1"/>
  </cellXfs>
  <cellStyles count="1">
    <cellStyle name="Normal" xfId="0" builtinId="0"/>
  </cellStyles>
  <dxfs count="16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##0.0000E+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6" formatCode="##0.0000E+0"/>
    </dxf>
    <dxf>
      <numFmt numFmtId="166" formatCode="##0.0000E+0"/>
    </dxf>
    <dxf>
      <numFmt numFmtId="166" formatCode="##0.0000E+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6" formatCode="##0.0000E+0"/>
    </dxf>
    <dxf>
      <numFmt numFmtId="166" formatCode="##0.0000E+0"/>
    </dxf>
    <dxf>
      <numFmt numFmtId="166" formatCode="##0.0000E+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6" formatCode="##0.0000E+0"/>
    </dxf>
    <dxf>
      <numFmt numFmtId="166" formatCode="##0.0000E+0"/>
    </dxf>
    <dxf>
      <numFmt numFmtId="166" formatCode="##0.0000E+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6" formatCode="##0.0000E+0"/>
    </dxf>
    <dxf>
      <numFmt numFmtId="166" formatCode="##0.0000E+0"/>
    </dxf>
    <dxf>
      <numFmt numFmtId="166" formatCode="##0.0000E+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6" formatCode="##0.0000E+0"/>
    </dxf>
    <dxf>
      <numFmt numFmtId="166" formatCode="##0.0000E+0"/>
    </dxf>
    <dxf>
      <numFmt numFmtId="166" formatCode="##0.0000E+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6" formatCode="##0.0000E+0"/>
    </dxf>
    <dxf>
      <numFmt numFmtId="166" formatCode="##0.0000E+0"/>
    </dxf>
    <dxf>
      <numFmt numFmtId="166" formatCode="##0.0000E+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6" formatCode="##0.0000E+0"/>
    </dxf>
    <dxf>
      <numFmt numFmtId="166" formatCode="##0.0000E+0"/>
    </dxf>
    <dxf>
      <numFmt numFmtId="166" formatCode="##0.0000E+0"/>
    </dxf>
    <dxf>
      <numFmt numFmtId="2" formatCode="0.00"/>
    </dxf>
    <dxf>
      <numFmt numFmtId="166" formatCode="##0.0000E+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8" formatCode="##0.00E+0"/>
    </dxf>
    <dxf>
      <numFmt numFmtId="2" formatCode="0.00"/>
    </dxf>
    <dxf>
      <numFmt numFmtId="166" formatCode="##0.0000E+0"/>
    </dxf>
    <dxf>
      <numFmt numFmtId="168" formatCode="##0.00E+0"/>
    </dxf>
    <dxf>
      <numFmt numFmtId="2" formatCode="0.00"/>
    </dxf>
    <dxf>
      <numFmt numFmtId="166" formatCode="##0.0000E+0"/>
    </dxf>
    <dxf>
      <numFmt numFmtId="165" formatCode="##0E+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</dxf>
    <dxf>
      <numFmt numFmtId="2" formatCode="0.00"/>
    </dxf>
    <dxf>
      <numFmt numFmtId="166" formatCode="##0.0000E+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8" formatCode="##0.00E+0"/>
    </dxf>
    <dxf>
      <numFmt numFmtId="2" formatCode="0.00"/>
    </dxf>
    <dxf>
      <numFmt numFmtId="166" formatCode="##0.0000E+0"/>
    </dxf>
    <dxf>
      <numFmt numFmtId="168" formatCode="##0.00E+0"/>
    </dxf>
    <dxf>
      <numFmt numFmtId="2" formatCode="0.00"/>
    </dxf>
    <dxf>
      <numFmt numFmtId="166" formatCode="##0.0000E+0"/>
    </dxf>
    <dxf>
      <numFmt numFmtId="165" formatCode="##0E+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</dxf>
    <dxf>
      <numFmt numFmtId="2" formatCode="0.00"/>
    </dxf>
    <dxf>
      <numFmt numFmtId="166" formatCode="##0.0000E+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8" formatCode="##0.00E+0"/>
    </dxf>
    <dxf>
      <numFmt numFmtId="2" formatCode="0.00"/>
    </dxf>
    <dxf>
      <numFmt numFmtId="166" formatCode="##0.0000E+0"/>
    </dxf>
    <dxf>
      <numFmt numFmtId="168" formatCode="##0.00E+0"/>
    </dxf>
    <dxf>
      <numFmt numFmtId="2" formatCode="0.00"/>
    </dxf>
    <dxf>
      <numFmt numFmtId="166" formatCode="##0.0000E+0"/>
    </dxf>
    <dxf>
      <numFmt numFmtId="165" formatCode="##0E+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</dxf>
    <dxf>
      <numFmt numFmtId="2" formatCode="0.00"/>
    </dxf>
    <dxf>
      <numFmt numFmtId="166" formatCode="##0.0000E+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8" formatCode="##0.00E+0"/>
    </dxf>
    <dxf>
      <numFmt numFmtId="2" formatCode="0.00"/>
    </dxf>
    <dxf>
      <numFmt numFmtId="166" formatCode="##0.0000E+0"/>
    </dxf>
    <dxf>
      <numFmt numFmtId="168" formatCode="##0.00E+0"/>
    </dxf>
    <dxf>
      <numFmt numFmtId="2" formatCode="0.00"/>
    </dxf>
    <dxf>
      <numFmt numFmtId="166" formatCode="##0.0000E+0"/>
    </dxf>
    <dxf>
      <numFmt numFmtId="165" formatCode="##0E+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</dxf>
    <dxf>
      <numFmt numFmtId="2" formatCode="0.00"/>
    </dxf>
    <dxf>
      <numFmt numFmtId="166" formatCode="##0.0000E+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8" formatCode="##0.00E+0"/>
    </dxf>
    <dxf>
      <numFmt numFmtId="2" formatCode="0.00"/>
    </dxf>
    <dxf>
      <numFmt numFmtId="166" formatCode="##0.0000E+0"/>
    </dxf>
    <dxf>
      <numFmt numFmtId="168" formatCode="##0.00E+0"/>
    </dxf>
    <dxf>
      <numFmt numFmtId="2" formatCode="0.00"/>
    </dxf>
    <dxf>
      <numFmt numFmtId="166" formatCode="##0.0000E+0"/>
    </dxf>
    <dxf>
      <numFmt numFmtId="165" formatCode="##0E+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</dxf>
    <dxf>
      <numFmt numFmtId="2" formatCode="0.00"/>
    </dxf>
    <dxf>
      <numFmt numFmtId="166" formatCode="##0.0000E+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8" formatCode="##0.00E+0"/>
    </dxf>
    <dxf>
      <numFmt numFmtId="2" formatCode="0.00"/>
    </dxf>
    <dxf>
      <numFmt numFmtId="166" formatCode="##0.0000E+0"/>
    </dxf>
    <dxf>
      <numFmt numFmtId="168" formatCode="##0.00E+0"/>
    </dxf>
    <dxf>
      <numFmt numFmtId="2" formatCode="0.00"/>
    </dxf>
    <dxf>
      <numFmt numFmtId="166" formatCode="##0.0000E+0"/>
    </dxf>
    <dxf>
      <numFmt numFmtId="165" formatCode="##0E+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</dxf>
    <dxf>
      <numFmt numFmtId="2" formatCode="0.00"/>
    </dxf>
    <dxf>
      <numFmt numFmtId="166" formatCode="##0.0000E+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8" formatCode="##0.00E+0"/>
    </dxf>
    <dxf>
      <numFmt numFmtId="2" formatCode="0.00"/>
    </dxf>
    <dxf>
      <numFmt numFmtId="166" formatCode="##0.0000E+0"/>
    </dxf>
    <dxf>
      <numFmt numFmtId="168" formatCode="##0.00E+0"/>
    </dxf>
    <dxf>
      <numFmt numFmtId="2" formatCode="0.00"/>
    </dxf>
    <dxf>
      <numFmt numFmtId="166" formatCode="##0.0000E+0"/>
    </dxf>
    <dxf>
      <numFmt numFmtId="165" formatCode="##0E+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8" formatCode="##0.00E+0"/>
    </dxf>
    <dxf>
      <numFmt numFmtId="2" formatCode="0.00"/>
    </dxf>
    <dxf>
      <numFmt numFmtId="166" formatCode="##0.0000E+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6" formatCode="##0.0000E+0"/>
    </dxf>
    <dxf>
      <numFmt numFmtId="2" formatCode="0.00"/>
    </dxf>
    <dxf>
      <numFmt numFmtId="166" formatCode="##0.0000E+0"/>
    </dxf>
    <dxf>
      <numFmt numFmtId="166" formatCode="##0.0000E+0"/>
    </dxf>
    <dxf>
      <numFmt numFmtId="168" formatCode="##0.00E+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</dxf>
    <dxf>
      <numFmt numFmtId="2" formatCode="0.00"/>
    </dxf>
    <dxf>
      <numFmt numFmtId="166" formatCode="##0.0000E+0"/>
    </dxf>
    <dxf>
      <numFmt numFmtId="166" formatCode="##0.0000E+0"/>
    </dxf>
    <dxf>
      <numFmt numFmtId="165" formatCode="##0E+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##0.0000E+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##0.0000E+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##0.0000E+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##0.0000E+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##0.0000E+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##0.0000E+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##0.0000E+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##0.0000E+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##0.0000E+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##0.0000E+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8" formatCode="##0.00E+0"/>
    </dxf>
    <dxf>
      <border outline="0"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##0.0000E+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6" formatCode="##0.0000E+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##0.0000E+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##0.0000E+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##0.0000E+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##0.0000E+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##0.0000E+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##0.0000E+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##0.0000E+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##0.0000E+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##0.0000E+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##0.0000E+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8" formatCode="##0.00E+0"/>
    </dxf>
    <dxf>
      <border outline="0">
        <left style="thin">
          <color theme="7"/>
        </left>
        <right style="thin">
          <color theme="7"/>
        </right>
        <top style="thin">
          <color theme="7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##0.0000E+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6" formatCode="##0.0000E+0"/>
      <fill>
        <patternFill patternType="none">
          <fgColor indexed="64"/>
          <bgColor auto="1"/>
        </patternFill>
      </fill>
    </dxf>
    <dxf>
      <numFmt numFmtId="166" formatCode="##0.0000E+0"/>
    </dxf>
    <dxf>
      <numFmt numFmtId="166" formatCode="##0.0000E+0"/>
    </dxf>
    <dxf>
      <numFmt numFmtId="166" formatCode="##0.0000E+0"/>
    </dxf>
    <dxf>
      <numFmt numFmtId="166" formatCode="##0.0000E+0"/>
    </dxf>
    <dxf>
      <numFmt numFmtId="166" formatCode="##0.0000E+0"/>
    </dxf>
    <dxf>
      <numFmt numFmtId="166" formatCode="##0.0000E+0"/>
    </dxf>
    <dxf>
      <numFmt numFmtId="166" formatCode="##0.0000E+0"/>
    </dxf>
    <dxf>
      <numFmt numFmtId="166" formatCode="##0.0000E+0"/>
    </dxf>
    <dxf>
      <numFmt numFmtId="166" formatCode="##0.0000E+0"/>
    </dxf>
    <dxf>
      <numFmt numFmtId="166" formatCode="##0.0000E+0"/>
    </dxf>
    <dxf>
      <numFmt numFmtId="165" formatCode="##0E+0"/>
    </dxf>
    <dxf>
      <numFmt numFmtId="166" formatCode="##0.0000E+0"/>
    </dxf>
    <dxf>
      <numFmt numFmtId="166" formatCode="##0.0000E+0"/>
    </dxf>
    <dxf>
      <numFmt numFmtId="165" formatCode="##0E+0"/>
    </dxf>
    <dxf>
      <numFmt numFmtId="165" formatCode="##0E+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4" formatCode="##0.000E+0"/>
    </dxf>
    <dxf>
      <numFmt numFmtId="164" formatCode="##0.000E+0"/>
    </dxf>
    <dxf>
      <numFmt numFmtId="164" formatCode="##0.000E+0"/>
    </dxf>
    <dxf>
      <numFmt numFmtId="164" formatCode="##0.000E+0"/>
    </dxf>
    <dxf>
      <numFmt numFmtId="164" formatCode="##0.000E+0"/>
    </dxf>
    <dxf>
      <numFmt numFmtId="164" formatCode="##0.000E+0"/>
    </dxf>
    <dxf>
      <numFmt numFmtId="164" formatCode="##0.000E+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#0.000E+0"/>
    </dxf>
    <dxf>
      <numFmt numFmtId="164" formatCode="##0.000E+0"/>
    </dxf>
    <dxf>
      <numFmt numFmtId="164" formatCode="##0.000E+0"/>
    </dxf>
    <dxf>
      <numFmt numFmtId="1" formatCode="0"/>
    </dxf>
    <dxf>
      <numFmt numFmtId="167" formatCode="0.0"/>
    </dxf>
    <dxf>
      <numFmt numFmtId="164" formatCode="##0.000E+0"/>
    </dxf>
    <dxf>
      <numFmt numFmtId="164" formatCode="##0.000E+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400050</xdr:colOff>
      <xdr:row>1</xdr:row>
      <xdr:rowOff>9525</xdr:rowOff>
    </xdr:from>
    <xdr:to>
      <xdr:col>18</xdr:col>
      <xdr:colOff>342900</xdr:colOff>
      <xdr:row>12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B04373-6C6B-0332-04BE-26D6440AE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238125"/>
          <a:ext cx="3600450" cy="2181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47625</xdr:colOff>
      <xdr:row>5</xdr:row>
      <xdr:rowOff>166687</xdr:rowOff>
    </xdr:from>
    <xdr:ext cx="1721882" cy="6363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56EAF8AA-3D88-62B9-73E6-B93C1F0C4E69}"/>
                </a:ext>
              </a:extLst>
            </xdr:cNvPr>
            <xdr:cNvSpPr txBox="1"/>
          </xdr:nvSpPr>
          <xdr:spPr>
            <a:xfrm>
              <a:off x="5819775" y="1157287"/>
              <a:ext cx="1721882" cy="6363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CA" sz="20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CA" sz="2000" b="0" i="1">
                            <a:latin typeface="Cambria Math" panose="02040503050406030204" pitchFamily="18" charset="0"/>
                          </a:rPr>
                          <m:t>𝑚𝑎𝑥</m:t>
                        </m:r>
                      </m:sub>
                    </m:sSub>
                    <m:r>
                      <a:rPr lang="en-CA" sz="2000" b="0" i="1">
                        <a:latin typeface="Cambria Math" panose="02040503050406030204" pitchFamily="18" charset="0"/>
                      </a:rPr>
                      <m:t>=1.5∗</m:t>
                    </m:r>
                    <m:f>
                      <m:fPr>
                        <m:ctrlPr>
                          <a:rPr lang="en-CA" sz="2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CA" sz="2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20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b>
                            <m:r>
                              <a:rPr lang="en-CA" sz="20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CA" sz="2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20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e>
                          <m:sub>
                            <m:r>
                              <a:rPr lang="en-CA" sz="20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CA" sz="20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56EAF8AA-3D88-62B9-73E6-B93C1F0C4E69}"/>
                </a:ext>
              </a:extLst>
            </xdr:cNvPr>
            <xdr:cNvSpPr txBox="1"/>
          </xdr:nvSpPr>
          <xdr:spPr>
            <a:xfrm>
              <a:off x="5819775" y="1157287"/>
              <a:ext cx="1721882" cy="6363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CA" sz="2000" b="0" i="0">
                  <a:latin typeface="Cambria Math" panose="02040503050406030204" pitchFamily="18" charset="0"/>
                </a:rPr>
                <a:t>𝑉_𝑚𝑎𝑥=1.5∗𝑑_𝑡/𝑡_𝑡 </a:t>
              </a:r>
              <a:endParaRPr lang="en-CA" sz="2000"/>
            </a:p>
          </xdr:txBody>
        </xdr:sp>
      </mc:Fallback>
    </mc:AlternateContent>
    <xdr:clientData/>
  </xdr:oneCellAnchor>
  <xdr:oneCellAnchor>
    <xdr:from>
      <xdr:col>7</xdr:col>
      <xdr:colOff>123825</xdr:colOff>
      <xdr:row>9</xdr:row>
      <xdr:rowOff>4762</xdr:rowOff>
    </xdr:from>
    <xdr:ext cx="1352486" cy="65800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85E3B0D5-19A2-E3BF-08DE-E7712C936B5D}"/>
                </a:ext>
              </a:extLst>
            </xdr:cNvPr>
            <xdr:cNvSpPr txBox="1"/>
          </xdr:nvSpPr>
          <xdr:spPr>
            <a:xfrm>
              <a:off x="5895975" y="1757362"/>
              <a:ext cx="1352486" cy="6580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CA" sz="20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=4.5∗</m:t>
                    </m:r>
                    <m:f>
                      <m:fPr>
                        <m:ctrlPr>
                          <a:rPr lang="en-CA" sz="2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CA" sz="2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20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b>
                            <m:r>
                              <a:rPr lang="en-CA" sz="20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num>
                      <m:den>
                        <m:sSubSup>
                          <m:sSubSup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CA" sz="20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e>
                          <m:sub>
                            <m:r>
                              <a:rPr lang="en-CA" sz="20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  <m:sup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den>
                    </m:f>
                  </m:oMath>
                </m:oMathPara>
              </a14:m>
              <a:endParaRPr lang="en-CA" sz="20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85E3B0D5-19A2-E3BF-08DE-E7712C936B5D}"/>
                </a:ext>
              </a:extLst>
            </xdr:cNvPr>
            <xdr:cNvSpPr txBox="1"/>
          </xdr:nvSpPr>
          <xdr:spPr>
            <a:xfrm>
              <a:off x="5895975" y="1757362"/>
              <a:ext cx="1352486" cy="6580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CA" sz="2000" b="0" i="0">
                  <a:latin typeface="Cambria Math" panose="02040503050406030204" pitchFamily="18" charset="0"/>
                </a:rPr>
                <a:t>𝑎=4.5∗𝑑_𝑡/(𝑡</a:t>
              </a:r>
              <a:r>
                <a:rPr lang="en-US" sz="2000" b="0" i="0">
                  <a:latin typeface="Cambria Math" panose="02040503050406030204" pitchFamily="18" charset="0"/>
                </a:rPr>
                <a:t>_</a:t>
              </a:r>
              <a:r>
                <a:rPr lang="en-CA" sz="2000" b="0" i="0">
                  <a:latin typeface="Cambria Math" panose="02040503050406030204" pitchFamily="18" charset="0"/>
                </a:rPr>
                <a:t>𝑡^</a:t>
              </a:r>
              <a:r>
                <a:rPr lang="en-US" sz="2000" b="0" i="0">
                  <a:latin typeface="Cambria Math" panose="02040503050406030204" pitchFamily="18" charset="0"/>
                </a:rPr>
                <a:t>2</a:t>
              </a:r>
              <a:r>
                <a:rPr lang="en-CA" sz="2000" b="0" i="0">
                  <a:latin typeface="Cambria Math" panose="02040503050406030204" pitchFamily="18" charset="0"/>
                </a:rPr>
                <a:t> )</a:t>
              </a:r>
              <a:endParaRPr lang="en-CA" sz="2000"/>
            </a:p>
          </xdr:txBody>
        </xdr:sp>
      </mc:Fallback>
    </mc:AlternateContent>
    <xdr:clientData/>
  </xdr:oneCellAnchor>
  <xdr:oneCellAnchor>
    <xdr:from>
      <xdr:col>7</xdr:col>
      <xdr:colOff>38100</xdr:colOff>
      <xdr:row>0</xdr:row>
      <xdr:rowOff>219075</xdr:rowOff>
    </xdr:from>
    <xdr:ext cx="2678682" cy="315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B65064B8-B615-417B-B664-87B7225B7EF0}"/>
                </a:ext>
              </a:extLst>
            </xdr:cNvPr>
            <xdr:cNvSpPr txBox="1"/>
          </xdr:nvSpPr>
          <xdr:spPr>
            <a:xfrm>
              <a:off x="5810250" y="219075"/>
              <a:ext cx="2678682" cy="315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CA" sz="2000" b="0" i="1">
                            <a:latin typeface="Cambria Math" panose="02040503050406030204" pitchFamily="18" charset="0"/>
                          </a:rPr>
                          <m:t>𝑑</m:t>
                        </m:r>
                      </m:e>
                      <m:sub>
                        <m:r>
                          <a:rPr lang="en-CA" sz="20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CA" sz="2000" b="0" i="1">
                        <a:latin typeface="Cambria Math" panose="02040503050406030204" pitchFamily="18" charset="0"/>
                      </a:rPr>
                      <m:t>=3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𝑚𝑚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𝑜𝑟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 300 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𝑠𝑡𝑒𝑝𝑠</m:t>
                    </m:r>
                  </m:oMath>
                </m:oMathPara>
              </a14:m>
              <a:endParaRPr lang="en-CA" sz="20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B65064B8-B615-417B-B664-87B7225B7EF0}"/>
                </a:ext>
              </a:extLst>
            </xdr:cNvPr>
            <xdr:cNvSpPr txBox="1"/>
          </xdr:nvSpPr>
          <xdr:spPr>
            <a:xfrm>
              <a:off x="5810250" y="219075"/>
              <a:ext cx="2678682" cy="315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CA" sz="2000" b="0" i="0">
                  <a:latin typeface="Cambria Math" panose="02040503050406030204" pitchFamily="18" charset="0"/>
                </a:rPr>
                <a:t>𝑑_𝑡=3𝑚𝑚 𝑜𝑟 300 𝑠𝑡𝑒𝑝𝑠</a:t>
              </a:r>
              <a:endParaRPr lang="en-CA" sz="2000"/>
            </a:p>
          </xdr:txBody>
        </xdr:sp>
      </mc:Fallback>
    </mc:AlternateContent>
    <xdr:clientData/>
  </xdr:oneCellAnchor>
  <xdr:oneCellAnchor>
    <xdr:from>
      <xdr:col>7</xdr:col>
      <xdr:colOff>95250</xdr:colOff>
      <xdr:row>3</xdr:row>
      <xdr:rowOff>76200</xdr:rowOff>
    </xdr:from>
    <xdr:ext cx="1379288" cy="315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3D6627E-73CD-44C1-BD19-43DB7DF212EB}"/>
                </a:ext>
              </a:extLst>
            </xdr:cNvPr>
            <xdr:cNvSpPr txBox="1"/>
          </xdr:nvSpPr>
          <xdr:spPr>
            <a:xfrm>
              <a:off x="5867400" y="685800"/>
              <a:ext cx="1379288" cy="315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CA" sz="20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en-CA" sz="2000" b="0" i="1">
                            <a:latin typeface="Cambria Math" panose="02040503050406030204" pitchFamily="18" charset="0"/>
                          </a:rPr>
                          <m:t>𝑎</m:t>
                        </m:r>
                      </m:sub>
                    </m:sSub>
                    <m:r>
                      <a:rPr lang="en-CA" sz="20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CA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CA" sz="20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en-CA" sz="2000" b="0" i="1">
                            <a:latin typeface="Cambria Math" panose="02040503050406030204" pitchFamily="18" charset="0"/>
                          </a:rPr>
                          <m:t>𝑏</m:t>
                        </m:r>
                      </m:sub>
                    </m:sSub>
                    <m:r>
                      <a:rPr lang="en-CA" sz="20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CA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CA" sz="20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en-CA" sz="20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</m:oMath>
                </m:oMathPara>
              </a14:m>
              <a:endParaRPr lang="en-CA" sz="20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3D6627E-73CD-44C1-BD19-43DB7DF212EB}"/>
                </a:ext>
              </a:extLst>
            </xdr:cNvPr>
            <xdr:cNvSpPr txBox="1"/>
          </xdr:nvSpPr>
          <xdr:spPr>
            <a:xfrm>
              <a:off x="5867400" y="685800"/>
              <a:ext cx="1379288" cy="315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CA" sz="2000" b="0" i="0">
                  <a:latin typeface="Cambria Math" panose="02040503050406030204" pitchFamily="18" charset="0"/>
                </a:rPr>
                <a:t>𝑡_𝑎=𝑡_𝑏=𝑡_𝑐</a:t>
              </a:r>
              <a:endParaRPr lang="en-CA" sz="2000"/>
            </a:p>
          </xdr:txBody>
        </xdr:sp>
      </mc:Fallback>
    </mc:AlternateContent>
    <xdr:clientData/>
  </xdr:oneCellAnchor>
  <xdr:oneCellAnchor>
    <xdr:from>
      <xdr:col>0</xdr:col>
      <xdr:colOff>209550</xdr:colOff>
      <xdr:row>16</xdr:row>
      <xdr:rowOff>0</xdr:rowOff>
    </xdr:from>
    <xdr:ext cx="4035207" cy="18805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BBE9CC2-C2A8-4DF5-85E5-A071609BB28D}"/>
                </a:ext>
              </a:extLst>
            </xdr:cNvPr>
            <xdr:cNvSpPr txBox="1"/>
          </xdr:nvSpPr>
          <xdr:spPr>
            <a:xfrm>
              <a:off x="209550" y="3086100"/>
              <a:ext cx="4035207" cy="18805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000" b="0" i="1">
                        <a:latin typeface="Cambria Math" panose="02040503050406030204" pitchFamily="18" charset="0"/>
                      </a:rPr>
                      <m:t>𝑣</m:t>
                    </m:r>
                    <m:d>
                      <m:d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</m:d>
                    <m:r>
                      <a:rPr lang="en-US" sz="20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"/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,  0≤</m:t>
                            </m:r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≤</m:t>
                            </m:r>
                            <m:f>
                              <m:f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𝑡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3</m:t>
                                </m:r>
                              </m:den>
                            </m:f>
                          </m:e>
                          <m:e>
                            <m:sSub>
                              <m:sSub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𝑣</m:t>
                                </m:r>
                              </m:e>
                              <m: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𝑚𝑎𝑥</m:t>
                                </m:r>
                              </m:sub>
                            </m:sSub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,  </m:t>
                            </m:r>
                            <m:f>
                              <m:f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3</m:t>
                                </m:r>
                              </m:den>
                            </m:f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&lt;</m:t>
                            </m:r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≤</m:t>
                            </m:r>
                            <m:f>
                              <m:f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num>
                              <m:den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3</m:t>
                                </m:r>
                              </m:den>
                            </m:f>
                            <m:sSub>
                              <m:sSub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e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𝑎𝑡</m:t>
                            </m:r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  <m:sSub>
                              <m:sSub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,  </m:t>
                            </m:r>
                            <m:f>
                              <m:f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num>
                              <m:den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3</m:t>
                                </m:r>
                              </m:den>
                            </m:f>
                            <m:sSub>
                              <m:sSub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&lt;</m:t>
                            </m:r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≤</m:t>
                            </m:r>
                            <m:sSub>
                              <m:sSub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e>
                        </m:eqArr>
                      </m:e>
                    </m:d>
                  </m:oMath>
                </m:oMathPara>
              </a14:m>
              <a:endParaRPr lang="en-CA" sz="20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BBE9CC2-C2A8-4DF5-85E5-A071609BB28D}"/>
                </a:ext>
              </a:extLst>
            </xdr:cNvPr>
            <xdr:cNvSpPr txBox="1"/>
          </xdr:nvSpPr>
          <xdr:spPr>
            <a:xfrm>
              <a:off x="209550" y="3086100"/>
              <a:ext cx="4035207" cy="18805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2000" b="0" i="0">
                  <a:latin typeface="Cambria Math" panose="02040503050406030204" pitchFamily="18" charset="0"/>
                </a:rPr>
                <a:t>𝑣(𝑡)={█(𝑎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𝑡,  0≤𝑡≤𝑡_𝑡/3@</a:t>
              </a:r>
              <a:r>
                <a:rPr lang="en-US" sz="2000" b="0" i="0">
                  <a:latin typeface="Cambria Math" panose="02040503050406030204" pitchFamily="18" charset="0"/>
                </a:rPr>
                <a:t>𝑣_𝑚𝑎𝑥,  𝑡_𝑡/3&lt;𝑡≤2/3 𝑡_𝑡@−𝑎𝑡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+𝑎𝑡_𝑡,  2/3 𝑡_𝑡&lt;𝑡≤𝑡_𝑡 )┤</a:t>
              </a:r>
              <a:endParaRPr lang="en-CA" sz="2000"/>
            </a:p>
          </xdr:txBody>
        </xdr:sp>
      </mc:Fallback>
    </mc:AlternateContent>
    <xdr:clientData/>
  </xdr:oneCellAnchor>
  <xdr:oneCellAnchor>
    <xdr:from>
      <xdr:col>0</xdr:col>
      <xdr:colOff>152400</xdr:colOff>
      <xdr:row>28</xdr:row>
      <xdr:rowOff>57150</xdr:rowOff>
    </xdr:from>
    <xdr:ext cx="5730095" cy="198438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6D9AB843-3366-42FA-9D8E-331AB3B5D0DF}"/>
                </a:ext>
              </a:extLst>
            </xdr:cNvPr>
            <xdr:cNvSpPr txBox="1"/>
          </xdr:nvSpPr>
          <xdr:spPr>
            <a:xfrm>
              <a:off x="152400" y="5429250"/>
              <a:ext cx="5730095" cy="19843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000" b="0" i="1">
                        <a:latin typeface="Cambria Math" panose="02040503050406030204" pitchFamily="18" charset="0"/>
                      </a:rPr>
                      <m:t>𝑠</m:t>
                    </m:r>
                    <m:d>
                      <m:d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</m:d>
                    <m:r>
                      <a:rPr lang="en-US" sz="20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"/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f>
                              <m:f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𝑎</m:t>
                                </m:r>
                                <m:sSup>
                                  <m:sSup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e>
                                  <m:sup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p>
                              </m:num>
                              <m:den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den>
                            </m:f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,  0≤</m:t>
                            </m:r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≤</m:t>
                            </m:r>
                            <m:f>
                              <m:f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3</m:t>
                                </m:r>
                              </m:den>
                            </m:f>
                          </m:e>
                          <m:e>
                            <m:sSub>
                              <m:sSub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𝑣</m:t>
                                </m:r>
                              </m:e>
                              <m: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𝑚𝑎𝑥</m:t>
                                </m:r>
                              </m:sub>
                            </m:sSub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∙</m:t>
                            </m:r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f>
                              <m:f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𝑣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𝑚𝑎𝑥</m:t>
                                    </m:r>
                                  </m:sub>
                                </m:s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∙</m:t>
                                </m:r>
                                <m:sSub>
                                  <m:sSub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𝑡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6</m:t>
                                </m:r>
                              </m:den>
                            </m:f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,  </m:t>
                            </m:r>
                            <m:f>
                              <m:f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3</m:t>
                                </m:r>
                              </m:den>
                            </m:f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&lt;</m:t>
                            </m:r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≤</m:t>
                            </m:r>
                            <m:f>
                              <m:f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num>
                              <m:den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3</m:t>
                                </m:r>
                              </m:den>
                            </m:f>
                            <m:sSub>
                              <m:sSub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e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f>
                              <m:f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𝑎</m:t>
                                </m:r>
                                <m:sSup>
                                  <m:sSup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e>
                                  <m:sup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p>
                              </m:num>
                              <m:den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den>
                            </m:f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  <m:sSub>
                              <m:sSub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∙</m:t>
                            </m:r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𝑠</m:t>
                                </m:r>
                              </m:e>
                              <m: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</m:t>
                            </m:r>
                            <m:f>
                              <m:f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𝑎</m:t>
                                </m:r>
                                <m:sSubSup>
                                  <m:sSubSup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𝑡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  <m:sup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num>
                              <m:den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den>
                            </m:f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,  </m:t>
                            </m:r>
                            <m:f>
                              <m:f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num>
                              <m:den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3</m:t>
                                </m:r>
                              </m:den>
                            </m:f>
                            <m:sSub>
                              <m:sSub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&lt;</m:t>
                            </m:r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≤</m:t>
                            </m:r>
                            <m:sSub>
                              <m:sSub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e>
                        </m:eqArr>
                      </m:e>
                    </m:d>
                  </m:oMath>
                </m:oMathPara>
              </a14:m>
              <a:endParaRPr lang="en-CA" sz="20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6D9AB843-3366-42FA-9D8E-331AB3B5D0DF}"/>
                </a:ext>
              </a:extLst>
            </xdr:cNvPr>
            <xdr:cNvSpPr txBox="1"/>
          </xdr:nvSpPr>
          <xdr:spPr>
            <a:xfrm>
              <a:off x="152400" y="5429250"/>
              <a:ext cx="5730095" cy="19843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2000" b="0" i="0">
                  <a:latin typeface="Cambria Math" panose="02040503050406030204" pitchFamily="18" charset="0"/>
                </a:rPr>
                <a:t>𝑠(𝑡)={█((𝑎𝑡^2)/2,  0≤𝑡≤𝑡_𝑡/3@𝑣_𝑚𝑎𝑥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en-US" sz="2000" b="0" i="0">
                  <a:latin typeface="Cambria Math" panose="02040503050406030204" pitchFamily="18" charset="0"/>
                </a:rPr>
                <a:t>𝑡−(𝑣_𝑚𝑎𝑥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∙𝑡_𝑡)/</a:t>
              </a:r>
              <a:r>
                <a:rPr lang="en-US" sz="2000" b="0" i="0">
                  <a:latin typeface="Cambria Math" panose="02040503050406030204" pitchFamily="18" charset="0"/>
                </a:rPr>
                <a:t>6,  𝑡_𝑡/3&lt;𝑡≤2/3 𝑡_𝑡@−(𝑎𝑡^2)/2+𝑎𝑡_𝑡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∙𝑡+𝑠_𝑡−(𝑎𝑡_𝑡^2)/2,  2/3 𝑡_𝑡&lt;𝑡≤𝑡_𝑡 )┤</a:t>
              </a:r>
              <a:endParaRPr lang="en-CA" sz="2000"/>
            </a:p>
          </xdr:txBody>
        </xdr:sp>
      </mc:Fallback>
    </mc:AlternateContent>
    <xdr:clientData/>
  </xdr:oneCellAnchor>
  <xdr:oneCellAnchor>
    <xdr:from>
      <xdr:col>6</xdr:col>
      <xdr:colOff>466725</xdr:colOff>
      <xdr:row>15</xdr:row>
      <xdr:rowOff>114300</xdr:rowOff>
    </xdr:from>
    <xdr:ext cx="3317960" cy="21416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FF7CA66F-E43C-4A8D-B4C4-A9821BBA0A12}"/>
                </a:ext>
              </a:extLst>
            </xdr:cNvPr>
            <xdr:cNvSpPr txBox="1"/>
          </xdr:nvSpPr>
          <xdr:spPr>
            <a:xfrm>
              <a:off x="5629275" y="3009900"/>
              <a:ext cx="3317960" cy="21416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000" b="0" i="1">
                        <a:latin typeface="Cambria Math" panose="02040503050406030204" pitchFamily="18" charset="0"/>
                      </a:rPr>
                      <m:t>𝑣</m:t>
                    </m:r>
                    <m:d>
                      <m:d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</m:d>
                    <m:r>
                      <a:rPr lang="en-US" sz="20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"/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f>
                              <m:f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9</m:t>
                                </m:r>
                                <m:sSub>
                                  <m:sSub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𝑠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num>
                              <m:den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  <m:sSubSup>
                                  <m:sSubSup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  <m:sup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den>
                            </m:f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𝑎</m:t>
                                </m:r>
                              </m:sub>
                            </m:sSub>
                          </m:e>
                          <m:e>
                            <m:f>
                              <m:f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3</m:t>
                                </m:r>
                                <m:sSub>
                                  <m:sSub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𝑠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</m:num>
                              <m:den>
                                <m:sSub>
                                  <m:sSub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2</m:t>
                                    </m:r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𝑡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</m:den>
                            </m:f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𝑏</m:t>
                                </m:r>
                              </m:sub>
                            </m:sSub>
                          </m:e>
                          <m:e>
                            <m:f>
                              <m:f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9</m:t>
                                </m:r>
                                <m:sSub>
                                  <m:sSub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𝑠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  <m:sSub>
                                  <m:sSub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</m:den>
                            </m:f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∙</m:t>
                            </m:r>
                            <m:d>
                              <m:d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1−</m:t>
                                </m:r>
                                <m:f>
                                  <m:f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𝑡</m:t>
                                    </m:r>
                                  </m:num>
                                  <m:den>
                                    <m:sSub>
                                      <m:sSubPr>
                                        <m:ctrlPr>
                                          <a:rPr lang="en-US" sz="20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20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𝑡</m:t>
                                        </m:r>
                                      </m:e>
                                      <m:sub>
                                        <m:r>
                                          <a:rPr lang="en-US" sz="20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𝑡</m:t>
                                        </m:r>
                                      </m:sub>
                                    </m:sSub>
                                  </m:den>
                                </m:f>
                              </m:e>
                            </m:d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𝑐</m:t>
                                </m:r>
                              </m:sub>
                            </m:sSub>
                          </m:e>
                        </m:eqArr>
                      </m:e>
                    </m:d>
                  </m:oMath>
                </m:oMathPara>
              </a14:m>
              <a:endParaRPr lang="en-CA" sz="20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FF7CA66F-E43C-4A8D-B4C4-A9821BBA0A12}"/>
                </a:ext>
              </a:extLst>
            </xdr:cNvPr>
            <xdr:cNvSpPr txBox="1"/>
          </xdr:nvSpPr>
          <xdr:spPr>
            <a:xfrm>
              <a:off x="5629275" y="3009900"/>
              <a:ext cx="3317960" cy="21416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2000" b="0" i="0">
                  <a:latin typeface="Cambria Math" panose="02040503050406030204" pitchFamily="18" charset="0"/>
                </a:rPr>
                <a:t>𝑣(𝑡)={█((9𝑠_𝑡 𝑡)/(2𝑡_𝑡^2 ),  𝑡_𝑎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@(3𝑠_𝑡)/〖2𝑡〗_𝑡 ,  𝑡_𝑏@(</a:t>
              </a:r>
              <a:r>
                <a:rPr lang="en-US" sz="2000" b="0" i="0">
                  <a:latin typeface="Cambria Math" panose="02040503050406030204" pitchFamily="18" charset="0"/>
                </a:rPr>
                <a:t>9𝑠_𝑡)/(2𝑡_𝑡 )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∙(1−𝑡/𝑡_𝑡 ),  𝑡_𝑐 )┤</a:t>
              </a:r>
              <a:endParaRPr lang="en-CA" sz="2000"/>
            </a:p>
          </xdr:txBody>
        </xdr:sp>
      </mc:Fallback>
    </mc:AlternateContent>
    <xdr:clientData/>
  </xdr:oneCellAnchor>
  <xdr:oneCellAnchor>
    <xdr:from>
      <xdr:col>8</xdr:col>
      <xdr:colOff>180975</xdr:colOff>
      <xdr:row>29</xdr:row>
      <xdr:rowOff>133350</xdr:rowOff>
    </xdr:from>
    <xdr:ext cx="4143891" cy="218059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6C685A93-1BB3-497F-89E5-C262C26A4518}"/>
                </a:ext>
              </a:extLst>
            </xdr:cNvPr>
            <xdr:cNvSpPr txBox="1"/>
          </xdr:nvSpPr>
          <xdr:spPr>
            <a:xfrm>
              <a:off x="6562725" y="5695950"/>
              <a:ext cx="4143891" cy="21805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000" b="0" i="1">
                        <a:latin typeface="Cambria Math" panose="02040503050406030204" pitchFamily="18" charset="0"/>
                      </a:rPr>
                      <m:t>𝑠</m:t>
                    </m:r>
                    <m:d>
                      <m:d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</m:d>
                    <m:r>
                      <a:rPr lang="en-US" sz="20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"/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f>
                              <m:f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9</m:t>
                                </m:r>
                                <m:sSub>
                                  <m:sSub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𝑠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  <m:sSup>
                                  <m:sSup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e>
                                  <m:sup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p>
                              </m:num>
                              <m:den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4</m:t>
                                </m:r>
                                <m:sSubSup>
                                  <m:sSubSup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  <m:sup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den>
                            </m:f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𝑎</m:t>
                                </m:r>
                              </m:sub>
                            </m:sSub>
                          </m:e>
                          <m:e>
                            <m:f>
                              <m:f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3</m:t>
                                </m:r>
                                <m:sSub>
                                  <m:sSub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𝑠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num>
                              <m:den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  <m:sSub>
                                  <m:sSub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</m:den>
                            </m:f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f>
                              <m:f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𝑠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4</m:t>
                                </m:r>
                              </m:den>
                            </m:f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𝑏</m:t>
                                </m:r>
                              </m:sub>
                            </m:sSub>
                          </m:e>
                          <m:e>
                            <m:f>
                              <m:f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−9</m:t>
                                </m:r>
                                <m:sSub>
                                  <m:sSub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𝑠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  <m:sSup>
                                  <m:sSup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e>
                                  <m:sup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p>
                              </m:num>
                              <m:den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4</m:t>
                                </m:r>
                                <m:sSubSup>
                                  <m:sSubSup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  <m:sup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den>
                            </m:f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f>
                              <m:f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9</m:t>
                                </m:r>
                                <m:sSub>
                                  <m:sSub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𝑠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num>
                              <m:den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  <m:sSub>
                                  <m:sSub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</m:den>
                            </m:f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f>
                              <m:f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5</m:t>
                                </m:r>
                              </m:num>
                              <m:den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4</m:t>
                                </m:r>
                              </m:den>
                            </m:f>
                            <m:sSub>
                              <m:sSub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𝑠</m:t>
                                </m:r>
                              </m:e>
                              <m: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𝑐</m:t>
                                </m:r>
                              </m:sub>
                            </m:sSub>
                          </m:e>
                        </m:eqArr>
                      </m:e>
                    </m:d>
                  </m:oMath>
                </m:oMathPara>
              </a14:m>
              <a:endParaRPr lang="en-CA" sz="20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6C685A93-1BB3-497F-89E5-C262C26A4518}"/>
                </a:ext>
              </a:extLst>
            </xdr:cNvPr>
            <xdr:cNvSpPr txBox="1"/>
          </xdr:nvSpPr>
          <xdr:spPr>
            <a:xfrm>
              <a:off x="6562725" y="5695950"/>
              <a:ext cx="4143891" cy="21805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2000" b="0" i="0">
                  <a:latin typeface="Cambria Math" panose="02040503050406030204" pitchFamily="18" charset="0"/>
                </a:rPr>
                <a:t>𝑠(𝑡)={█((9𝑠_𝑡 𝑡^2)/(4𝑡_𝑡^2 ),  𝑡_𝑎@(3𝑠_𝑡 𝑡)/(2𝑡_𝑡 )−𝑠_𝑡/4,  𝑡_𝑏@(−9𝑠_𝑡 𝑡^2)/(4𝑡_𝑡^2 )+(9𝑠_𝑡 𝑡)/(2𝑡_𝑡 )−5/4 𝑠_𝑡,  𝑡_𝑐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)┤</a:t>
              </a:r>
              <a:endParaRPr lang="en-CA" sz="20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428625</xdr:colOff>
      <xdr:row>10</xdr:row>
      <xdr:rowOff>28575</xdr:rowOff>
    </xdr:from>
    <xdr:to>
      <xdr:col>14</xdr:col>
      <xdr:colOff>438605</xdr:colOff>
      <xdr:row>32</xdr:row>
      <xdr:rowOff>85165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A59926-EF86-F218-F6CA-D32AD35CA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24575" y="1952625"/>
          <a:ext cx="5810705" cy="424759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F0C6F8F-B324-4861-84EE-91AF5FE25959}" name="Period_Calc" displayName="Period_Calc" ref="A1:D11" totalsRowShown="0">
  <autoFilter ref="A1:D11" xr:uid="{DF0C6F8F-B324-4861-84EE-91AF5FE25959}">
    <filterColumn colId="0" hiddenButton="1"/>
    <filterColumn colId="1" hiddenButton="1"/>
    <filterColumn colId="2" hiddenButton="1"/>
    <filterColumn colId="3" hiddenButton="1"/>
  </autoFilter>
  <tableColumns count="4">
    <tableColumn id="1" xr3:uid="{B2CA0776-0FBE-4304-AD1F-9A48CE5AEC17}" name="stitches/s"/>
    <tableColumn id="2" xr3:uid="{9CEAFCA0-3559-4BA7-A313-8207B308B3A1}" name="Vmax (steps/s)" dataDxfId="162">
      <calculatedColumnFormula>(1.5*300/POWER(A2,-1))</calculatedColumnFormula>
    </tableColumn>
    <tableColumn id="3" xr3:uid="{B4BAC59C-566F-48F7-9E4B-59F5E49DE2A9}" name="Period (s)" dataDxfId="161">
      <calculatedColumnFormula>POWER(B2,-1)</calculatedColumnFormula>
    </tableColumn>
    <tableColumn id="4" xr3:uid="{015E9145-75CD-46D6-8C9F-1DD7D1895599}" name="Period (pw)" dataDxfId="160">
      <calculatedColumnFormula>(C2/0.00005)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110F8D-88C5-47D7-BDDA-CE20FE290976}" name="Period_Int" displayName="Period_Int" ref="F1:H11" totalsRowShown="0">
  <autoFilter ref="F1:H11" xr:uid="{41110F8D-88C5-47D7-BDDA-CE20FE290976}">
    <filterColumn colId="0" hiddenButton="1"/>
    <filterColumn colId="1" hiddenButton="1"/>
    <filterColumn colId="2" hiddenButton="1"/>
  </autoFilter>
  <tableColumns count="3">
    <tableColumn id="1" xr3:uid="{0B0F9E31-DAC5-487D-83D3-95874FC1C05D}" name="Period (pw), rounded " dataDxfId="159">
      <calculatedColumnFormula>ROUND(D2,0)</calculatedColumnFormula>
    </tableColumn>
    <tableColumn id="2" xr3:uid="{E751B1AC-3927-4ACC-868B-504948CA9EB3}" name="Period (s), result" dataDxfId="158">
      <calculatedColumnFormula>F2*0.00005</calculatedColumnFormula>
    </tableColumn>
    <tableColumn id="3" xr3:uid="{96D9C5E5-E7D3-4FD0-B2A4-9D5FCB420160}" name="Frequency (Hz), result" dataDxfId="157">
      <calculatedColumnFormula>POWER(G2,-1)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409F0C-274F-42E8-B0E0-7B2D8A791D29}" name="Overview" displayName="Overview" ref="A2:H12" totalsRowShown="0" headerRowDxfId="156">
  <autoFilter ref="A2:H12" xr:uid="{6B409F0C-274F-42E8-B0E0-7B2D8A791D2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DA76F4C-9908-4CD6-8E14-5404D7AB7F07}" name="stitches/s"/>
    <tableColumn id="2" xr3:uid="{D11AEC9C-23CB-4D50-9847-FA2069F34D19}" name="tt" dataDxfId="155">
      <calculatedColumnFormula>POWER(A3,-1)</calculatedColumnFormula>
    </tableColumn>
    <tableColumn id="3" xr3:uid="{A3A79F94-C2D9-4B59-85EF-3E7AC80643D1}" name="Vmax (m/s)" dataDxfId="154">
      <calculatedColumnFormula>(1.5*0.003/B3)</calculatedColumnFormula>
    </tableColumn>
    <tableColumn id="4" xr3:uid="{726BCD31-A45D-4A20-A0D2-29CA45912CFC}" name="Vmax (steps/s)" dataDxfId="153">
      <calculatedColumnFormula>(1.5 * 300 /B3)</calculatedColumnFormula>
    </tableColumn>
    <tableColumn id="5" xr3:uid="{DFCBE8DB-B908-4BAD-A589-7F284B68A82A}" name="Acceleration (m/s2)" dataDxfId="152">
      <calculatedColumnFormula>(4.5 * 0.003/POWER(B3,2))</calculatedColumnFormula>
    </tableColumn>
    <tableColumn id="6" xr3:uid="{32DAB83E-4E73-4C18-8F9D-6D12587109B9}" name="Acceleration (steps/s2)" dataDxfId="151">
      <calculatedColumnFormula>(4.5*300/POWER(B3,2))</calculatedColumnFormula>
    </tableColumn>
    <tableColumn id="7" xr3:uid="{24934EF1-787C-42D9-B11E-CC63969EFB75}" name="a" dataDxfId="150">
      <calculatedColumnFormula>(-9/4)*($L$3/POWER(Overview[[#This Row],[tt]],2))</calculatedColumnFormula>
    </tableColumn>
    <tableColumn id="8" xr3:uid="{756F8DB6-6B13-4448-9BD3-E6EE90653EE1}" name="b" dataDxfId="149">
      <calculatedColumnFormula>(9/2)*($L$3/Overview[[#This Row],[tt]])</calculatedColumnFormula>
    </tableColumn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3076E9-DC08-40B0-93D5-58AE8F461E7B}" name="Globals" displayName="Globals" ref="L2:L3" totalsRowShown="0" headerRowDxfId="148" dataDxfId="147">
  <autoFilter ref="L2:L3" xr:uid="{B33076E9-DC08-40B0-93D5-58AE8F461E7B}">
    <filterColumn colId="0" hiddenButton="1"/>
  </autoFilter>
  <tableColumns count="1">
    <tableColumn id="1" xr3:uid="{D115D2AF-87A8-454F-9398-524B5C58F2F8}" name="st" dataDxfId="14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D31B5E-CABA-4E94-B398-022A1E59944E}" name="st_a" displayName="st_a" ref="A2:K78" totalsRowShown="0" headerRowDxfId="145" dataDxfId="144">
  <autoFilter ref="A2:K78" xr:uid="{65D31B5E-CABA-4E94-B398-022A1E59944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6CEA1736-E5C9-4974-92BD-A8378753A106}" name="s(ta)" dataDxfId="143"/>
    <tableColumn id="3" xr3:uid="{D5059ABB-B51B-47F9-B8B5-5BA6F7D0A460}" name="t_1" dataDxfId="142">
      <calculatedColumnFormula array="1">SQRT((4*POWER(ttotal1,2)*st_a[[#This Row],[s(ta)]])/(9*s_t))</calculatedColumnFormula>
    </tableColumn>
    <tableColumn id="4" xr3:uid="{90C28CAF-BC94-4633-91A2-C3490D4CB2AF}" name="t_2" dataDxfId="141">
      <calculatedColumnFormula array="1">SQRT((4*POWER(ttotal2,2)*st_a[[#This Row],[s(ta)]])/(9*s_t))</calculatedColumnFormula>
    </tableColumn>
    <tableColumn id="5" xr3:uid="{B4C7C25E-F95B-496A-964F-00D8C66DE0E8}" name="t_3" dataDxfId="140">
      <calculatedColumnFormula array="1">SQRT((4*POWER(ttotal3,2)*st_a[[#This Row],[s(ta)]])/(9*s_t))</calculatedColumnFormula>
    </tableColumn>
    <tableColumn id="6" xr3:uid="{05A450F8-2C86-44EF-AB07-E7A4C67E2539}" name="t_4" dataDxfId="139">
      <calculatedColumnFormula array="1">SQRT((4*POWER(ttotal4,2)*st_a[[#This Row],[s(ta)]])/(9*s_t))</calculatedColumnFormula>
    </tableColumn>
    <tableColumn id="7" xr3:uid="{BCB09B4A-9858-4492-AB1B-BED6CB2E24F3}" name="t_5" dataDxfId="138">
      <calculatedColumnFormula array="1">SQRT((4*POWER(ttotal5,2)*st_a[[#This Row],[s(ta)]])/(9*s_t))</calculatedColumnFormula>
    </tableColumn>
    <tableColumn id="8" xr3:uid="{23CCFB0B-770C-48D1-8736-D3470ACE3352}" name="t_6" dataDxfId="137">
      <calculatedColumnFormula array="1">SQRT((4*POWER(ttotal6,2)*st_a[[#This Row],[s(ta)]])/(9*s_t))</calculatedColumnFormula>
    </tableColumn>
    <tableColumn id="9" xr3:uid="{8F444B30-E962-4AEB-A393-2FDC767C390C}" name="t_7" dataDxfId="136">
      <calculatedColumnFormula array="1">SQRT((4*POWER(ttotal7,2)*st_a[[#This Row],[s(ta)]])/(9*s_t))</calculatedColumnFormula>
    </tableColumn>
    <tableColumn id="10" xr3:uid="{C60D846F-3F61-4A4C-9EA7-E331DFE195E1}" name="t_8" dataDxfId="135">
      <calculatedColumnFormula array="1">SQRT((4*POWER(ttotal8,2)*st_a[[#This Row],[s(ta)]])/(9*s_t))</calculatedColumnFormula>
    </tableColumn>
    <tableColumn id="11" xr3:uid="{4421A4D8-3218-4A36-BB06-FC7D59FA0FBF}" name="t_9" dataDxfId="134">
      <calculatedColumnFormula array="1">SQRT((4*POWER(ttotal9,2)*st_a[[#This Row],[s(ta)]])/(9*s_t))</calculatedColumnFormula>
    </tableColumn>
    <tableColumn id="12" xr3:uid="{0DB2B204-9AFA-4B30-A086-C7156C223690}" name="t_10" dataDxfId="133">
      <calculatedColumnFormula array="1">SQRT((4*POWER(ttotal10,2)*st_a[[#This Row],[s(ta)]])/(9*s_t))</calculatedColumnFormula>
    </tableColumn>
  </tableColumns>
  <tableStyleInfo name="TableStyleMedium16" showFirstColumn="1" showLastColumn="0" showRowStripes="0" showColumnStripes="1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21A0D56-9C0D-49F8-8BAB-24A586FBAF09}" name="st_b" displayName="st_b" ref="M2:W153" totalsRowShown="0" headerRowDxfId="132" dataDxfId="131" tableBorderDxfId="130">
  <autoFilter ref="M2:W153" xr:uid="{D21A0D56-9C0D-49F8-8BAB-24A586FBAF0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C9769A0E-DEBC-43EF-96C5-8459EEB3B2BC}" name="s(tb)" dataDxfId="129"/>
    <tableColumn id="3" xr3:uid="{06B26BB8-7691-4D08-B9C9-5258E06E4670}" name="t_1" dataDxfId="128">
      <calculatedColumnFormula array="1">((2*ttotal1)/(3*s_t))*(st_b[[#This Row],[s(tb)]]+(s_t/4))</calculatedColumnFormula>
    </tableColumn>
    <tableColumn id="4" xr3:uid="{8FBA9CED-EB39-4864-BE18-62F88F400FF7}" name="t_2" dataDxfId="127">
      <calculatedColumnFormula array="1">((2*ttotal2)/(3*s_t))*(st_b[[#This Row],[s(tb)]]+(s_t/4))</calculatedColumnFormula>
    </tableColumn>
    <tableColumn id="5" xr3:uid="{0E3B3AA9-75AB-4DEA-89FA-3C4913748069}" name="t_3" dataDxfId="126">
      <calculatedColumnFormula array="1">((2*ttotal3)/(3*s_t))*(st_b[[#This Row],[s(tb)]]+(s_t/4))</calculatedColumnFormula>
    </tableColumn>
    <tableColumn id="6" xr3:uid="{67EB898D-D66B-4546-8D12-3915E38A44D0}" name="t_4" dataDxfId="125">
      <calculatedColumnFormula array="1">((2*ttotal4)/(3*s_t))*(st_b[[#This Row],[s(tb)]]+(s_t/4))</calculatedColumnFormula>
    </tableColumn>
    <tableColumn id="7" xr3:uid="{23057469-1B3C-4D83-8865-30383E010AAF}" name="t_5" dataDxfId="124">
      <calculatedColumnFormula array="1">((2*ttotal5)/(3*s_t))*(st_b[[#This Row],[s(tb)]]+(s_t/4))</calculatedColumnFormula>
    </tableColumn>
    <tableColumn id="8" xr3:uid="{BD518144-CD8A-495A-B7B3-FF5F8AA7BC12}" name="t_6" dataDxfId="123">
      <calculatedColumnFormula array="1">((2*ttotal6)/(3*s_t))*(st_b[[#This Row],[s(tb)]]+(s_t/4))</calculatedColumnFormula>
    </tableColumn>
    <tableColumn id="9" xr3:uid="{5A81B3E8-6722-4223-BF18-2994D33137D2}" name="t_7" dataDxfId="122">
      <calculatedColumnFormula array="1">((2*ttotal7)/(3*s_t))*(st_b[[#This Row],[s(tb)]]+(s_t/4))</calculatedColumnFormula>
    </tableColumn>
    <tableColumn id="10" xr3:uid="{1ABA9A4B-F9CE-4CE5-A21E-670FACB68B84}" name="t_8" dataDxfId="121">
      <calculatedColumnFormula array="1">((2*ttotal8)/(3*s_t))*(st_b[[#This Row],[s(tb)]]+(s_t/4))</calculatedColumnFormula>
    </tableColumn>
    <tableColumn id="11" xr3:uid="{66BD369B-1F43-485B-A929-87AD7052A449}" name="t_9" dataDxfId="120">
      <calculatedColumnFormula array="1">((2*ttotal9)/(3*s_t))*(st_b[[#This Row],[s(tb)]]+(s_t/4))</calculatedColumnFormula>
    </tableColumn>
    <tableColumn id="12" xr3:uid="{76EFFBF4-C6A0-4E5C-94EC-1F1821DB108B}" name="t_10" dataDxfId="119">
      <calculatedColumnFormula array="1">((2*ttotal10)/(3*s_t))*(st_b[[#This Row],[s(tb)]]+(s_t/4))</calculatedColumnFormula>
    </tableColumn>
  </tableColumns>
  <tableStyleInfo name="TableStyleMedium16" showFirstColumn="1" showLastColumn="0" showRowStripes="0" showColumnStripes="1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B18671C-D5E5-4E43-B07F-FE2571B8E394}" name="st_c" displayName="st_c" ref="Y2:AJ78" totalsRowShown="0" headerRowDxfId="118" dataDxfId="117" tableBorderDxfId="116">
  <autoFilter ref="Y2:AJ78" xr:uid="{CB18671C-D5E5-4E43-B07F-FE2571B8E39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5CFCDC3A-36C9-42D1-B80F-D9FFEC3827C5}" name="s(tc)" dataDxfId="115"/>
    <tableColumn id="2" xr3:uid="{72887F91-3D0E-4E4C-A5E4-C5605B0E8587}" name="c" dataDxfId="114">
      <calculatedColumnFormula array="1">(-5*s_t/4)-Y3</calculatedColumnFormula>
    </tableColumn>
    <tableColumn id="3" xr3:uid="{40829B96-FE35-42F6-9CD6-FE18296890FB}" name="t_1" dataDxfId="113">
      <calculatedColumnFormula>(-INDEX(Overview[b],1)+SQRT(POWER(INDEX(Overview[b],1),2)-(4*INDEX(Overview[a],1)*st_c[[#This Row],[c]])))/(2*INDEX(Overview[a],1))</calculatedColumnFormula>
    </tableColumn>
    <tableColumn id="4" xr3:uid="{0E03A88C-B993-44FA-9A80-0C454EC1096F}" name="t_2" dataDxfId="112">
      <calculatedColumnFormula>(-INDEX(Overview[b],2)+SQRT(POWER(INDEX(Overview[b],2),2)-(4*INDEX(Overview[a],2)*st_c[[#This Row],[c]])))/(2*INDEX(Overview[a],2))</calculatedColumnFormula>
    </tableColumn>
    <tableColumn id="5" xr3:uid="{BC42B16D-5268-4F91-9851-3BFA51B2245E}" name="t_3" dataDxfId="111">
      <calculatedColumnFormula>(-INDEX(Overview[b],3)+SQRT(POWER(INDEX(Overview[b],3),2)-(4*INDEX(Overview[a],3)*st_c[[#This Row],[c]])))/(2*INDEX(Overview[a],3))</calculatedColumnFormula>
    </tableColumn>
    <tableColumn id="6" xr3:uid="{6E8F7F64-C7F9-4764-AA5B-192344D6A5A2}" name="t_4" dataDxfId="110">
      <calculatedColumnFormula>(-INDEX(Overview[b],4)+SQRT(POWER(INDEX(Overview[b],4),2)-(4*INDEX(Overview[a],4)*st_c[[#This Row],[c]])))/(2*INDEX(Overview[a],4))</calculatedColumnFormula>
    </tableColumn>
    <tableColumn id="7" xr3:uid="{28916961-0900-4E02-A4C6-679E06FC430B}" name="t_5" dataDxfId="109">
      <calculatedColumnFormula>(-INDEX(Overview[b],5)+SQRT(POWER(INDEX(Overview[b],5),2)-(4*INDEX(Overview[a],5)*st_c[[#This Row],[c]])))/(2*INDEX(Overview[a],5))</calculatedColumnFormula>
    </tableColumn>
    <tableColumn id="8" xr3:uid="{9A150DD6-B585-4D4A-A9DE-BBFDCA085887}" name="t_6" dataDxfId="108">
      <calculatedColumnFormula>(-INDEX(Overview[b],6)+SQRT(POWER(INDEX(Overview[b],6),2)-(4*INDEX(Overview[a],6)*st_c[[#This Row],[c]])))/(2*INDEX(Overview[a],6))</calculatedColumnFormula>
    </tableColumn>
    <tableColumn id="9" xr3:uid="{7440B246-C368-42D8-BE12-E527B13F8387}" name="t_7" dataDxfId="107">
      <calculatedColumnFormula>(-INDEX(Overview[b],7)+SQRT(POWER(INDEX(Overview[b],7),2)-(4*INDEX(Overview[a],7)*st_c[[#This Row],[c]])))/(2*INDEX(Overview[a],7))</calculatedColumnFormula>
    </tableColumn>
    <tableColumn id="10" xr3:uid="{742AE50E-41CD-4B76-AE6D-555FB4D43DBA}" name="t_8" dataDxfId="106">
      <calculatedColumnFormula>(-INDEX(Overview[b],8)+SQRT(POWER(INDEX(Overview[b],8),2)-(4*INDEX(Overview[a],8)*st_c[[#This Row],[c]])))/(2*INDEX(Overview[a],8))</calculatedColumnFormula>
    </tableColumn>
    <tableColumn id="11" xr3:uid="{4549738B-AE11-4888-8A6E-78C3405A6D39}" name="t_9" dataDxfId="105">
      <calculatedColumnFormula>(-INDEX(Overview[b],9)+SQRT(POWER(INDEX(Overview[b],9),2)-(4*INDEX(Overview[a],9)*st_c[[#This Row],[c]])))/(2*INDEX(Overview[a],9))</calculatedColumnFormula>
    </tableColumn>
    <tableColumn id="12" xr3:uid="{D8C652D0-285A-4D0C-A718-A9EBA28F778C}" name="t_10" dataDxfId="0">
      <calculatedColumnFormula>(-INDEX(Overview[b],10)+SQRT(POWER(INDEX(Overview[b],10),2)-(4*INDEX(Overview[a],10)*st_c[[#This Row],[c]])))/(2*INDEX(Overview[a],10))</calculatedColumnFormula>
    </tableColumn>
  </tableColumns>
  <tableStyleInfo name="TableStyleMedium16" showFirstColumn="1" showLastColumn="0" showRowStripes="0" showColumnStripes="1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A4B500B-E088-464C-B799-E102096C204B}" name="ta_3" displayName="ta_3" ref="A2:D78" totalsRowShown="0" headerRowDxfId="100">
  <autoFilter ref="A2:D78" xr:uid="{EA4B500B-E088-464C-B799-E102096C204B}">
    <filterColumn colId="0" hiddenButton="1"/>
    <filterColumn colId="1" hiddenButton="1"/>
    <filterColumn colId="2" hiddenButton="1"/>
    <filterColumn colId="3" hiddenButton="1"/>
  </autoFilter>
  <tableColumns count="4">
    <tableColumn id="1" xr3:uid="{87A9AE41-430E-45C4-9A34-57E8FA79D444}" name="s(ta)" dataDxfId="104"/>
    <tableColumn id="2" xr3:uid="{A71BCCCF-4751-4B0D-8454-CEA1681C897A}" name="t_3" dataDxfId="103">
      <calculatedColumnFormula array="1">SQRT((4*POWER(ttotal3,2)*st_a[[#This Row],[s(ta)]])/(9*s_t))</calculatedColumnFormula>
    </tableColumn>
    <tableColumn id="3" xr3:uid="{272CA042-A808-4BA8-9BA5-311372436E0E}" name="∆t" dataDxfId="102">
      <calculatedColumnFormula>B3-B2</calculatedColumnFormula>
    </tableColumn>
    <tableColumn id="4" xr3:uid="{9A5CBCE4-8B05-4FCF-A7D0-53E8BD21C175}" name="∆t_pw" dataDxfId="101">
      <calculatedColumnFormula>C3/0.00005</calculatedColumnFormula>
    </tableColumn>
  </tableColumns>
  <tableStyleInfo name="TableStyleMedium16" showFirstColumn="1" showLastColumn="0" showRowStripes="0" showColumnStripes="1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604886E-A953-4DAA-A4F9-70E2580C1668}" name="tb_3" displayName="tb_3" ref="G2:J153" totalsRowShown="0">
  <autoFilter ref="G2:J153" xr:uid="{2604886E-A953-4DAA-A4F9-70E2580C1668}">
    <filterColumn colId="0" hiddenButton="1"/>
    <filterColumn colId="1" hiddenButton="1"/>
    <filterColumn colId="2" hiddenButton="1"/>
    <filterColumn colId="3" hiddenButton="1"/>
  </autoFilter>
  <tableColumns count="4">
    <tableColumn id="1" xr3:uid="{617DD4D7-219F-4E7A-94CA-19CCAF489CD2}" name="s(tb)" dataDxfId="99"/>
    <tableColumn id="2" xr3:uid="{11A8C2BF-8536-43B0-922A-1AD590A3FAE0}" name="t_3" dataDxfId="98">
      <calculatedColumnFormula array="1">((2*ttotal3)/(3*s_t))*(st_b[[#This Row],[s(tb)]]+(s_t/4))</calculatedColumnFormula>
    </tableColumn>
    <tableColumn id="3" xr3:uid="{953C42F6-185E-46E9-87EE-59AD2601BC73}" name="∆t" dataDxfId="97">
      <calculatedColumnFormula>H3-H2</calculatedColumnFormula>
    </tableColumn>
    <tableColumn id="4" xr3:uid="{C5F6E1B8-4DB3-45FA-B0D6-91E23878E20B}" name="∆t_pw" dataDxfId="96">
      <calculatedColumnFormula>I3/0.00005</calculatedColumnFormula>
    </tableColumn>
  </tableColumns>
  <tableStyleInfo name="TableStyleMedium16" showFirstColumn="1" showLastColumn="0" showRowStripes="0" showColumnStripes="1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39A6C36-BB96-4862-ACE4-F1CC1076F552}" name="tc_3" displayName="tc_3" ref="M2:P78" totalsRowShown="0">
  <autoFilter ref="M2:P78" xr:uid="{A39A6C36-BB96-4862-ACE4-F1CC1076F552}">
    <filterColumn colId="0" hiddenButton="1"/>
    <filterColumn colId="1" hiddenButton="1"/>
    <filterColumn colId="2" hiddenButton="1"/>
    <filterColumn colId="3" hiddenButton="1"/>
  </autoFilter>
  <tableColumns count="4">
    <tableColumn id="1" xr3:uid="{7EC7406B-E4FE-4038-ACB6-97E2BBB45FA3}" name="s(tc)" dataDxfId="92"/>
    <tableColumn id="2" xr3:uid="{E9AA5141-0150-436D-88DF-D47CD3ACEDDD}" name="t_3" dataDxfId="95">
      <calculatedColumnFormula>(-INDEX(Overview[b],3)+SQRT(POWER(INDEX(Overview[b],3),2)-(4*INDEX(Overview[a],3)*st_c[[#This Row],[c]])))/(2*INDEX(Overview[a],3))</calculatedColumnFormula>
    </tableColumn>
    <tableColumn id="3" xr3:uid="{7E5C0A23-0210-42AF-8AC3-C8298E560ABE}" name="∆t" dataDxfId="94">
      <calculatedColumnFormula>N3-N2</calculatedColumnFormula>
    </tableColumn>
    <tableColumn id="4" xr3:uid="{F2A13123-FA20-4E85-815F-9EC8CD27C2DE}" name="∆t_pw" dataDxfId="93">
      <calculatedColumnFormula>O3/0.00005</calculatedColumnFormula>
    </tableColumn>
  </tableColumns>
  <tableStyleInfo name="TableStyleMedium16" showFirstColumn="1" showLastColumn="0" showRowStripes="0" showColumnStripes="1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6C4F3E9-4921-4FEF-B95D-EF6E0DC2A447}" name="ta_4" displayName="ta_4" ref="A2:D78" totalsRowShown="0" headerRowDxfId="91">
  <autoFilter ref="A2:D78" xr:uid="{EA4B500B-E088-464C-B799-E102096C204B}">
    <filterColumn colId="0" hiddenButton="1"/>
    <filterColumn colId="1" hiddenButton="1"/>
    <filterColumn colId="2" hiddenButton="1"/>
    <filterColumn colId="3" hiddenButton="1"/>
  </autoFilter>
  <tableColumns count="4">
    <tableColumn id="1" xr3:uid="{A9F8FD76-98E3-42C2-A2C1-D64CEBDCB417}" name="s(ta)" dataDxfId="90"/>
    <tableColumn id="2" xr3:uid="{E849A094-A3CC-47E5-A3A2-84D1031A8330}" name="t_4" dataDxfId="21">
      <calculatedColumnFormula array="1">SQRT((4*POWER(ttotal4,2)*st_a[[#This Row],[s(ta)]])/(9*s_t))</calculatedColumnFormula>
    </tableColumn>
    <tableColumn id="3" xr3:uid="{FF969E42-D6F6-4329-85A9-F053DF8164CA}" name="∆t" dataDxfId="89">
      <calculatedColumnFormula>B3-B2</calculatedColumnFormula>
    </tableColumn>
    <tableColumn id="4" xr3:uid="{320EBE52-CF11-42F1-AD19-88D2A5F6D1DF}" name="∆t_pw" dataDxfId="88">
      <calculatedColumnFormula>C3/0.00005</calculatedColumnFormula>
    </tableColumn>
  </tableColumns>
  <tableStyleInfo name="TableStyleMedium16" showFirstColumn="1" showLastColumn="0" showRowStripes="0" showColumnStripes="1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E379805-8B97-4A46-92AD-8403792AFDC7}" name="tb_4" displayName="tb_4" ref="G2:J153" totalsRowShown="0">
  <autoFilter ref="G2:J153" xr:uid="{2604886E-A953-4DAA-A4F9-70E2580C1668}">
    <filterColumn colId="0" hiddenButton="1"/>
    <filterColumn colId="1" hiddenButton="1"/>
    <filterColumn colId="2" hiddenButton="1"/>
    <filterColumn colId="3" hiddenButton="1"/>
  </autoFilter>
  <tableColumns count="4">
    <tableColumn id="1" xr3:uid="{8535D5F5-1369-4A19-AC38-F4551D20E71D}" name="s(tb)" dataDxfId="87"/>
    <tableColumn id="2" xr3:uid="{531B22E0-08FB-481A-94A5-044F4640B568}" name="t_4" dataDxfId="20">
      <calculatedColumnFormula array="1">((2*ttotal4)/(3*s_t))*(st_b[[#This Row],[s(tb)]]+(s_t/4))</calculatedColumnFormula>
    </tableColumn>
    <tableColumn id="3" xr3:uid="{B12940B3-3F2E-45E1-BF66-3FBC60A81991}" name="∆t" dataDxfId="86">
      <calculatedColumnFormula>H3-H2</calculatedColumnFormula>
    </tableColumn>
    <tableColumn id="4" xr3:uid="{551416FB-0925-4FC2-8BAA-F334609414E3}" name="∆t_pw" dataDxfId="85">
      <calculatedColumnFormula>I3/0.00005</calculatedColumnFormula>
    </tableColumn>
  </tableColumns>
  <tableStyleInfo name="TableStyleMedium16" showFirstColumn="1" showLastColumn="0" showRowStripes="0" showColumnStripes="1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9FDFD25-51CE-4C52-81B9-F943E75AC0EA}" name="tc_4" displayName="tc_4" ref="M2:P78" totalsRowShown="0">
  <autoFilter ref="M2:P78" xr:uid="{A39A6C36-BB96-4862-ACE4-F1CC1076F552}">
    <filterColumn colId="0" hiddenButton="1"/>
    <filterColumn colId="1" hiddenButton="1"/>
    <filterColumn colId="2" hiddenButton="1"/>
    <filterColumn colId="3" hiddenButton="1"/>
  </autoFilter>
  <tableColumns count="4">
    <tableColumn id="1" xr3:uid="{8670D38D-4F52-46F9-95CD-84FB74A3E061}" name="s(tc)" dataDxfId="84"/>
    <tableColumn id="2" xr3:uid="{28C2A269-27BD-4C20-AFB9-D62EB10D5C4F}" name="t_4" dataDxfId="19">
      <calculatedColumnFormula>(-INDEX(Overview[b],4)+SQRT(POWER(INDEX(Overview[b],4),2)-(4*INDEX(Overview[a],4)*st_c[[#This Row],[c]])))/(2*INDEX(Overview[a],4))</calculatedColumnFormula>
    </tableColumn>
    <tableColumn id="3" xr3:uid="{4DD4C005-1039-4E46-A44F-2B4BDC4C3F15}" name="∆t" dataDxfId="83">
      <calculatedColumnFormula>N3-N2</calculatedColumnFormula>
    </tableColumn>
    <tableColumn id="4" xr3:uid="{EE06C689-24E8-46B7-879C-FF698F076D44}" name="∆t_pw" dataDxfId="82">
      <calculatedColumnFormula>O3/0.00005</calculatedColumnFormula>
    </tableColumn>
  </tableColumns>
  <tableStyleInfo name="TableStyleMedium16" showFirstColumn="1" showLastColumn="0" showRowStripes="0" showColumnStripes="1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4ABF579-FBF4-40E9-A76A-3A4DB5DD39F4}" name="ta_5" displayName="ta_5" ref="A2:D78" totalsRowShown="0" headerRowDxfId="81">
  <autoFilter ref="A2:D78" xr:uid="{EA4B500B-E088-464C-B799-E102096C204B}">
    <filterColumn colId="0" hiddenButton="1"/>
    <filterColumn colId="1" hiddenButton="1"/>
    <filterColumn colId="2" hiddenButton="1"/>
    <filterColumn colId="3" hiddenButton="1"/>
  </autoFilter>
  <tableColumns count="4">
    <tableColumn id="1" xr3:uid="{D7DEF543-DA47-4667-B336-CDD19D78DAA5}" name="s(ta)" dataDxfId="80"/>
    <tableColumn id="2" xr3:uid="{B9B9DAB1-45BD-4E6E-A956-AF0A983BB5A2}" name="t_5" dataDxfId="18">
      <calculatedColumnFormula array="1">SQRT((4*POWER(ttotal5,2)*st_a[[#This Row],[s(ta)]])/(9*s_t))</calculatedColumnFormula>
    </tableColumn>
    <tableColumn id="3" xr3:uid="{F3288752-7669-459A-B627-820CE9EACCFB}" name="∆t" dataDxfId="79">
      <calculatedColumnFormula>B3-B2</calculatedColumnFormula>
    </tableColumn>
    <tableColumn id="4" xr3:uid="{B5758103-E719-408B-9805-58DA8BA91D37}" name="∆t_pw" dataDxfId="78">
      <calculatedColumnFormula>C3/0.00005</calculatedColumnFormula>
    </tableColumn>
  </tableColumns>
  <tableStyleInfo name="TableStyleMedium16" showFirstColumn="1" showLastColumn="0" showRowStripes="0" showColumnStripes="1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EEEB2F5-ED7B-42D3-AD07-2B4EA08DC123}" name="tb_5" displayName="tb_5" ref="G2:J153" totalsRowShown="0">
  <autoFilter ref="G2:J153" xr:uid="{2604886E-A953-4DAA-A4F9-70E2580C1668}">
    <filterColumn colId="0" hiddenButton="1"/>
    <filterColumn colId="1" hiddenButton="1"/>
    <filterColumn colId="2" hiddenButton="1"/>
    <filterColumn colId="3" hiddenButton="1"/>
  </autoFilter>
  <tableColumns count="4">
    <tableColumn id="1" xr3:uid="{237CC77C-23F1-48AE-9222-1E5E039C5417}" name="s(tb)" dataDxfId="77"/>
    <tableColumn id="2" xr3:uid="{109AB410-ECDC-46DF-8D3E-F37C03D3F0CD}" name="t_5" dataDxfId="17">
      <calculatedColumnFormula array="1">((2*ttotal5)/(3*s_t))*(st_b[[#This Row],[s(tb)]]+(s_t/4))</calculatedColumnFormula>
    </tableColumn>
    <tableColumn id="3" xr3:uid="{6CEF8279-175F-4CD1-A9CF-295AB8129E96}" name="∆t" dataDxfId="76">
      <calculatedColumnFormula>H3-H2</calculatedColumnFormula>
    </tableColumn>
    <tableColumn id="4" xr3:uid="{D7DFB030-B4FC-417B-A6DE-9E2A062DE56E}" name="∆t_pw" dataDxfId="75">
      <calculatedColumnFormula>I3/0.00005</calculatedColumnFormula>
    </tableColumn>
  </tableColumns>
  <tableStyleInfo name="TableStyleMedium16" showFirstColumn="1" showLastColumn="0" showRowStripes="0" showColumnStripes="1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DC83DE8-3BF6-41D5-B040-7BC133D15D43}" name="tc_5" displayName="tc_5" ref="M2:P78" totalsRowShown="0">
  <autoFilter ref="M2:P78" xr:uid="{A39A6C36-BB96-4862-ACE4-F1CC1076F552}">
    <filterColumn colId="0" hiddenButton="1"/>
    <filterColumn colId="1" hiddenButton="1"/>
    <filterColumn colId="2" hiddenButton="1"/>
    <filterColumn colId="3" hiddenButton="1"/>
  </autoFilter>
  <tableColumns count="4">
    <tableColumn id="1" xr3:uid="{26C2218B-8729-42EA-BF90-FBDFA263C213}" name="s(tc)" dataDxfId="74"/>
    <tableColumn id="2" xr3:uid="{C281CA51-DED7-4A22-935E-68757B9098FF}" name="t_5" dataDxfId="16">
      <calculatedColumnFormula>(-INDEX(Overview[b],5)+SQRT(POWER(INDEX(Overview[b],5),2)-(4*INDEX(Overview[a],5)*st_c[[#This Row],[c]])))/(2*INDEX(Overview[a],5))</calculatedColumnFormula>
    </tableColumn>
    <tableColumn id="3" xr3:uid="{5C9F007F-0D3B-46E9-B23E-E9F969689141}" name="∆t" dataDxfId="73">
      <calculatedColumnFormula>N3-N2</calculatedColumnFormula>
    </tableColumn>
    <tableColumn id="4" xr3:uid="{9F5A271F-698B-4C71-9B75-18BB5C0302A6}" name="∆t_pw" dataDxfId="72">
      <calculatedColumnFormula>O3/0.00005</calculatedColumnFormula>
    </tableColumn>
  </tableColumns>
  <tableStyleInfo name="TableStyleMedium16" showFirstColumn="1" showLastColumn="0" showRowStripes="0" showColumnStripes="1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CE1B0ED-6200-41B0-A688-6B1BFAE0BC71}" name="ta_6" displayName="ta_6" ref="A2:D78" totalsRowShown="0" headerRowDxfId="71">
  <autoFilter ref="A2:D78" xr:uid="{EA4B500B-E088-464C-B799-E102096C204B}">
    <filterColumn colId="0" hiddenButton="1"/>
    <filterColumn colId="1" hiddenButton="1"/>
    <filterColumn colId="2" hiddenButton="1"/>
    <filterColumn colId="3" hiddenButton="1"/>
  </autoFilter>
  <tableColumns count="4">
    <tableColumn id="1" xr3:uid="{6E58B933-4828-4510-9890-26224155B7D0}" name="s(ta)" dataDxfId="70"/>
    <tableColumn id="2" xr3:uid="{7D25959D-9BF5-4340-BC29-4FC83F3046A1}" name="t_6" dataDxfId="15">
      <calculatedColumnFormula array="1">SQRT((4*POWER(ttotal6,2)*st_a[[#This Row],[s(ta)]])/(9*s_t))</calculatedColumnFormula>
    </tableColumn>
    <tableColumn id="3" xr3:uid="{887F1FB4-B034-4173-AC9A-22389CA97116}" name="∆t" dataDxfId="69">
      <calculatedColumnFormula>B3-B2</calculatedColumnFormula>
    </tableColumn>
    <tableColumn id="4" xr3:uid="{B29E8A73-BD68-409E-87EF-F5EBEB1D5FAB}" name="∆t_pw" dataDxfId="68">
      <calculatedColumnFormula>C3/0.00005</calculatedColumnFormula>
    </tableColumn>
  </tableColumns>
  <tableStyleInfo name="TableStyleMedium16" showFirstColumn="1" showLastColumn="0" showRowStripes="0" showColumnStripes="1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BB704E2-13EB-4176-BEDD-6D203AC98877}" name="tb_6" displayName="tb_6" ref="G2:J153" totalsRowShown="0">
  <autoFilter ref="G2:J153" xr:uid="{2604886E-A953-4DAA-A4F9-70E2580C1668}">
    <filterColumn colId="0" hiddenButton="1"/>
    <filterColumn colId="1" hiddenButton="1"/>
    <filterColumn colId="2" hiddenButton="1"/>
    <filterColumn colId="3" hiddenButton="1"/>
  </autoFilter>
  <tableColumns count="4">
    <tableColumn id="1" xr3:uid="{13EA3971-5AAF-4215-BF39-1302FB5DB418}" name="s(tb)" dataDxfId="67"/>
    <tableColumn id="2" xr3:uid="{D05F8735-9633-4CBE-8C43-7FAAADFF3741}" name="t_6" dataDxfId="14">
      <calculatedColumnFormula array="1">((2*ttotal6)/(3*s_t))*(st_b[[#This Row],[s(tb)]]+(s_t/4))</calculatedColumnFormula>
    </tableColumn>
    <tableColumn id="3" xr3:uid="{81957585-AE21-4378-85E9-0258933E2264}" name="∆t" dataDxfId="66">
      <calculatedColumnFormula>H3-H2</calculatedColumnFormula>
    </tableColumn>
    <tableColumn id="4" xr3:uid="{E4FFFB57-0BB5-4CB3-A0A1-CFBEE662806E}" name="∆t_pw" dataDxfId="65">
      <calculatedColumnFormula>I3/0.00005</calculatedColumnFormula>
    </tableColumn>
  </tableColumns>
  <tableStyleInfo name="TableStyleMedium16" showFirstColumn="1" showLastColumn="0" showRowStripes="0" showColumnStripes="1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A5DD9279-312F-4888-A2EE-5DFFDCBB06EE}" name="tc_6" displayName="tc_6" ref="M2:P78" totalsRowShown="0">
  <autoFilter ref="M2:P78" xr:uid="{A39A6C36-BB96-4862-ACE4-F1CC1076F552}">
    <filterColumn colId="0" hiddenButton="1"/>
    <filterColumn colId="1" hiddenButton="1"/>
    <filterColumn colId="2" hiddenButton="1"/>
    <filterColumn colId="3" hiddenButton="1"/>
  </autoFilter>
  <tableColumns count="4">
    <tableColumn id="1" xr3:uid="{6F1E4B52-9472-423B-8B6C-88B94C1BCA8B}" name="s(tc)" dataDxfId="64"/>
    <tableColumn id="2" xr3:uid="{B5F906D5-C228-4EC0-AE73-1650ABC2EDAD}" name="t_6" dataDxfId="13">
      <calculatedColumnFormula>(-INDEX(Overview[b],6)+SQRT(POWER(INDEX(Overview[b],6),2)-(4*INDEX(Overview[a],6)*st_c[[#This Row],[c]])))/(2*INDEX(Overview[a],6))</calculatedColumnFormula>
    </tableColumn>
    <tableColumn id="3" xr3:uid="{6FDC81CF-9D7B-4DFF-AEC2-0C27504816D4}" name="∆t" dataDxfId="63">
      <calculatedColumnFormula>N3-N2</calculatedColumnFormula>
    </tableColumn>
    <tableColumn id="4" xr3:uid="{6BDBE772-4BAF-42C5-92D0-4AC3D1733839}" name="∆t_pw" dataDxfId="62">
      <calculatedColumnFormula>O3/0.00005</calculatedColumnFormula>
    </tableColumn>
  </tableColumns>
  <tableStyleInfo name="TableStyleMedium16" showFirstColumn="1" showLastColumn="0" showRowStripes="0" showColumnStripes="1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9EB19E2-1D29-47A0-8682-2D08C6D531D1}" name="ta_7" displayName="ta_7" ref="A2:D78" totalsRowShown="0" headerRowDxfId="61">
  <autoFilter ref="A2:D78" xr:uid="{EA4B500B-E088-464C-B799-E102096C204B}">
    <filterColumn colId="0" hiddenButton="1"/>
    <filterColumn colId="1" hiddenButton="1"/>
    <filterColumn colId="2" hiddenButton="1"/>
    <filterColumn colId="3" hiddenButton="1"/>
  </autoFilter>
  <tableColumns count="4">
    <tableColumn id="1" xr3:uid="{6D257E01-1DFC-49A9-8C21-CE26581B31F7}" name="s(ta)" dataDxfId="60"/>
    <tableColumn id="2" xr3:uid="{8B30777B-5CEF-4F4E-A792-28B4ABB09664}" name="t_7" dataDxfId="12">
      <calculatedColumnFormula array="1">SQRT((4*POWER(ttotal7,2)*st_a[[#This Row],[s(ta)]])/(9*s_t))</calculatedColumnFormula>
    </tableColumn>
    <tableColumn id="3" xr3:uid="{2DA4D86B-FD74-4FDE-B333-7DBE8CE5E4C8}" name="∆t" dataDxfId="59">
      <calculatedColumnFormula>B3-B2</calculatedColumnFormula>
    </tableColumn>
    <tableColumn id="4" xr3:uid="{CBC5E42C-9B32-4325-8BFF-30DBAF6538FF}" name="∆t_pw" dataDxfId="58">
      <calculatedColumnFormula>C3/0.00005</calculatedColumnFormula>
    </tableColumn>
  </tableColumns>
  <tableStyleInfo name="TableStyleMedium16" showFirstColumn="1" showLastColumn="0" showRowStripes="0" showColumnStripes="1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67D69B3-C195-4AF7-868A-788EE492AFF1}" name="tb_7" displayName="tb_7" ref="G2:J153" totalsRowShown="0">
  <autoFilter ref="G2:J153" xr:uid="{2604886E-A953-4DAA-A4F9-70E2580C1668}">
    <filterColumn colId="0" hiddenButton="1"/>
    <filterColumn colId="1" hiddenButton="1"/>
    <filterColumn colId="2" hiddenButton="1"/>
    <filterColumn colId="3" hiddenButton="1"/>
  </autoFilter>
  <tableColumns count="4">
    <tableColumn id="1" xr3:uid="{26EC2CC8-D2D2-4DF8-9299-09D7BCE09BF2}" name="s(tb)" dataDxfId="57"/>
    <tableColumn id="2" xr3:uid="{4472ED94-C54D-4796-BF5C-0AFB3D158F8A}" name="t_7" dataDxfId="11">
      <calculatedColumnFormula array="1">((2*ttotal7)/(3*s_t))*(st_b[[#This Row],[s(tb)]]+(s_t/4))</calculatedColumnFormula>
    </tableColumn>
    <tableColumn id="3" xr3:uid="{D4941F48-EA44-4FBC-912B-C2787FDCFBC1}" name="∆t" dataDxfId="56">
      <calculatedColumnFormula>H3-H2</calculatedColumnFormula>
    </tableColumn>
    <tableColumn id="4" xr3:uid="{DFB1E6CE-0AF5-462F-9735-C6CF269BB6B7}" name="∆t_pw" dataDxfId="55">
      <calculatedColumnFormula>I3/0.00005</calculatedColumnFormula>
    </tableColumn>
  </tableColumns>
  <tableStyleInfo name="TableStyleMedium16" showFirstColumn="1" showLastColumn="0" showRowStripes="0" showColumnStripes="1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BA1A61A1-823E-4AF4-8BD7-A4DBB14F0D0A}" name="tc_7" displayName="tc_7" ref="M2:P78" totalsRowShown="0">
  <autoFilter ref="M2:P78" xr:uid="{A39A6C36-BB96-4862-ACE4-F1CC1076F552}">
    <filterColumn colId="0" hiddenButton="1"/>
    <filterColumn colId="1" hiddenButton="1"/>
    <filterColumn colId="2" hiddenButton="1"/>
    <filterColumn colId="3" hiddenButton="1"/>
  </autoFilter>
  <tableColumns count="4">
    <tableColumn id="1" xr3:uid="{5CC1BE97-C79B-441D-8569-1856FC05E021}" name="s(tc)" dataDxfId="54"/>
    <tableColumn id="2" xr3:uid="{856952C9-BA12-4C62-BFEA-F9EA057F4C9E}" name="t_7" dataDxfId="10">
      <calculatedColumnFormula>(-INDEX(Overview[b],7)+SQRT(POWER(INDEX(Overview[b],7),2)-(4*INDEX(Overview[a],7)*st_c[[#This Row],[c]])))/(2*INDEX(Overview[a],7))</calculatedColumnFormula>
    </tableColumn>
    <tableColumn id="3" xr3:uid="{791B7CC7-9745-4470-BEEC-8D37AC1C306A}" name="∆t" dataDxfId="53">
      <calculatedColumnFormula>N3-N2</calculatedColumnFormula>
    </tableColumn>
    <tableColumn id="4" xr3:uid="{65BE620B-3353-4ACF-9F9C-0698E44EAE2B}" name="∆t_pw" dataDxfId="52">
      <calculatedColumnFormula>O3/0.00005</calculatedColumnFormula>
    </tableColumn>
  </tableColumns>
  <tableStyleInfo name="TableStyleMedium16" showFirstColumn="1" showLastColumn="0" showRowStripes="0" showColumnStripes="1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C6003531-8D24-41F3-ACFD-8615D57F8504}" name="ta_8" displayName="ta_8" ref="A2:D78" totalsRowShown="0" headerRowDxfId="51">
  <autoFilter ref="A2:D78" xr:uid="{EA4B500B-E088-464C-B799-E102096C204B}">
    <filterColumn colId="0" hiddenButton="1"/>
    <filterColumn colId="1" hiddenButton="1"/>
    <filterColumn colId="2" hiddenButton="1"/>
    <filterColumn colId="3" hiddenButton="1"/>
  </autoFilter>
  <tableColumns count="4">
    <tableColumn id="1" xr3:uid="{36BAD354-6E1D-4790-8147-5FC3861DBD23}" name="s(ta)" dataDxfId="50"/>
    <tableColumn id="2" xr3:uid="{523D7543-8315-41F5-8289-5B6781CF861A}" name="t_8" dataDxfId="9">
      <calculatedColumnFormula array="1">SQRT((4*POWER(ttotal8,2)*st_a[[#This Row],[s(ta)]])/(9*s_t))</calculatedColumnFormula>
    </tableColumn>
    <tableColumn id="3" xr3:uid="{1EF64007-80C8-40D6-A0AA-924AB90BC74D}" name="∆t" dataDxfId="49">
      <calculatedColumnFormula>B3-B2</calculatedColumnFormula>
    </tableColumn>
    <tableColumn id="4" xr3:uid="{072CFC9E-C828-48B4-B9FF-40DAD4DB0A9A}" name="∆t_pw" dataDxfId="48">
      <calculatedColumnFormula>C3/0.00005</calculatedColumnFormula>
    </tableColumn>
  </tableColumns>
  <tableStyleInfo name="TableStyleMedium16" showFirstColumn="1" showLastColumn="0" showRowStripes="0" showColumnStripes="1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214E36B0-29AF-45DC-9ADD-A6C26EBD84A3}" name="tb_8" displayName="tb_8" ref="G2:J153" totalsRowShown="0">
  <autoFilter ref="G2:J153" xr:uid="{2604886E-A953-4DAA-A4F9-70E2580C1668}">
    <filterColumn colId="0" hiddenButton="1"/>
    <filterColumn colId="1" hiddenButton="1"/>
    <filterColumn colId="2" hiddenButton="1"/>
    <filterColumn colId="3" hiddenButton="1"/>
  </autoFilter>
  <tableColumns count="4">
    <tableColumn id="1" xr3:uid="{B723AC6B-F988-4E2D-92E5-D0ACE6CA9F6C}" name="s(tb)" dataDxfId="47"/>
    <tableColumn id="2" xr3:uid="{19AD4B65-F536-4345-96E7-47ACFDCFCAC6}" name="t_8" dataDxfId="8">
      <calculatedColumnFormula array="1">((2*ttotal8)/(3*s_t))*(st_b[[#This Row],[s(tb)]]+(s_t/4))</calculatedColumnFormula>
    </tableColumn>
    <tableColumn id="3" xr3:uid="{82DB65B4-D3F5-4AB5-909A-D596C2E3BB96}" name="∆t" dataDxfId="46">
      <calculatedColumnFormula>H3-H2</calculatedColumnFormula>
    </tableColumn>
    <tableColumn id="4" xr3:uid="{A64B86CD-7B0A-4713-8295-2CEE70EC1BF5}" name="∆t_pw" dataDxfId="45">
      <calculatedColumnFormula>I3/0.00005</calculatedColumnFormula>
    </tableColumn>
  </tableColumns>
  <tableStyleInfo name="TableStyleMedium16" showFirstColumn="1" showLastColumn="0" showRowStripes="0" showColumnStripes="1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5D5402E-518A-44F5-8F0E-B2654A428013}" name="tc_8" displayName="tc_8" ref="M2:P78" totalsRowShown="0">
  <autoFilter ref="M2:P78" xr:uid="{A39A6C36-BB96-4862-ACE4-F1CC1076F552}">
    <filterColumn colId="0" hiddenButton="1"/>
    <filterColumn colId="1" hiddenButton="1"/>
    <filterColumn colId="2" hiddenButton="1"/>
    <filterColumn colId="3" hiddenButton="1"/>
  </autoFilter>
  <tableColumns count="4">
    <tableColumn id="1" xr3:uid="{C5DB82DE-DDF4-40CA-B5E7-087B1EEE8691}" name="s(tc)" dataDxfId="44"/>
    <tableColumn id="2" xr3:uid="{5AD56204-C926-441D-8A01-EA532D76EC1F}" name="t_8" dataDxfId="7">
      <calculatedColumnFormula>(-INDEX(Overview[b],8)+SQRT(POWER(INDEX(Overview[b],8),2)-(4*INDEX(Overview[a],8)*st_c[[#This Row],[c]])))/(2*INDEX(Overview[a],8))</calculatedColumnFormula>
    </tableColumn>
    <tableColumn id="3" xr3:uid="{5260953A-D091-413C-BBA8-C4BFA75B77CA}" name="∆t" dataDxfId="43">
      <calculatedColumnFormula>N3-N2</calculatedColumnFormula>
    </tableColumn>
    <tableColumn id="4" xr3:uid="{F7672F9B-EB46-4FA0-8B6B-13E740E58DA8}" name="∆t_pw" dataDxfId="42">
      <calculatedColumnFormula>O3/0.00005</calculatedColumnFormula>
    </tableColumn>
  </tableColumns>
  <tableStyleInfo name="TableStyleMedium16" showFirstColumn="1" showLastColumn="0" showRowStripes="0" showColumnStripes="1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2AB6C075-405E-4E76-9FAF-D68D0333A924}" name="ta_9" displayName="ta_9" ref="A2:D78" totalsRowShown="0" headerRowDxfId="41">
  <autoFilter ref="A2:D78" xr:uid="{EA4B500B-E088-464C-B799-E102096C204B}">
    <filterColumn colId="0" hiddenButton="1"/>
    <filterColumn colId="1" hiddenButton="1"/>
    <filterColumn colId="2" hiddenButton="1"/>
    <filterColumn colId="3" hiddenButton="1"/>
  </autoFilter>
  <tableColumns count="4">
    <tableColumn id="1" xr3:uid="{F5533B10-A8D0-45D2-84CB-0FDFE5A6001A}" name="s(ta)" dataDxfId="40"/>
    <tableColumn id="2" xr3:uid="{A44950E8-CD41-41E2-BD19-36B159F0DC29}" name="t_9" dataDxfId="6">
      <calculatedColumnFormula array="1">SQRT((4*POWER(ttotal9,2)*st_a[[#This Row],[s(ta)]])/(9*s_t))</calculatedColumnFormula>
    </tableColumn>
    <tableColumn id="3" xr3:uid="{A8311ADB-CAD9-4A53-959B-0E1BF86003F4}" name="∆t" dataDxfId="39">
      <calculatedColumnFormula>B3-B2</calculatedColumnFormula>
    </tableColumn>
    <tableColumn id="4" xr3:uid="{55A7B367-50E7-4D24-AD75-C80F7ECEE3D6}" name="∆t_pw" dataDxfId="38">
      <calculatedColumnFormula>C3/0.00005</calculatedColumnFormula>
    </tableColumn>
  </tableColumns>
  <tableStyleInfo name="TableStyleMedium16" showFirstColumn="1" showLastColumn="0" showRowStripes="0" showColumnStripes="1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B305EDEE-2A3E-43B0-8142-1C47A7B740C0}" name="tb_9" displayName="tb_9" ref="G2:J153" totalsRowShown="0">
  <autoFilter ref="G2:J153" xr:uid="{2604886E-A953-4DAA-A4F9-70E2580C1668}">
    <filterColumn colId="0" hiddenButton="1"/>
    <filterColumn colId="1" hiddenButton="1"/>
    <filterColumn colId="2" hiddenButton="1"/>
    <filterColumn colId="3" hiddenButton="1"/>
  </autoFilter>
  <tableColumns count="4">
    <tableColumn id="1" xr3:uid="{3AE0A9A1-6DE9-47EA-999C-048E5D587E7D}" name="s(tb)" dataDxfId="37"/>
    <tableColumn id="2" xr3:uid="{AB25ACD3-3527-45B3-86CB-AEF7CAB32C80}" name="t_9" dataDxfId="5">
      <calculatedColumnFormula array="1">((2*ttotal9)/(3*s_t))*(st_b[[#This Row],[s(tb)]]+(s_t/4))</calculatedColumnFormula>
    </tableColumn>
    <tableColumn id="3" xr3:uid="{90044279-895A-4938-869A-99D9E1A530DF}" name="∆t" dataDxfId="36">
      <calculatedColumnFormula>H3-H2</calculatedColumnFormula>
    </tableColumn>
    <tableColumn id="4" xr3:uid="{AB883FC7-48AA-40A3-AC9F-084C2EB28A75}" name="∆t_pw" dataDxfId="35">
      <calculatedColumnFormula>I3/0.00005</calculatedColumnFormula>
    </tableColumn>
  </tableColumns>
  <tableStyleInfo name="TableStyleMedium16" showFirstColumn="1" showLastColumn="0" showRowStripes="0" showColumnStripes="1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B482D68C-CC76-4B31-9866-B7CB15C210EC}" name="tc_9" displayName="tc_9" ref="M2:P78" totalsRowShown="0">
  <autoFilter ref="M2:P78" xr:uid="{A39A6C36-BB96-4862-ACE4-F1CC1076F552}">
    <filterColumn colId="0" hiddenButton="1"/>
    <filterColumn colId="1" hiddenButton="1"/>
    <filterColumn colId="2" hiddenButton="1"/>
    <filterColumn colId="3" hiddenButton="1"/>
  </autoFilter>
  <tableColumns count="4">
    <tableColumn id="1" xr3:uid="{DC49B47F-F496-41C3-9F29-10F41F180835}" name="s(tc)" dataDxfId="34"/>
    <tableColumn id="2" xr3:uid="{2B56284B-1788-4970-B5DE-F1EC44C1F26D}" name="t_9" dataDxfId="4">
      <calculatedColumnFormula>(-INDEX(Overview[b],9)+SQRT(POWER(INDEX(Overview[b],9),2)-(4*INDEX(Overview[a],9)*st_c[[#This Row],[c]])))/(2*INDEX(Overview[a],9))</calculatedColumnFormula>
    </tableColumn>
    <tableColumn id="3" xr3:uid="{713DEE1B-AA31-46D8-AF6E-D5F1DDFD1D6E}" name="∆t" dataDxfId="33">
      <calculatedColumnFormula>N3-N2</calculatedColumnFormula>
    </tableColumn>
    <tableColumn id="4" xr3:uid="{89C880F6-BE33-446B-A80B-20EC2AF7AF03}" name="∆t_pw" dataDxfId="32">
      <calculatedColumnFormula>O3/0.00005</calculatedColumnFormula>
    </tableColumn>
  </tableColumns>
  <tableStyleInfo name="TableStyleMedium16" showFirstColumn="1" showLastColumn="0" showRowStripes="0" showColumnStripes="1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EE18B7C0-1955-46D2-9C95-636F5FD22852}" name="ta_10" displayName="ta_10" ref="A2:D78" totalsRowShown="0" headerRowDxfId="31">
  <autoFilter ref="A2:D78" xr:uid="{EA4B500B-E088-464C-B799-E102096C204B}">
    <filterColumn colId="0" hiddenButton="1"/>
    <filterColumn colId="1" hiddenButton="1"/>
    <filterColumn colId="2" hiddenButton="1"/>
    <filterColumn colId="3" hiddenButton="1"/>
  </autoFilter>
  <tableColumns count="4">
    <tableColumn id="1" xr3:uid="{AAD7DDB0-4E73-4010-88EE-088D2C5EF521}" name="s(ta)" dataDxfId="30"/>
    <tableColumn id="2" xr3:uid="{632B8B1C-8EC4-4AB4-8E6F-B081045D588E}" name="t_10" dataDxfId="3">
      <calculatedColumnFormula array="1">SQRT((4*POWER(ttotal10,2)*st_a[[#This Row],[s(ta)]])/(9*s_t))</calculatedColumnFormula>
    </tableColumn>
    <tableColumn id="3" xr3:uid="{C82A9E5F-7EBF-4F43-959E-F2072C0A2C4C}" name="∆t" dataDxfId="29">
      <calculatedColumnFormula>B3-B2</calculatedColumnFormula>
    </tableColumn>
    <tableColumn id="4" xr3:uid="{7D9A2A92-DF37-465B-8E2C-87E5321EA30D}" name="∆t_pw" dataDxfId="28">
      <calculatedColumnFormula>C3/0.00005</calculatedColumnFormula>
    </tableColumn>
  </tableColumns>
  <tableStyleInfo name="TableStyleMedium16" showFirstColumn="1" showLastColumn="0" showRowStripes="0" showColumnStripes="1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A2BB7CD-7D15-47BF-BA91-141B896E9B9A}" name="tb_10" displayName="tb_10" ref="G2:J153" totalsRowShown="0">
  <autoFilter ref="G2:J153" xr:uid="{2604886E-A953-4DAA-A4F9-70E2580C1668}">
    <filterColumn colId="0" hiddenButton="1"/>
    <filterColumn colId="1" hiddenButton="1"/>
    <filterColumn colId="2" hiddenButton="1"/>
    <filterColumn colId="3" hiddenButton="1"/>
  </autoFilter>
  <tableColumns count="4">
    <tableColumn id="1" xr3:uid="{2ED29270-6606-424F-8B19-4AA0285FB56B}" name="s(tb)" dataDxfId="27"/>
    <tableColumn id="2" xr3:uid="{E252C382-7F28-47C3-8AAB-A01D04AD259A}" name="t_10" dataDxfId="2">
      <calculatedColumnFormula array="1">((2*ttotal10)/(3*s_t))*(st_b[[#This Row],[s(tb)]]+(s_t/4))</calculatedColumnFormula>
    </tableColumn>
    <tableColumn id="3" xr3:uid="{92D49763-6201-486A-8EAD-E97C8518B85E}" name="∆t" dataDxfId="26">
      <calculatedColumnFormula>H3-H2</calculatedColumnFormula>
    </tableColumn>
    <tableColumn id="4" xr3:uid="{B430B8B5-FE41-4A51-AAFB-FF986A90A22B}" name="∆t_pw" dataDxfId="25">
      <calculatedColumnFormula>I3/0.00005</calculatedColumnFormula>
    </tableColumn>
  </tableColumns>
  <tableStyleInfo name="TableStyleMedium16" showFirstColumn="1" showLastColumn="0" showRowStripes="0" showColumnStripes="1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17599A2A-A7DF-46F3-9107-4127A676CF05}" name="tc_10" displayName="tc_10" ref="M2:P78" totalsRowShown="0">
  <autoFilter ref="M2:P78" xr:uid="{A39A6C36-BB96-4862-ACE4-F1CC1076F552}">
    <filterColumn colId="0" hiddenButton="1"/>
    <filterColumn colId="1" hiddenButton="1"/>
    <filterColumn colId="2" hiddenButton="1"/>
    <filterColumn colId="3" hiddenButton="1"/>
  </autoFilter>
  <tableColumns count="4">
    <tableColumn id="1" xr3:uid="{60886EDE-B2AE-471F-9646-7B12AEA2EAE6}" name="s(tc)" dataDxfId="24"/>
    <tableColumn id="2" xr3:uid="{4CC6995D-3B9C-40A3-8008-81A2CC478C46}" name="t_10" dataDxfId="1">
      <calculatedColumnFormula>(-INDEX(Overview[b],10)+SQRT(POWER(INDEX(Overview[b],10),2)-(4*INDEX(Overview[a],10)*st_c[[#This Row],[c]])))/(2*INDEX(Overview[a],10))</calculatedColumnFormula>
    </tableColumn>
    <tableColumn id="3" xr3:uid="{468FE468-1CE7-4CFF-A1EC-41716A9485FB}" name="∆t" dataDxfId="23">
      <calculatedColumnFormula>N3-N2</calculatedColumnFormula>
    </tableColumn>
    <tableColumn id="4" xr3:uid="{C263C074-5814-46DF-8B81-C8F7981E029E}" name="∆t_pw" dataDxfId="22">
      <calculatedColumnFormula>O3/0.00005</calculatedColumnFormula>
    </tableColumn>
  </tableColumns>
  <tableStyleInfo name="TableStyleMedium16" showFirstColumn="1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table" Target="../tables/table2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" Target="../tables/table24.xml"/><Relationship Id="rId1" Type="http://schemas.openxmlformats.org/officeDocument/2006/relationships/table" Target="../tables/table2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table" Target="../tables/table27.xml"/><Relationship Id="rId1" Type="http://schemas.openxmlformats.org/officeDocument/2006/relationships/table" Target="../tables/table2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2" Type="http://schemas.openxmlformats.org/officeDocument/2006/relationships/table" Target="../tables/table30.xml"/><Relationship Id="rId1" Type="http://schemas.openxmlformats.org/officeDocument/2006/relationships/table" Target="../tables/table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D1144-84D1-45CB-8552-718985CB2B4F}">
  <sheetPr codeName="Sheet1"/>
  <dimension ref="A1:D21"/>
  <sheetViews>
    <sheetView tabSelected="1" workbookViewId="0">
      <selection activeCell="H26" sqref="H26"/>
    </sheetView>
  </sheetViews>
  <sheetFormatPr defaultRowHeight="15" x14ac:dyDescent="0.25"/>
  <cols>
    <col min="1" max="1" width="17.42578125" bestFit="1" customWidth="1"/>
    <col min="2" max="2" width="10.7109375" style="2" customWidth="1"/>
    <col min="3" max="3" width="17" bestFit="1" customWidth="1"/>
    <col min="4" max="4" width="14.5703125" style="3" customWidth="1"/>
  </cols>
  <sheetData>
    <row r="1" spans="1:4" x14ac:dyDescent="0.25">
      <c r="A1" t="s">
        <v>3</v>
      </c>
      <c r="B1" s="2" t="s">
        <v>0</v>
      </c>
      <c r="C1" t="s">
        <v>1</v>
      </c>
      <c r="D1" s="3" t="s">
        <v>2</v>
      </c>
    </row>
    <row r="2" spans="1:4" x14ac:dyDescent="0.25">
      <c r="A2">
        <v>1</v>
      </c>
      <c r="B2" s="2">
        <v>5.0000000000000002E-5</v>
      </c>
      <c r="C2" t="s">
        <v>57</v>
      </c>
      <c r="D2" s="3" t="s">
        <v>57</v>
      </c>
    </row>
    <row r="3" spans="1:4" x14ac:dyDescent="0.25">
      <c r="A3">
        <v>2</v>
      </c>
      <c r="B3" s="2">
        <f>PRODUCT(A3,0.00005)</f>
        <v>1E-4</v>
      </c>
      <c r="C3">
        <v>0</v>
      </c>
      <c r="D3" s="3">
        <f>POWER(B3,-1)</f>
        <v>10000</v>
      </c>
    </row>
    <row r="4" spans="1:4" x14ac:dyDescent="0.25">
      <c r="A4">
        <v>3</v>
      </c>
      <c r="B4" s="2">
        <f t="shared" ref="B4:B21" si="0">PRODUCT(A4,0.00005)</f>
        <v>1.5000000000000001E-4</v>
      </c>
      <c r="C4">
        <v>1</v>
      </c>
      <c r="D4" s="3">
        <f>POWER(B4,-1)</f>
        <v>6666.6666666666661</v>
      </c>
    </row>
    <row r="5" spans="1:4" x14ac:dyDescent="0.25">
      <c r="A5">
        <v>4</v>
      </c>
      <c r="B5" s="2">
        <f t="shared" si="0"/>
        <v>2.0000000000000001E-4</v>
      </c>
      <c r="C5">
        <v>2</v>
      </c>
      <c r="D5" s="3">
        <f t="shared" ref="D5:D21" si="1">POWER(B5,-1)</f>
        <v>5000</v>
      </c>
    </row>
    <row r="6" spans="1:4" x14ac:dyDescent="0.25">
      <c r="A6">
        <v>5</v>
      </c>
      <c r="B6" s="2">
        <f t="shared" si="0"/>
        <v>2.5000000000000001E-4</v>
      </c>
      <c r="C6">
        <v>3</v>
      </c>
      <c r="D6" s="3">
        <f t="shared" si="1"/>
        <v>4000</v>
      </c>
    </row>
    <row r="7" spans="1:4" x14ac:dyDescent="0.25">
      <c r="A7">
        <v>6</v>
      </c>
      <c r="B7" s="2">
        <f t="shared" si="0"/>
        <v>3.0000000000000003E-4</v>
      </c>
      <c r="C7">
        <v>4</v>
      </c>
      <c r="D7" s="3">
        <f t="shared" si="1"/>
        <v>3333.333333333333</v>
      </c>
    </row>
    <row r="8" spans="1:4" x14ac:dyDescent="0.25">
      <c r="A8">
        <v>7</v>
      </c>
      <c r="B8" s="2">
        <f t="shared" si="0"/>
        <v>3.5E-4</v>
      </c>
      <c r="C8">
        <v>5</v>
      </c>
      <c r="D8" s="3">
        <f t="shared" si="1"/>
        <v>2857.1428571428573</v>
      </c>
    </row>
    <row r="9" spans="1:4" x14ac:dyDescent="0.25">
      <c r="A9">
        <v>8</v>
      </c>
      <c r="B9" s="2">
        <f t="shared" si="0"/>
        <v>4.0000000000000002E-4</v>
      </c>
      <c r="C9">
        <v>6</v>
      </c>
      <c r="D9" s="3">
        <f t="shared" si="1"/>
        <v>2500</v>
      </c>
    </row>
    <row r="10" spans="1:4" x14ac:dyDescent="0.25">
      <c r="A10">
        <v>9</v>
      </c>
      <c r="B10" s="2">
        <f t="shared" si="0"/>
        <v>4.5000000000000004E-4</v>
      </c>
      <c r="C10">
        <v>7</v>
      </c>
      <c r="D10" s="3">
        <f t="shared" si="1"/>
        <v>2222.2222222222222</v>
      </c>
    </row>
    <row r="11" spans="1:4" x14ac:dyDescent="0.25">
      <c r="A11">
        <v>10</v>
      </c>
      <c r="B11" s="2">
        <f t="shared" si="0"/>
        <v>5.0000000000000001E-4</v>
      </c>
      <c r="C11">
        <v>8</v>
      </c>
      <c r="D11" s="3">
        <f t="shared" si="1"/>
        <v>2000</v>
      </c>
    </row>
    <row r="12" spans="1:4" x14ac:dyDescent="0.25">
      <c r="A12">
        <v>11</v>
      </c>
      <c r="B12" s="2">
        <f t="shared" si="0"/>
        <v>5.5000000000000003E-4</v>
      </c>
      <c r="C12">
        <v>9</v>
      </c>
      <c r="D12" s="3">
        <f t="shared" si="1"/>
        <v>1818.181818181818</v>
      </c>
    </row>
    <row r="13" spans="1:4" x14ac:dyDescent="0.25">
      <c r="A13">
        <v>12</v>
      </c>
      <c r="B13" s="2">
        <f t="shared" si="0"/>
        <v>6.0000000000000006E-4</v>
      </c>
      <c r="C13">
        <v>10</v>
      </c>
      <c r="D13" s="3">
        <f t="shared" si="1"/>
        <v>1666.6666666666665</v>
      </c>
    </row>
    <row r="14" spans="1:4" x14ac:dyDescent="0.25">
      <c r="A14">
        <v>13</v>
      </c>
      <c r="B14" s="2">
        <f t="shared" si="0"/>
        <v>6.5000000000000008E-4</v>
      </c>
      <c r="C14">
        <v>11</v>
      </c>
      <c r="D14" s="3">
        <f t="shared" si="1"/>
        <v>1538.4615384615383</v>
      </c>
    </row>
    <row r="15" spans="1:4" x14ac:dyDescent="0.25">
      <c r="A15">
        <v>14</v>
      </c>
      <c r="B15" s="2">
        <f t="shared" si="0"/>
        <v>6.9999999999999999E-4</v>
      </c>
      <c r="C15">
        <v>12</v>
      </c>
      <c r="D15" s="3">
        <f t="shared" si="1"/>
        <v>1428.5714285714287</v>
      </c>
    </row>
    <row r="16" spans="1:4" x14ac:dyDescent="0.25">
      <c r="A16">
        <v>15</v>
      </c>
      <c r="B16" s="2">
        <f t="shared" si="0"/>
        <v>7.5000000000000002E-4</v>
      </c>
      <c r="C16">
        <v>13</v>
      </c>
      <c r="D16" s="3">
        <f t="shared" si="1"/>
        <v>1333.3333333333333</v>
      </c>
    </row>
    <row r="17" spans="1:4" x14ac:dyDescent="0.25">
      <c r="A17">
        <v>16</v>
      </c>
      <c r="B17" s="2">
        <f t="shared" si="0"/>
        <v>8.0000000000000004E-4</v>
      </c>
      <c r="C17">
        <v>14</v>
      </c>
      <c r="D17" s="3">
        <f t="shared" si="1"/>
        <v>1250</v>
      </c>
    </row>
    <row r="18" spans="1:4" x14ac:dyDescent="0.25">
      <c r="A18">
        <v>17</v>
      </c>
      <c r="B18" s="2">
        <f t="shared" si="0"/>
        <v>8.5000000000000006E-4</v>
      </c>
      <c r="C18">
        <v>15</v>
      </c>
      <c r="D18" s="3">
        <f t="shared" si="1"/>
        <v>1176.4705882352941</v>
      </c>
    </row>
    <row r="19" spans="1:4" x14ac:dyDescent="0.25">
      <c r="A19">
        <v>18</v>
      </c>
      <c r="B19" s="2">
        <f t="shared" si="0"/>
        <v>9.0000000000000008E-4</v>
      </c>
      <c r="C19">
        <v>16</v>
      </c>
      <c r="D19" s="3">
        <f t="shared" si="1"/>
        <v>1111.1111111111111</v>
      </c>
    </row>
    <row r="20" spans="1:4" x14ac:dyDescent="0.25">
      <c r="A20">
        <v>19</v>
      </c>
      <c r="B20" s="2">
        <f t="shared" si="0"/>
        <v>9.5E-4</v>
      </c>
      <c r="C20">
        <v>17</v>
      </c>
      <c r="D20" s="3">
        <f t="shared" si="1"/>
        <v>1052.6315789473683</v>
      </c>
    </row>
    <row r="21" spans="1:4" x14ac:dyDescent="0.25">
      <c r="A21">
        <v>20</v>
      </c>
      <c r="B21" s="2">
        <f t="shared" si="0"/>
        <v>1E-3</v>
      </c>
      <c r="C21">
        <v>18</v>
      </c>
      <c r="D21" s="3">
        <f t="shared" si="1"/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BB5E9-8FB7-45F6-ABE1-EDC3636E8964}">
  <sheetPr codeName="Sheet2"/>
  <dimension ref="A1:L20"/>
  <sheetViews>
    <sheetView workbookViewId="0">
      <selection activeCell="J24" sqref="J24"/>
    </sheetView>
  </sheetViews>
  <sheetFormatPr defaultRowHeight="15" x14ac:dyDescent="0.25"/>
  <cols>
    <col min="1" max="1" width="12.140625" customWidth="1"/>
    <col min="2" max="2" width="12.85546875" style="1" bestFit="1" customWidth="1"/>
    <col min="3" max="3" width="10.85546875" style="1" customWidth="1"/>
    <col min="4" max="4" width="11.140625" style="7" bestFit="1" customWidth="1"/>
    <col min="5" max="5" width="11.140625" style="7" customWidth="1"/>
    <col min="6" max="6" width="20.28515625" style="5" bestFit="1" customWidth="1"/>
    <col min="7" max="7" width="15.7109375" bestFit="1" customWidth="1"/>
    <col min="8" max="8" width="20.28515625" bestFit="1" customWidth="1"/>
    <col min="9" max="9" width="16.5703125" bestFit="1" customWidth="1"/>
  </cols>
  <sheetData>
    <row r="1" spans="1:12" ht="18" x14ac:dyDescent="0.35">
      <c r="A1" t="s">
        <v>4</v>
      </c>
      <c r="B1" s="1" t="s">
        <v>7</v>
      </c>
      <c r="C1" s="1" t="s">
        <v>0</v>
      </c>
      <c r="D1" s="6" t="s">
        <v>10</v>
      </c>
      <c r="E1" s="6"/>
      <c r="F1" s="5" t="s">
        <v>11</v>
      </c>
      <c r="G1" s="4" t="s">
        <v>12</v>
      </c>
      <c r="H1" s="1" t="s">
        <v>13</v>
      </c>
      <c r="I1" s="1"/>
    </row>
    <row r="2" spans="1:12" x14ac:dyDescent="0.25">
      <c r="A2">
        <v>1</v>
      </c>
      <c r="B2" s="1">
        <f>(1.5*300/POWER(A2,-1))</f>
        <v>450</v>
      </c>
      <c r="C2" s="1">
        <f>POWER(B2,-1)</f>
        <v>2.2222222222222222E-3</v>
      </c>
      <c r="D2" s="7">
        <f>(C2/0.00005)</f>
        <v>44.444444444444443</v>
      </c>
      <c r="F2" s="5">
        <f t="shared" ref="F2:F11" si="0">ROUND(D2,0)</f>
        <v>44</v>
      </c>
      <c r="G2" s="1">
        <f>F2*0.00005</f>
        <v>2.2000000000000001E-3</v>
      </c>
      <c r="H2" s="1">
        <f>POWER(G2,-1)</f>
        <v>454.5454545454545</v>
      </c>
      <c r="I2" s="1"/>
    </row>
    <row r="3" spans="1:12" x14ac:dyDescent="0.25">
      <c r="A3">
        <v>2</v>
      </c>
      <c r="B3" s="1">
        <f t="shared" ref="B3:B11" si="1">(1.5*300/POWER(A3,-1))</f>
        <v>900</v>
      </c>
      <c r="C3" s="1">
        <f t="shared" ref="C3:C11" si="2">POWER(B3,-1)</f>
        <v>1.1111111111111111E-3</v>
      </c>
      <c r="D3" s="7">
        <f t="shared" ref="D3:D11" si="3">(C3/0.00005)</f>
        <v>22.222222222222221</v>
      </c>
      <c r="F3" s="5">
        <f t="shared" si="0"/>
        <v>22</v>
      </c>
      <c r="G3" s="1">
        <f t="shared" ref="G3:G11" si="4">F3*0.00005</f>
        <v>1.1000000000000001E-3</v>
      </c>
      <c r="H3" s="1">
        <f t="shared" ref="H3:H11" si="5">POWER(G3,-1)</f>
        <v>909.09090909090901</v>
      </c>
      <c r="I3" s="1"/>
    </row>
    <row r="4" spans="1:12" x14ac:dyDescent="0.25">
      <c r="A4">
        <v>3</v>
      </c>
      <c r="B4" s="1">
        <f t="shared" si="1"/>
        <v>1350</v>
      </c>
      <c r="C4" s="1">
        <f t="shared" si="2"/>
        <v>7.407407407407407E-4</v>
      </c>
      <c r="D4" s="7">
        <f t="shared" si="3"/>
        <v>14.814814814814813</v>
      </c>
      <c r="F4" s="5">
        <f t="shared" si="0"/>
        <v>15</v>
      </c>
      <c r="G4" s="1">
        <f t="shared" si="4"/>
        <v>7.5000000000000002E-4</v>
      </c>
      <c r="H4" s="1">
        <f t="shared" si="5"/>
        <v>1333.3333333333333</v>
      </c>
      <c r="I4" s="1"/>
    </row>
    <row r="5" spans="1:12" x14ac:dyDescent="0.25">
      <c r="A5">
        <v>4</v>
      </c>
      <c r="B5" s="1">
        <f t="shared" si="1"/>
        <v>1800</v>
      </c>
      <c r="C5" s="1">
        <f t="shared" si="2"/>
        <v>5.5555555555555556E-4</v>
      </c>
      <c r="D5" s="7">
        <f t="shared" si="3"/>
        <v>11.111111111111111</v>
      </c>
      <c r="F5" s="5">
        <f t="shared" si="0"/>
        <v>11</v>
      </c>
      <c r="G5" s="1">
        <f t="shared" si="4"/>
        <v>5.5000000000000003E-4</v>
      </c>
      <c r="H5" s="1">
        <f t="shared" si="5"/>
        <v>1818.181818181818</v>
      </c>
      <c r="I5" s="1"/>
    </row>
    <row r="6" spans="1:12" x14ac:dyDescent="0.25">
      <c r="A6">
        <v>5</v>
      </c>
      <c r="B6" s="1">
        <f t="shared" si="1"/>
        <v>2250</v>
      </c>
      <c r="C6" s="1">
        <f t="shared" si="2"/>
        <v>4.4444444444444447E-4</v>
      </c>
      <c r="D6" s="7">
        <f t="shared" si="3"/>
        <v>8.8888888888888893</v>
      </c>
      <c r="F6" s="5">
        <f t="shared" si="0"/>
        <v>9</v>
      </c>
      <c r="G6" s="1">
        <f t="shared" si="4"/>
        <v>4.5000000000000004E-4</v>
      </c>
      <c r="H6" s="1">
        <f t="shared" si="5"/>
        <v>2222.2222222222222</v>
      </c>
      <c r="I6" s="1"/>
    </row>
    <row r="7" spans="1:12" x14ac:dyDescent="0.25">
      <c r="A7">
        <v>6</v>
      </c>
      <c r="B7" s="1">
        <f t="shared" si="1"/>
        <v>2700</v>
      </c>
      <c r="C7" s="1">
        <f t="shared" si="2"/>
        <v>3.7037037037037035E-4</v>
      </c>
      <c r="D7" s="7">
        <f t="shared" si="3"/>
        <v>7.4074074074074066</v>
      </c>
      <c r="F7" s="5">
        <f t="shared" si="0"/>
        <v>7</v>
      </c>
      <c r="G7" s="1">
        <f t="shared" si="4"/>
        <v>3.5E-4</v>
      </c>
      <c r="H7" s="1">
        <f t="shared" si="5"/>
        <v>2857.1428571428573</v>
      </c>
      <c r="I7" s="1"/>
    </row>
    <row r="8" spans="1:12" x14ac:dyDescent="0.25">
      <c r="A8">
        <v>7</v>
      </c>
      <c r="B8" s="1">
        <f t="shared" si="1"/>
        <v>3150</v>
      </c>
      <c r="C8" s="1">
        <f t="shared" si="2"/>
        <v>3.1746031746031746E-4</v>
      </c>
      <c r="D8" s="7">
        <f t="shared" si="3"/>
        <v>6.3492063492063489</v>
      </c>
      <c r="F8" s="5">
        <f t="shared" si="0"/>
        <v>6</v>
      </c>
      <c r="G8" s="1">
        <f t="shared" si="4"/>
        <v>3.0000000000000003E-4</v>
      </c>
      <c r="H8" s="1">
        <f t="shared" si="5"/>
        <v>3333.333333333333</v>
      </c>
      <c r="I8" s="1"/>
      <c r="L8" s="1"/>
    </row>
    <row r="9" spans="1:12" x14ac:dyDescent="0.25">
      <c r="A9">
        <v>8</v>
      </c>
      <c r="B9" s="1">
        <f t="shared" si="1"/>
        <v>3600</v>
      </c>
      <c r="C9" s="1">
        <f t="shared" si="2"/>
        <v>2.7777777777777778E-4</v>
      </c>
      <c r="D9" s="7">
        <f t="shared" si="3"/>
        <v>5.5555555555555554</v>
      </c>
      <c r="F9" s="5">
        <f t="shared" si="0"/>
        <v>6</v>
      </c>
      <c r="G9" s="1">
        <f t="shared" si="4"/>
        <v>3.0000000000000003E-4</v>
      </c>
      <c r="H9" s="1">
        <f t="shared" si="5"/>
        <v>3333.333333333333</v>
      </c>
      <c r="I9" s="1"/>
    </row>
    <row r="10" spans="1:12" x14ac:dyDescent="0.25">
      <c r="A10">
        <v>9</v>
      </c>
      <c r="B10" s="1">
        <f t="shared" si="1"/>
        <v>4050</v>
      </c>
      <c r="C10" s="1">
        <f t="shared" si="2"/>
        <v>2.4691358024691359E-4</v>
      </c>
      <c r="D10" s="7">
        <f t="shared" si="3"/>
        <v>4.9382716049382713</v>
      </c>
      <c r="F10" s="5">
        <f t="shared" si="0"/>
        <v>5</v>
      </c>
      <c r="G10" s="1">
        <f t="shared" si="4"/>
        <v>2.5000000000000001E-4</v>
      </c>
      <c r="H10" s="1">
        <f t="shared" si="5"/>
        <v>4000</v>
      </c>
      <c r="I10" s="1"/>
    </row>
    <row r="11" spans="1:12" x14ac:dyDescent="0.25">
      <c r="A11">
        <v>10</v>
      </c>
      <c r="B11" s="1">
        <f t="shared" si="1"/>
        <v>4500</v>
      </c>
      <c r="C11" s="1">
        <f t="shared" si="2"/>
        <v>2.2222222222222223E-4</v>
      </c>
      <c r="D11" s="7">
        <f t="shared" si="3"/>
        <v>4.4444444444444446</v>
      </c>
      <c r="F11" s="5">
        <f t="shared" si="0"/>
        <v>4</v>
      </c>
      <c r="G11" s="1">
        <f t="shared" si="4"/>
        <v>2.0000000000000001E-4</v>
      </c>
      <c r="H11" s="1">
        <f t="shared" si="5"/>
        <v>5000</v>
      </c>
      <c r="I11" s="1"/>
    </row>
    <row r="20" spans="7:8" x14ac:dyDescent="0.25">
      <c r="G20" s="1"/>
      <c r="H20" s="1"/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3F6D-FDE6-4301-A559-D11D304F6825}">
  <sheetPr codeName="Sheet3"/>
  <dimension ref="A1:H14"/>
  <sheetViews>
    <sheetView topLeftCell="A12" workbookViewId="0">
      <selection activeCell="E46" sqref="E46"/>
    </sheetView>
  </sheetViews>
  <sheetFormatPr defaultRowHeight="15" x14ac:dyDescent="0.25"/>
  <cols>
    <col min="1" max="1" width="9.5703125" bestFit="1" customWidth="1"/>
    <col min="2" max="2" width="12" style="1" bestFit="1" customWidth="1"/>
    <col min="3" max="3" width="12.85546875" style="1" customWidth="1"/>
    <col min="4" max="4" width="12.85546875" style="1" bestFit="1" customWidth="1"/>
    <col min="5" max="5" width="13.5703125" style="1" bestFit="1" customWidth="1"/>
    <col min="6" max="6" width="16.5703125" style="1" bestFit="1" customWidth="1"/>
  </cols>
  <sheetData>
    <row r="1" spans="1:8" ht="18" x14ac:dyDescent="0.35">
      <c r="A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8" x14ac:dyDescent="0.25">
      <c r="A2">
        <v>1</v>
      </c>
      <c r="B2" s="1">
        <f>POWER(A2,-1)</f>
        <v>1</v>
      </c>
      <c r="C2" s="1">
        <f>(1.5*0.003/B2)</f>
        <v>4.5000000000000005E-3</v>
      </c>
      <c r="D2" s="1">
        <f>(1.5 * 300 /B2)</f>
        <v>450</v>
      </c>
      <c r="E2" s="1">
        <f>(4.5 * 0.003/POWER(B2,2))</f>
        <v>1.35E-2</v>
      </c>
      <c r="F2" s="1">
        <f>(4.5*300/POWER(B2,2))</f>
        <v>1350</v>
      </c>
    </row>
    <row r="3" spans="1:8" x14ac:dyDescent="0.25">
      <c r="A3">
        <v>2</v>
      </c>
      <c r="B3" s="1">
        <f t="shared" ref="B3:B11" si="0">POWER(A3,-1)</f>
        <v>0.5</v>
      </c>
      <c r="C3" s="1">
        <f t="shared" ref="C3:C11" si="1">(1.5*0.003/B3)</f>
        <v>9.0000000000000011E-3</v>
      </c>
      <c r="D3" s="1">
        <f t="shared" ref="D3:D11" si="2">(1.5 * 300 /B3)</f>
        <v>900</v>
      </c>
      <c r="E3" s="1">
        <f t="shared" ref="E3:E11" si="3">(4.5 * 0.003/POWER(B3,2))</f>
        <v>5.3999999999999999E-2</v>
      </c>
      <c r="F3" s="1">
        <f t="shared" ref="F3:F11" si="4">(4.5*300/POWER(B3,2))</f>
        <v>5400</v>
      </c>
    </row>
    <row r="4" spans="1:8" x14ac:dyDescent="0.25">
      <c r="A4">
        <v>3</v>
      </c>
      <c r="B4" s="1">
        <f t="shared" si="0"/>
        <v>0.33333333333333331</v>
      </c>
      <c r="C4" s="1">
        <f t="shared" si="1"/>
        <v>1.3500000000000002E-2</v>
      </c>
      <c r="D4" s="1">
        <f t="shared" si="2"/>
        <v>1350</v>
      </c>
      <c r="E4" s="1">
        <f t="shared" si="3"/>
        <v>0.12150000000000001</v>
      </c>
      <c r="F4" s="1">
        <f t="shared" si="4"/>
        <v>12150</v>
      </c>
    </row>
    <row r="5" spans="1:8" x14ac:dyDescent="0.25">
      <c r="A5">
        <v>4</v>
      </c>
      <c r="B5" s="1">
        <f t="shared" si="0"/>
        <v>0.25</v>
      </c>
      <c r="C5" s="1">
        <f t="shared" si="1"/>
        <v>1.8000000000000002E-2</v>
      </c>
      <c r="D5" s="1">
        <f t="shared" si="2"/>
        <v>1800</v>
      </c>
      <c r="E5" s="1">
        <f t="shared" si="3"/>
        <v>0.216</v>
      </c>
      <c r="F5" s="1">
        <f t="shared" si="4"/>
        <v>21600</v>
      </c>
    </row>
    <row r="6" spans="1:8" x14ac:dyDescent="0.25">
      <c r="A6">
        <v>5</v>
      </c>
      <c r="B6" s="1">
        <f t="shared" si="0"/>
        <v>0.2</v>
      </c>
      <c r="C6" s="1">
        <f>(1.5*0.003/B6)</f>
        <v>2.2500000000000003E-2</v>
      </c>
      <c r="D6" s="1">
        <f t="shared" si="2"/>
        <v>2250</v>
      </c>
      <c r="E6" s="1">
        <f t="shared" si="3"/>
        <v>0.33749999999999991</v>
      </c>
      <c r="F6" s="1">
        <f t="shared" si="4"/>
        <v>33749.999999999993</v>
      </c>
    </row>
    <row r="7" spans="1:8" x14ac:dyDescent="0.25">
      <c r="A7">
        <v>6</v>
      </c>
      <c r="B7" s="1">
        <f t="shared" si="0"/>
        <v>0.16666666666666666</v>
      </c>
      <c r="C7" s="1">
        <f t="shared" si="1"/>
        <v>2.7000000000000003E-2</v>
      </c>
      <c r="D7" s="1">
        <f t="shared" si="2"/>
        <v>2700</v>
      </c>
      <c r="E7" s="1">
        <f t="shared" si="3"/>
        <v>0.48600000000000004</v>
      </c>
      <c r="F7" s="1">
        <f t="shared" si="4"/>
        <v>48600</v>
      </c>
    </row>
    <row r="8" spans="1:8" x14ac:dyDescent="0.25">
      <c r="A8">
        <v>7</v>
      </c>
      <c r="B8" s="1">
        <f t="shared" si="0"/>
        <v>0.14285714285714285</v>
      </c>
      <c r="C8" s="1">
        <f t="shared" si="1"/>
        <v>3.1500000000000007E-2</v>
      </c>
      <c r="D8" s="1">
        <f t="shared" si="2"/>
        <v>3150</v>
      </c>
      <c r="E8" s="1">
        <f t="shared" si="3"/>
        <v>0.66150000000000009</v>
      </c>
      <c r="F8" s="1">
        <f t="shared" si="4"/>
        <v>66150</v>
      </c>
    </row>
    <row r="9" spans="1:8" x14ac:dyDescent="0.25">
      <c r="A9">
        <v>8</v>
      </c>
      <c r="B9" s="1">
        <f t="shared" si="0"/>
        <v>0.125</v>
      </c>
      <c r="C9" s="1">
        <f t="shared" si="1"/>
        <v>3.6000000000000004E-2</v>
      </c>
      <c r="D9" s="1">
        <f t="shared" si="2"/>
        <v>3600</v>
      </c>
      <c r="E9" s="1">
        <f t="shared" si="3"/>
        <v>0.86399999999999999</v>
      </c>
      <c r="F9" s="1">
        <f t="shared" si="4"/>
        <v>86400</v>
      </c>
    </row>
    <row r="10" spans="1:8" x14ac:dyDescent="0.25">
      <c r="A10">
        <v>9</v>
      </c>
      <c r="B10" s="1">
        <f t="shared" si="0"/>
        <v>0.1111111111111111</v>
      </c>
      <c r="C10" s="1">
        <f t="shared" si="1"/>
        <v>4.0500000000000008E-2</v>
      </c>
      <c r="D10" s="1">
        <f t="shared" si="2"/>
        <v>4050</v>
      </c>
      <c r="E10" s="1">
        <f t="shared" si="3"/>
        <v>1.0935000000000001</v>
      </c>
      <c r="F10" s="1">
        <f t="shared" si="4"/>
        <v>109350</v>
      </c>
    </row>
    <row r="11" spans="1:8" x14ac:dyDescent="0.25">
      <c r="A11">
        <v>10</v>
      </c>
      <c r="B11" s="1">
        <f t="shared" si="0"/>
        <v>0.1</v>
      </c>
      <c r="C11" s="1">
        <f t="shared" si="1"/>
        <v>4.5000000000000005E-2</v>
      </c>
      <c r="D11" s="1">
        <f t="shared" si="2"/>
        <v>4500</v>
      </c>
      <c r="E11" s="1">
        <f t="shared" si="3"/>
        <v>1.3499999999999996</v>
      </c>
      <c r="F11" s="1">
        <f t="shared" si="4"/>
        <v>134999.99999999997</v>
      </c>
    </row>
    <row r="14" spans="1:8" x14ac:dyDescent="0.25">
      <c r="H14" t="s">
        <v>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454A1-0674-4EEC-BC8C-17EAC893F421}">
  <sheetPr codeName="Sheet7"/>
  <dimension ref="A2:P20"/>
  <sheetViews>
    <sheetView workbookViewId="0">
      <selection activeCell="S9" sqref="S9"/>
    </sheetView>
  </sheetViews>
  <sheetFormatPr defaultRowHeight="15" x14ac:dyDescent="0.25"/>
  <cols>
    <col min="1" max="1" width="10" bestFit="1" customWidth="1"/>
    <col min="2" max="2" width="12.140625" customWidth="1"/>
    <col min="3" max="3" width="13.28515625" bestFit="1" customWidth="1"/>
    <col min="5" max="5" width="14.7109375" customWidth="1"/>
    <col min="7" max="7" width="17" bestFit="1" customWidth="1"/>
    <col min="9" max="9" width="33" bestFit="1" customWidth="1"/>
    <col min="10" max="10" width="8.28515625" bestFit="1" customWidth="1"/>
  </cols>
  <sheetData>
    <row r="2" spans="1:11" s="10" customFormat="1" ht="16.5" x14ac:dyDescent="0.25">
      <c r="A2" s="10" t="s">
        <v>38</v>
      </c>
      <c r="B2" s="11" t="s">
        <v>54</v>
      </c>
      <c r="C2" s="10" t="s">
        <v>39</v>
      </c>
      <c r="E2" s="10" t="s">
        <v>53</v>
      </c>
      <c r="F2" s="10" t="s">
        <v>40</v>
      </c>
      <c r="G2" s="10" t="s">
        <v>41</v>
      </c>
      <c r="I2" s="10" t="s">
        <v>50</v>
      </c>
    </row>
    <row r="3" spans="1:11" x14ac:dyDescent="0.25">
      <c r="A3">
        <v>1</v>
      </c>
      <c r="B3" s="1">
        <v>1.35E-2</v>
      </c>
      <c r="C3" s="1">
        <f t="shared" ref="C3:C12" si="0">J_in*2*PI()*B3/Lead</f>
        <v>3.685623038810101E-4</v>
      </c>
      <c r="E3" s="3">
        <v>1.73803E-5</v>
      </c>
      <c r="F3" s="9">
        <v>4.0000000000000001E-3</v>
      </c>
      <c r="G3" s="8">
        <v>0.35308</v>
      </c>
      <c r="I3" t="s">
        <v>43</v>
      </c>
      <c r="J3">
        <v>0.35499999999999998</v>
      </c>
    </row>
    <row r="4" spans="1:11" x14ac:dyDescent="0.25">
      <c r="A4">
        <v>2</v>
      </c>
      <c r="B4" s="1">
        <v>5.3999999999999999E-2</v>
      </c>
      <c r="C4" s="1">
        <f t="shared" si="0"/>
        <v>1.4742492155240404E-3</v>
      </c>
      <c r="I4" t="s">
        <v>47</v>
      </c>
      <c r="J4">
        <v>1.3</v>
      </c>
    </row>
    <row r="5" spans="1:11" x14ac:dyDescent="0.25">
      <c r="A5">
        <v>3</v>
      </c>
      <c r="B5" s="1">
        <v>0.12150000000000001</v>
      </c>
      <c r="C5" s="1">
        <f t="shared" si="0"/>
        <v>3.3170607349290908E-3</v>
      </c>
      <c r="I5" t="s">
        <v>44</v>
      </c>
      <c r="J5">
        <v>0.34</v>
      </c>
    </row>
    <row r="6" spans="1:11" x14ac:dyDescent="0.25">
      <c r="A6">
        <v>4</v>
      </c>
      <c r="B6" s="1">
        <v>0.216</v>
      </c>
      <c r="C6" s="1">
        <f t="shared" si="0"/>
        <v>5.8969968620961617E-3</v>
      </c>
      <c r="I6" t="s">
        <v>45</v>
      </c>
      <c r="J6">
        <v>0.65</v>
      </c>
    </row>
    <row r="7" spans="1:11" x14ac:dyDescent="0.25">
      <c r="A7">
        <v>5</v>
      </c>
      <c r="B7" s="1">
        <v>0.33749999999999991</v>
      </c>
      <c r="C7" s="1">
        <f t="shared" si="0"/>
        <v>9.2140575970252499E-3</v>
      </c>
      <c r="I7" t="s">
        <v>48</v>
      </c>
      <c r="J7" t="s">
        <v>49</v>
      </c>
    </row>
    <row r="8" spans="1:11" x14ac:dyDescent="0.25">
      <c r="A8">
        <v>6</v>
      </c>
      <c r="B8" s="1">
        <v>0.48600000000000004</v>
      </c>
      <c r="C8" s="1">
        <f t="shared" si="0"/>
        <v>1.3268242939716363E-2</v>
      </c>
      <c r="I8" t="s">
        <v>46</v>
      </c>
      <c r="J8" t="s">
        <v>51</v>
      </c>
      <c r="K8" t="s">
        <v>52</v>
      </c>
    </row>
    <row r="9" spans="1:11" x14ac:dyDescent="0.25">
      <c r="A9">
        <v>7</v>
      </c>
      <c r="B9" s="1">
        <v>0.66150000000000009</v>
      </c>
      <c r="C9" s="1">
        <f t="shared" si="0"/>
        <v>1.8059552890169497E-2</v>
      </c>
    </row>
    <row r="10" spans="1:11" x14ac:dyDescent="0.25">
      <c r="A10">
        <v>8</v>
      </c>
      <c r="B10" s="1">
        <v>0.86399999999999999</v>
      </c>
      <c r="C10" s="1">
        <f t="shared" si="0"/>
        <v>2.3587987448384647E-2</v>
      </c>
    </row>
    <row r="11" spans="1:11" x14ac:dyDescent="0.25">
      <c r="A11">
        <v>9</v>
      </c>
      <c r="B11" s="1">
        <v>1.0935000000000001</v>
      </c>
      <c r="C11" s="1">
        <f t="shared" si="0"/>
        <v>2.9853546614361823E-2</v>
      </c>
    </row>
    <row r="12" spans="1:11" x14ac:dyDescent="0.25">
      <c r="A12">
        <v>10</v>
      </c>
      <c r="B12" s="1">
        <v>1.3499999999999996</v>
      </c>
      <c r="C12" s="1">
        <f t="shared" si="0"/>
        <v>3.6856230388100999E-2</v>
      </c>
    </row>
    <row r="20" spans="16:16" x14ac:dyDescent="0.25">
      <c r="P20" t="s">
        <v>42</v>
      </c>
    </row>
  </sheetData>
  <pageMargins left="0.7" right="0.7" top="0.75" bottom="0.7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1EBEE-5CBF-46C5-B392-089439DF5557}">
  <sheetPr codeName="Sheet4"/>
  <dimension ref="A2:O22"/>
  <sheetViews>
    <sheetView workbookViewId="0">
      <selection activeCell="L14" sqref="L14"/>
    </sheetView>
  </sheetViews>
  <sheetFormatPr defaultRowHeight="15" x14ac:dyDescent="0.25"/>
  <cols>
    <col min="1" max="1" width="12.140625" customWidth="1"/>
    <col min="2" max="2" width="10.7109375" customWidth="1"/>
    <col min="3" max="3" width="12" customWidth="1"/>
    <col min="4" max="4" width="15.28515625" customWidth="1"/>
    <col min="5" max="5" width="20.85546875" bestFit="1" customWidth="1"/>
    <col min="6" max="6" width="24.28515625" bestFit="1" customWidth="1"/>
    <col min="7" max="7" width="11" bestFit="1" customWidth="1"/>
    <col min="8" max="8" width="10.28515625" bestFit="1" customWidth="1"/>
    <col min="9" max="9" width="10.5703125" bestFit="1" customWidth="1"/>
    <col min="10" max="10" width="10.28515625" bestFit="1" customWidth="1"/>
  </cols>
  <sheetData>
    <row r="2" spans="1:12" s="10" customFormat="1" ht="18" x14ac:dyDescent="0.35">
      <c r="A2" s="10" t="s">
        <v>4</v>
      </c>
      <c r="B2" s="11" t="s">
        <v>18</v>
      </c>
      <c r="C2" s="11" t="s">
        <v>19</v>
      </c>
      <c r="D2" s="11" t="s">
        <v>20</v>
      </c>
      <c r="E2" s="11" t="s">
        <v>22</v>
      </c>
      <c r="F2" s="11" t="s">
        <v>23</v>
      </c>
      <c r="G2" s="10" t="s">
        <v>15</v>
      </c>
      <c r="H2" s="10" t="s">
        <v>16</v>
      </c>
      <c r="I2" s="11"/>
      <c r="J2" s="11"/>
      <c r="K2" s="11"/>
      <c r="L2" s="10" t="s">
        <v>21</v>
      </c>
    </row>
    <row r="3" spans="1:12" x14ac:dyDescent="0.25">
      <c r="A3">
        <v>1</v>
      </c>
      <c r="B3" s="1">
        <f>POWER(A3,-1)</f>
        <v>1</v>
      </c>
      <c r="C3" s="1">
        <f>(1.5*0.003/B3)</f>
        <v>4.5000000000000005E-3</v>
      </c>
      <c r="D3" s="1">
        <f>(1.5 * 300 /B3)</f>
        <v>450</v>
      </c>
      <c r="E3" s="1">
        <f>(4.5 * 0.003/POWER(B3,2))</f>
        <v>1.35E-2</v>
      </c>
      <c r="F3" s="1">
        <f>(4.5*300/POWER(B3,2))</f>
        <v>1350</v>
      </c>
      <c r="G3" s="1">
        <f>(-9/4)*($L$3/POWER(Overview[[#This Row],[tt]],2))</f>
        <v>-6.7499999999999999E-3</v>
      </c>
      <c r="H3" s="1">
        <f>(9/2)*($L$3/Overview[[#This Row],[tt]])</f>
        <v>1.35E-2</v>
      </c>
      <c r="I3" s="1"/>
      <c r="J3" s="1"/>
      <c r="L3" s="2">
        <v>3.0000000000000001E-3</v>
      </c>
    </row>
    <row r="4" spans="1:12" x14ac:dyDescent="0.25">
      <c r="A4">
        <v>2</v>
      </c>
      <c r="B4" s="1">
        <f t="shared" ref="B4:B12" si="0">POWER(A4,-1)</f>
        <v>0.5</v>
      </c>
      <c r="C4" s="1">
        <f t="shared" ref="C4:C12" si="1">(1.5*0.003/B4)</f>
        <v>9.0000000000000011E-3</v>
      </c>
      <c r="D4" s="1">
        <f t="shared" ref="D4:D12" si="2">(1.5 * 300 /B4)</f>
        <v>900</v>
      </c>
      <c r="E4" s="1">
        <f t="shared" ref="E4:E12" si="3">(4.5 * 0.003/POWER(B4,2))</f>
        <v>5.3999999999999999E-2</v>
      </c>
      <c r="F4" s="1">
        <f t="shared" ref="F4:F12" si="4">(4.5*300/POWER(B4,2))</f>
        <v>5400</v>
      </c>
      <c r="G4" s="1">
        <f>(-9/4)*($L$3/POWER(Overview[[#This Row],[tt]],2))</f>
        <v>-2.7E-2</v>
      </c>
      <c r="H4" s="1">
        <f>(9/2)*($L$3/Overview[[#This Row],[tt]])</f>
        <v>2.7E-2</v>
      </c>
      <c r="I4" s="1"/>
      <c r="J4" s="1"/>
    </row>
    <row r="5" spans="1:12" x14ac:dyDescent="0.25">
      <c r="A5">
        <v>3</v>
      </c>
      <c r="B5" s="1">
        <f t="shared" si="0"/>
        <v>0.33333333333333331</v>
      </c>
      <c r="C5" s="1">
        <f t="shared" si="1"/>
        <v>1.3500000000000002E-2</v>
      </c>
      <c r="D5" s="1">
        <f t="shared" si="2"/>
        <v>1350</v>
      </c>
      <c r="E5" s="1">
        <f t="shared" si="3"/>
        <v>0.12150000000000001</v>
      </c>
      <c r="F5" s="1">
        <f t="shared" si="4"/>
        <v>12150</v>
      </c>
      <c r="G5" s="1">
        <f>(-9/4)*($L$3/POWER(Overview[[#This Row],[tt]],2))</f>
        <v>-6.0750000000000005E-2</v>
      </c>
      <c r="H5" s="1">
        <f>(9/2)*($L$3/Overview[[#This Row],[tt]])</f>
        <v>4.0500000000000008E-2</v>
      </c>
      <c r="I5" s="1"/>
      <c r="J5" s="1"/>
    </row>
    <row r="6" spans="1:12" x14ac:dyDescent="0.25">
      <c r="A6">
        <v>4</v>
      </c>
      <c r="B6" s="1">
        <f t="shared" si="0"/>
        <v>0.25</v>
      </c>
      <c r="C6" s="1">
        <f t="shared" si="1"/>
        <v>1.8000000000000002E-2</v>
      </c>
      <c r="D6" s="1">
        <f t="shared" si="2"/>
        <v>1800</v>
      </c>
      <c r="E6" s="1">
        <f t="shared" si="3"/>
        <v>0.216</v>
      </c>
      <c r="F6" s="1">
        <f t="shared" si="4"/>
        <v>21600</v>
      </c>
      <c r="G6" s="1">
        <f>(-9/4)*($L$3/POWER(Overview[[#This Row],[tt]],2))</f>
        <v>-0.108</v>
      </c>
      <c r="H6" s="1">
        <f>(9/2)*($L$3/Overview[[#This Row],[tt]])</f>
        <v>5.3999999999999999E-2</v>
      </c>
      <c r="I6" s="1"/>
      <c r="J6" s="1"/>
    </row>
    <row r="7" spans="1:12" x14ac:dyDescent="0.25">
      <c r="A7">
        <v>5</v>
      </c>
      <c r="B7" s="1">
        <f t="shared" si="0"/>
        <v>0.2</v>
      </c>
      <c r="C7" s="1">
        <f>(1.5*0.003/B7)</f>
        <v>2.2500000000000003E-2</v>
      </c>
      <c r="D7" s="1">
        <f t="shared" si="2"/>
        <v>2250</v>
      </c>
      <c r="E7" s="1">
        <f t="shared" si="3"/>
        <v>0.33749999999999991</v>
      </c>
      <c r="F7" s="1">
        <f t="shared" si="4"/>
        <v>33749.999999999993</v>
      </c>
      <c r="G7" s="1">
        <f>(-9/4)*($L$3/POWER(Overview[[#This Row],[tt]],2))</f>
        <v>-0.16874999999999996</v>
      </c>
      <c r="H7" s="1">
        <f>(9/2)*($L$3/Overview[[#This Row],[tt]])</f>
        <v>6.7500000000000004E-2</v>
      </c>
      <c r="I7" s="1"/>
      <c r="J7" s="1"/>
    </row>
    <row r="8" spans="1:12" x14ac:dyDescent="0.25">
      <c r="A8">
        <v>6</v>
      </c>
      <c r="B8" s="1">
        <f t="shared" si="0"/>
        <v>0.16666666666666666</v>
      </c>
      <c r="C8" s="1">
        <f t="shared" si="1"/>
        <v>2.7000000000000003E-2</v>
      </c>
      <c r="D8" s="1">
        <f t="shared" si="2"/>
        <v>2700</v>
      </c>
      <c r="E8" s="1">
        <f t="shared" si="3"/>
        <v>0.48600000000000004</v>
      </c>
      <c r="F8" s="1">
        <f t="shared" si="4"/>
        <v>48600</v>
      </c>
      <c r="G8" s="1">
        <f>(-9/4)*($L$3/POWER(Overview[[#This Row],[tt]],2))</f>
        <v>-0.24300000000000002</v>
      </c>
      <c r="H8" s="1">
        <f>(9/2)*($L$3/Overview[[#This Row],[tt]])</f>
        <v>8.1000000000000016E-2</v>
      </c>
      <c r="I8" s="1"/>
      <c r="J8" s="1"/>
    </row>
    <row r="9" spans="1:12" x14ac:dyDescent="0.25">
      <c r="A9">
        <v>7</v>
      </c>
      <c r="B9" s="1">
        <f t="shared" si="0"/>
        <v>0.14285714285714285</v>
      </c>
      <c r="C9" s="1">
        <f t="shared" si="1"/>
        <v>3.1500000000000007E-2</v>
      </c>
      <c r="D9" s="1">
        <f t="shared" si="2"/>
        <v>3150</v>
      </c>
      <c r="E9" s="1">
        <f t="shared" si="3"/>
        <v>0.66150000000000009</v>
      </c>
      <c r="F9" s="1">
        <f t="shared" si="4"/>
        <v>66150</v>
      </c>
      <c r="G9" s="1">
        <f>(-9/4)*($L$3/POWER(Overview[[#This Row],[tt]],2))</f>
        <v>-0.33075000000000004</v>
      </c>
      <c r="H9" s="1">
        <f>(9/2)*($L$3/Overview[[#This Row],[tt]])</f>
        <v>9.4500000000000001E-2</v>
      </c>
      <c r="I9" s="1"/>
      <c r="J9" s="1"/>
    </row>
    <row r="10" spans="1:12" x14ac:dyDescent="0.25">
      <c r="A10">
        <v>8</v>
      </c>
      <c r="B10" s="1">
        <f t="shared" si="0"/>
        <v>0.125</v>
      </c>
      <c r="C10" s="1">
        <f t="shared" si="1"/>
        <v>3.6000000000000004E-2</v>
      </c>
      <c r="D10" s="1">
        <f t="shared" si="2"/>
        <v>3600</v>
      </c>
      <c r="E10" s="1">
        <f t="shared" si="3"/>
        <v>0.86399999999999999</v>
      </c>
      <c r="F10" s="1">
        <f t="shared" si="4"/>
        <v>86400</v>
      </c>
      <c r="G10" s="1">
        <f>(-9/4)*($L$3/POWER(Overview[[#This Row],[tt]],2))</f>
        <v>-0.432</v>
      </c>
      <c r="H10" s="1">
        <f>(9/2)*($L$3/Overview[[#This Row],[tt]])</f>
        <v>0.108</v>
      </c>
      <c r="I10" s="1"/>
      <c r="J10" s="1"/>
    </row>
    <row r="11" spans="1:12" x14ac:dyDescent="0.25">
      <c r="A11">
        <v>9</v>
      </c>
      <c r="B11" s="1">
        <f t="shared" si="0"/>
        <v>0.1111111111111111</v>
      </c>
      <c r="C11" s="1">
        <f t="shared" si="1"/>
        <v>4.0500000000000008E-2</v>
      </c>
      <c r="D11" s="1">
        <f t="shared" si="2"/>
        <v>4050</v>
      </c>
      <c r="E11" s="1">
        <f t="shared" si="3"/>
        <v>1.0935000000000001</v>
      </c>
      <c r="F11" s="1">
        <f t="shared" si="4"/>
        <v>109350</v>
      </c>
      <c r="G11" s="1">
        <f>(-9/4)*($L$3/POWER(Overview[[#This Row],[tt]],2))</f>
        <v>-0.54675000000000007</v>
      </c>
      <c r="H11" s="1">
        <f>(9/2)*($L$3/Overview[[#This Row],[tt]])</f>
        <v>0.12150000000000001</v>
      </c>
      <c r="I11" s="1"/>
      <c r="J11" s="1"/>
    </row>
    <row r="12" spans="1:12" x14ac:dyDescent="0.25">
      <c r="A12">
        <v>10</v>
      </c>
      <c r="B12" s="1">
        <f t="shared" si="0"/>
        <v>0.1</v>
      </c>
      <c r="C12" s="1">
        <f t="shared" si="1"/>
        <v>4.5000000000000005E-2</v>
      </c>
      <c r="D12" s="1">
        <f t="shared" si="2"/>
        <v>4500</v>
      </c>
      <c r="E12" s="1">
        <f t="shared" si="3"/>
        <v>1.3499999999999996</v>
      </c>
      <c r="F12" s="1">
        <f t="shared" si="4"/>
        <v>134999.99999999997</v>
      </c>
      <c r="G12" s="1">
        <f>(-9/4)*($L$3/POWER(Overview[[#This Row],[tt]],2))</f>
        <v>-0.67499999999999982</v>
      </c>
      <c r="H12" s="1">
        <f>(9/2)*($L$3/Overview[[#This Row],[tt]])</f>
        <v>0.13500000000000001</v>
      </c>
      <c r="I12" s="1"/>
      <c r="J12" s="1"/>
    </row>
    <row r="22" spans="15:15" x14ac:dyDescent="0.25">
      <c r="O22" t="s">
        <v>37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355C8-3DFC-4BE3-956D-27B8B2574597}">
  <sheetPr codeName="Sheet5"/>
  <dimension ref="A2:AJ153"/>
  <sheetViews>
    <sheetView workbookViewId="0">
      <selection activeCell="A2" sqref="A2"/>
    </sheetView>
  </sheetViews>
  <sheetFormatPr defaultRowHeight="15" x14ac:dyDescent="0.25"/>
  <cols>
    <col min="1" max="1" width="8.140625" style="2" customWidth="1"/>
    <col min="2" max="10" width="11.5703125" style="3" bestFit="1" customWidth="1"/>
    <col min="11" max="11" width="11.5703125" style="3" customWidth="1"/>
    <col min="12" max="12" width="8.140625" style="3" customWidth="1"/>
    <col min="13" max="13" width="10.28515625" style="8" customWidth="1"/>
    <col min="14" max="14" width="12.85546875" style="3" customWidth="1"/>
    <col min="15" max="15" width="12.28515625" style="3" customWidth="1"/>
    <col min="16" max="16" width="11.5703125" style="3" bestFit="1" customWidth="1"/>
    <col min="17" max="21" width="11.28515625" style="3" bestFit="1" customWidth="1"/>
    <col min="22" max="23" width="10.28515625" style="3" bestFit="1" customWidth="1"/>
    <col min="24" max="24" width="9.140625" style="3"/>
    <col min="25" max="25" width="9.28515625" style="8" bestFit="1" customWidth="1"/>
    <col min="26" max="26" width="10" style="3" bestFit="1" customWidth="1"/>
    <col min="27" max="35" width="11.28515625" style="3" bestFit="1" customWidth="1"/>
    <col min="36" max="36" width="11.28515625" style="19" bestFit="1" customWidth="1"/>
    <col min="37" max="37" width="9.140625" style="3"/>
    <col min="38" max="38" width="10.28515625" style="3" bestFit="1" customWidth="1"/>
    <col min="39" max="16384" width="9.140625" style="3"/>
  </cols>
  <sheetData>
    <row r="2" spans="1:36" x14ac:dyDescent="0.25">
      <c r="A2" s="2" t="s">
        <v>34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M2" s="12" t="s">
        <v>35</v>
      </c>
      <c r="N2" s="13" t="s">
        <v>24</v>
      </c>
      <c r="O2" s="13" t="s">
        <v>25</v>
      </c>
      <c r="P2" s="13" t="s">
        <v>26</v>
      </c>
      <c r="Q2" s="13" t="s">
        <v>27</v>
      </c>
      <c r="R2" s="13" t="s">
        <v>28</v>
      </c>
      <c r="S2" s="13" t="s">
        <v>29</v>
      </c>
      <c r="T2" s="13" t="s">
        <v>30</v>
      </c>
      <c r="U2" s="13" t="s">
        <v>31</v>
      </c>
      <c r="V2" s="13" t="s">
        <v>32</v>
      </c>
      <c r="W2" s="13" t="s">
        <v>33</v>
      </c>
      <c r="Y2" s="12" t="s">
        <v>36</v>
      </c>
      <c r="Z2" s="13" t="s">
        <v>14</v>
      </c>
      <c r="AA2" s="13" t="s">
        <v>24</v>
      </c>
      <c r="AB2" s="13" t="s">
        <v>25</v>
      </c>
      <c r="AC2" s="13" t="s">
        <v>26</v>
      </c>
      <c r="AD2" s="13" t="s">
        <v>27</v>
      </c>
      <c r="AE2" s="13" t="s">
        <v>28</v>
      </c>
      <c r="AF2" s="13" t="s">
        <v>29</v>
      </c>
      <c r="AG2" s="13" t="s">
        <v>30</v>
      </c>
      <c r="AH2" s="13" t="s">
        <v>31</v>
      </c>
      <c r="AI2" s="13" t="s">
        <v>32</v>
      </c>
      <c r="AJ2" s="18" t="s">
        <v>33</v>
      </c>
    </row>
    <row r="3" spans="1:36" x14ac:dyDescent="0.25">
      <c r="A3" s="2">
        <v>0</v>
      </c>
      <c r="B3" s="3" cm="1">
        <f t="array" ref="B3">SQRT((4*POWER(ttotal1,2)*st_a[[#This Row],[s(ta)]])/(9*s_t))</f>
        <v>0</v>
      </c>
      <c r="C3" s="3" cm="1">
        <f t="array" ref="C3">SQRT((4*POWER(ttotal2,2)*st_a[[#This Row],[s(ta)]])/(9*s_t))</f>
        <v>0</v>
      </c>
      <c r="D3" s="3" cm="1">
        <f t="array" ref="D3">SQRT((4*POWER(ttotal3,2)*st_a[[#This Row],[s(ta)]])/(9*s_t))</f>
        <v>0</v>
      </c>
      <c r="E3" s="3" cm="1">
        <f t="array" ref="E3">SQRT((4*POWER(ttotal4,2)*st_a[[#This Row],[s(ta)]])/(9*s_t))</f>
        <v>0</v>
      </c>
      <c r="F3" s="3" cm="1">
        <f t="array" ref="F3">SQRT((4*POWER(ttotal5,2)*st_a[[#This Row],[s(ta)]])/(9*s_t))</f>
        <v>0</v>
      </c>
      <c r="G3" s="3" cm="1">
        <f t="array" ref="G3">SQRT((4*POWER(ttotal6,2)*st_a[[#This Row],[s(ta)]])/(9*s_t))</f>
        <v>0</v>
      </c>
      <c r="H3" s="3" cm="1">
        <f t="array" ref="H3">SQRT((4*POWER(ttotal7,2)*st_a[[#This Row],[s(ta)]])/(9*s_t))</f>
        <v>0</v>
      </c>
      <c r="I3" s="3" cm="1">
        <f t="array" ref="I3">SQRT((4*POWER(ttotal8,2)*st_a[[#This Row],[s(ta)]])/(9*s_t))</f>
        <v>0</v>
      </c>
      <c r="J3" s="3" cm="1">
        <f t="array" ref="J3">SQRT((4*POWER(ttotal9,2)*st_a[[#This Row],[s(ta)]])/(9*s_t))</f>
        <v>0</v>
      </c>
      <c r="K3" s="3" cm="1">
        <f t="array" ref="K3">SQRT((4*POWER(ttotal10,2)*st_a[[#This Row],[s(ta)]])/(9*s_t))</f>
        <v>0</v>
      </c>
      <c r="M3" s="8">
        <v>7.5000000000000002E-4</v>
      </c>
      <c r="N3" s="3" cm="1">
        <f t="array" ref="N3">((2*ttotal1)/(3*s_t))*(st_b[[#This Row],[s(tb)]]+(s_t/4))</f>
        <v>0.33333333333333331</v>
      </c>
      <c r="O3" s="3" cm="1">
        <f t="array" ref="O3">((2*ttotal2)/(3*s_t))*(st_b[[#This Row],[s(tb)]]+(s_t/4))</f>
        <v>0.16666666666666666</v>
      </c>
      <c r="P3" s="3" cm="1">
        <f t="array" ref="P3">((2*ttotal3)/(3*s_t))*(st_b[[#This Row],[s(tb)]]+(s_t/4))</f>
        <v>0.11111111111111109</v>
      </c>
      <c r="Q3" s="3" cm="1">
        <f t="array" ref="Q3">((2*ttotal4)/(3*s_t))*(st_b[[#This Row],[s(tb)]]+(s_t/4))</f>
        <v>8.3333333333333329E-2</v>
      </c>
      <c r="R3" s="3" cm="1">
        <f t="array" ref="R3">((2*ttotal5)/(3*s_t))*(st_b[[#This Row],[s(tb)]]+(s_t/4))</f>
        <v>6.6666666666666666E-2</v>
      </c>
      <c r="S3" s="3" cm="1">
        <f t="array" ref="S3">((2*ttotal6)/(3*s_t))*(st_b[[#This Row],[s(tb)]]+(s_t/4))</f>
        <v>5.5555555555555546E-2</v>
      </c>
      <c r="T3" s="3" cm="1">
        <f t="array" ref="T3">((2*ttotal7)/(3*s_t))*(st_b[[#This Row],[s(tb)]]+(s_t/4))</f>
        <v>4.7619047619047609E-2</v>
      </c>
      <c r="U3" s="3" cm="1">
        <f t="array" ref="U3">((2*ttotal8)/(3*s_t))*(st_b[[#This Row],[s(tb)]]+(s_t/4))</f>
        <v>4.1666666666666664E-2</v>
      </c>
      <c r="V3" s="3" cm="1">
        <f t="array" ref="V3">((2*ttotal9)/(3*s_t))*(st_b[[#This Row],[s(tb)]]+(s_t/4))</f>
        <v>3.7037037037037035E-2</v>
      </c>
      <c r="W3" s="3" cm="1">
        <f t="array" ref="W3">((2*ttotal10)/(3*s_t))*(st_b[[#This Row],[s(tb)]]+(s_t/4))</f>
        <v>3.3333333333333333E-2</v>
      </c>
      <c r="Y3" s="8">
        <v>2.2500000000000003E-3</v>
      </c>
      <c r="Z3" s="3" cm="1">
        <f t="array" ref="Z3">(-5*s_t/4)-Y3</f>
        <v>-6.0000000000000001E-3</v>
      </c>
      <c r="AA3" s="3">
        <f>(-INDEX(Overview[b],1)+SQRT(POWER(INDEX(Overview[b],1),2)-(4*INDEX(Overview[a],1)*st_c[[#This Row],[c]])))/(2*INDEX(Overview[a],1))</f>
        <v>0.66666666666666685</v>
      </c>
      <c r="AB3" s="3">
        <f>(-INDEX(Overview[b],2)+SQRT(POWER(INDEX(Overview[b],2),2)-(4*INDEX(Overview[a],2)*st_c[[#This Row],[c]])))/(2*INDEX(Overview[a],2))</f>
        <v>0.33333333333333343</v>
      </c>
      <c r="AC3" s="3">
        <f>(-INDEX(Overview[b],3)+SQRT(POWER(INDEX(Overview[b],3),2)-(4*INDEX(Overview[a],3)*st_c[[#This Row],[c]])))/(2*INDEX(Overview[a],3))</f>
        <v>0.22222222222222213</v>
      </c>
      <c r="AD3" s="3">
        <f>(-INDEX(Overview[b],4)+SQRT(POWER(INDEX(Overview[b],4),2)-(4*INDEX(Overview[a],4)*st_c[[#This Row],[c]])))/(2*INDEX(Overview[a],4))</f>
        <v>0.16666666666666671</v>
      </c>
      <c r="AE3" s="3">
        <f>(-INDEX(Overview[b],5)+SQRT(POWER(INDEX(Overview[b],5),2)-(4*INDEX(Overview[a],5)*st_c[[#This Row],[c]])))/(2*INDEX(Overview[a],5))</f>
        <v>0.13333333333333328</v>
      </c>
      <c r="AF3" s="3">
        <f>(-INDEX(Overview[b],6)+SQRT(POWER(INDEX(Overview[b],6),2)-(4*INDEX(Overview[a],6)*st_c[[#This Row],[c]])))/(2*INDEX(Overview[a],6))</f>
        <v>0.11111111111111106</v>
      </c>
      <c r="AG3" s="3">
        <f>(-INDEX(Overview[b],7)+SQRT(POWER(INDEX(Overview[b],7),2)-(4*INDEX(Overview[a],7)*st_c[[#This Row],[c]])))/(2*INDEX(Overview[a],7))</f>
        <v>9.5238095238095233E-2</v>
      </c>
      <c r="AH3" s="3">
        <f>(-INDEX(Overview[b],8)+SQRT(POWER(INDEX(Overview[b],8),2)-(4*INDEX(Overview[a],8)*st_c[[#This Row],[c]])))/(2*INDEX(Overview[a],8))</f>
        <v>8.3333333333333356E-2</v>
      </c>
      <c r="AI3" s="3">
        <f>(-INDEX(Overview[b],9)+SQRT(POWER(INDEX(Overview[b],9),2)-(4*INDEX(Overview[a],9)*st_c[[#This Row],[c]])))/(2*INDEX(Overview[a],9))</f>
        <v>7.4074074074074056E-2</v>
      </c>
      <c r="AJ3" s="19">
        <f>(-INDEX(Overview[b],10)+SQRT(POWER(INDEX(Overview[b],10),2)-(4*INDEX(Overview[a],10)*st_c[[#This Row],[c]])))/(2*INDEX(Overview[a],10))</f>
        <v>6.6666666666666638E-2</v>
      </c>
    </row>
    <row r="4" spans="1:36" x14ac:dyDescent="0.25">
      <c r="A4" s="2">
        <v>1.0000000000000001E-5</v>
      </c>
      <c r="B4" s="3" cm="1">
        <f t="array" ref="B4">SQRT((4*POWER(ttotal1,2)*st_a[[#This Row],[s(ta)]])/(9*s_t))</f>
        <v>3.849001794597505E-2</v>
      </c>
      <c r="C4" s="3" cm="1">
        <f t="array" ref="C4">SQRT((4*POWER(ttotal2,2)*st_a[[#This Row],[s(ta)]])/(9*s_t))</f>
        <v>1.9245008972987525E-2</v>
      </c>
      <c r="D4" s="3" cm="1">
        <f t="array" ref="D4">SQRT((4*POWER(ttotal3,2)*st_a[[#This Row],[s(ta)]])/(9*s_t))</f>
        <v>1.2830005981991683E-2</v>
      </c>
      <c r="E4" s="3" cm="1">
        <f t="array" ref="E4">SQRT((4*POWER(ttotal4,2)*st_a[[#This Row],[s(ta)]])/(9*s_t))</f>
        <v>9.6225044864937624E-3</v>
      </c>
      <c r="F4" s="3" cm="1">
        <f t="array" ref="F4">SQRT((4*POWER(ttotal5,2)*st_a[[#This Row],[s(ta)]])/(9*s_t))</f>
        <v>7.6980035891950115E-3</v>
      </c>
      <c r="G4" s="3" cm="1">
        <f t="array" ref="G4">SQRT((4*POWER(ttotal6,2)*st_a[[#This Row],[s(ta)]])/(9*s_t))</f>
        <v>6.4150029909958413E-3</v>
      </c>
      <c r="H4" s="3" cm="1">
        <f t="array" ref="H4">SQRT((4*POWER(ttotal7,2)*st_a[[#This Row],[s(ta)]])/(9*s_t))</f>
        <v>5.4985739922821502E-3</v>
      </c>
      <c r="I4" s="3" cm="1">
        <f t="array" ref="I4">SQRT((4*POWER(ttotal8,2)*st_a[[#This Row],[s(ta)]])/(9*s_t))</f>
        <v>4.8112522432468812E-3</v>
      </c>
      <c r="J4" s="3" cm="1">
        <f t="array" ref="J4">SQRT((4*POWER(ttotal9,2)*st_a[[#This Row],[s(ta)]])/(9*s_t))</f>
        <v>4.2766686606638942E-3</v>
      </c>
      <c r="K4" s="3" cm="1">
        <f t="array" ref="K4">SQRT((4*POWER(ttotal10,2)*st_a[[#This Row],[s(ta)]])/(9*s_t))</f>
        <v>3.8490017945975057E-3</v>
      </c>
      <c r="M4" s="8">
        <v>7.6000000000000004E-4</v>
      </c>
      <c r="N4" s="3" cm="1">
        <f t="array" ref="N4">((2*ttotal1)/(3*s_t))*(st_b[[#This Row],[s(tb)]]+(s_t/4))</f>
        <v>0.33555555555555555</v>
      </c>
      <c r="O4" s="3" cm="1">
        <f t="array" ref="O4">((2*ttotal2)/(3*s_t))*(st_b[[#This Row],[s(tb)]]+(s_t/4))</f>
        <v>0.16777777777777778</v>
      </c>
      <c r="P4" s="3" cm="1">
        <f t="array" ref="P4">((2*ttotal3)/(3*s_t))*(st_b[[#This Row],[s(tb)]]+(s_t/4))</f>
        <v>0.11185185185185184</v>
      </c>
      <c r="Q4" s="3" cm="1">
        <f t="array" ref="Q4">((2*ttotal4)/(3*s_t))*(st_b[[#This Row],[s(tb)]]+(s_t/4))</f>
        <v>8.3888888888888888E-2</v>
      </c>
      <c r="R4" s="3" cm="1">
        <f t="array" ref="R4">((2*ttotal5)/(3*s_t))*(st_b[[#This Row],[s(tb)]]+(s_t/4))</f>
        <v>6.7111111111111107E-2</v>
      </c>
      <c r="S4" s="3" cm="1">
        <f t="array" ref="S4">((2*ttotal6)/(3*s_t))*(st_b[[#This Row],[s(tb)]]+(s_t/4))</f>
        <v>5.5925925925925921E-2</v>
      </c>
      <c r="T4" s="3" cm="1">
        <f t="array" ref="T4">((2*ttotal7)/(3*s_t))*(st_b[[#This Row],[s(tb)]]+(s_t/4))</f>
        <v>4.793650793650793E-2</v>
      </c>
      <c r="U4" s="3" cm="1">
        <f t="array" ref="U4">((2*ttotal8)/(3*s_t))*(st_b[[#This Row],[s(tb)]]+(s_t/4))</f>
        <v>4.1944444444444444E-2</v>
      </c>
      <c r="V4" s="3" cm="1">
        <f t="array" ref="V4">((2*ttotal9)/(3*s_t))*(st_b[[#This Row],[s(tb)]]+(s_t/4))</f>
        <v>3.7283950617283949E-2</v>
      </c>
      <c r="W4" s="3" cm="1">
        <f t="array" ref="W4">((2*ttotal10)/(3*s_t))*(st_b[[#This Row],[s(tb)]]+(s_t/4))</f>
        <v>3.3555555555555554E-2</v>
      </c>
      <c r="Y4" s="8">
        <v>2.2600000000000003E-3</v>
      </c>
      <c r="Z4" s="3" cm="1">
        <f t="array" ref="Z4">(-5*s_t/4)-Y4</f>
        <v>-6.0099999999999997E-3</v>
      </c>
      <c r="AA4" s="3">
        <f>(-INDEX(Overview[b],1)+SQRT(POWER(INDEX(Overview[b],1),2)-(4*INDEX(Overview[a],1)*st_c[[#This Row],[c]])))/(2*INDEX(Overview[a],1))</f>
        <v>0.66889634609441484</v>
      </c>
      <c r="AB4" s="3">
        <f>(-INDEX(Overview[b],2)+SQRT(POWER(INDEX(Overview[b],2),2)-(4*INDEX(Overview[a],2)*st_c[[#This Row],[c]])))/(2*INDEX(Overview[a],2))</f>
        <v>0.33444817304720742</v>
      </c>
      <c r="AC4" s="3">
        <f>(-INDEX(Overview[b],3)+SQRT(POWER(INDEX(Overview[b],3),2)-(4*INDEX(Overview[a],3)*st_c[[#This Row],[c]])))/(2*INDEX(Overview[a],3))</f>
        <v>0.22296544869813806</v>
      </c>
      <c r="AD4" s="3">
        <f>(-INDEX(Overview[b],4)+SQRT(POWER(INDEX(Overview[b],4),2)-(4*INDEX(Overview[a],4)*st_c[[#This Row],[c]])))/(2*INDEX(Overview[a],4))</f>
        <v>0.16722408652360371</v>
      </c>
      <c r="AE4" s="3">
        <f>(-INDEX(Overview[b],5)+SQRT(POWER(INDEX(Overview[b],5),2)-(4*INDEX(Overview[a],5)*st_c[[#This Row],[c]])))/(2*INDEX(Overview[a],5))</f>
        <v>0.13377926921888286</v>
      </c>
      <c r="AF4" s="3">
        <f>(-INDEX(Overview[b],6)+SQRT(POWER(INDEX(Overview[b],6),2)-(4*INDEX(Overview[a],6)*st_c[[#This Row],[c]])))/(2*INDEX(Overview[a],6))</f>
        <v>0.11148272434906903</v>
      </c>
      <c r="AG4" s="3">
        <f>(-INDEX(Overview[b],7)+SQRT(POWER(INDEX(Overview[b],7),2)-(4*INDEX(Overview[a],7)*st_c[[#This Row],[c]])))/(2*INDEX(Overview[a],7))</f>
        <v>9.555662087063066E-2</v>
      </c>
      <c r="AH4" s="3">
        <f>(-INDEX(Overview[b],8)+SQRT(POWER(INDEX(Overview[b],8),2)-(4*INDEX(Overview[a],8)*st_c[[#This Row],[c]])))/(2*INDEX(Overview[a],8))</f>
        <v>8.3612043261801855E-2</v>
      </c>
      <c r="AI4" s="3">
        <f>(-INDEX(Overview[b],9)+SQRT(POWER(INDEX(Overview[b],9),2)-(4*INDEX(Overview[a],9)*st_c[[#This Row],[c]])))/(2*INDEX(Overview[a],9))</f>
        <v>7.4321816232712709E-2</v>
      </c>
      <c r="AJ4" s="19">
        <f>(-INDEX(Overview[b],10)+SQRT(POWER(INDEX(Overview[b],10),2)-(4*INDEX(Overview[a],10)*st_c[[#This Row],[c]])))/(2*INDEX(Overview[a],10))</f>
        <v>6.6889634609441431E-2</v>
      </c>
    </row>
    <row r="5" spans="1:36" x14ac:dyDescent="0.25">
      <c r="A5" s="2">
        <v>2.0000000000000002E-5</v>
      </c>
      <c r="B5" s="3" cm="1">
        <f t="array" ref="B5">SQRT((4*POWER(ttotal1,2)*st_a[[#This Row],[s(ta)]])/(9*s_t))</f>
        <v>5.4433105395181737E-2</v>
      </c>
      <c r="C5" s="3" cm="1">
        <f t="array" ref="C5">SQRT((4*POWER(ttotal2,2)*st_a[[#This Row],[s(ta)]])/(9*s_t))</f>
        <v>2.7216552697590869E-2</v>
      </c>
      <c r="D5" s="3" cm="1">
        <f t="array" ref="D5">SQRT((4*POWER(ttotal3,2)*st_a[[#This Row],[s(ta)]])/(9*s_t))</f>
        <v>1.8144368465060578E-2</v>
      </c>
      <c r="E5" s="3" cm="1">
        <f t="array" ref="E5">SQRT((4*POWER(ttotal4,2)*st_a[[#This Row],[s(ta)]])/(9*s_t))</f>
        <v>1.3608276348795434E-2</v>
      </c>
      <c r="F5" s="3" cm="1">
        <f t="array" ref="F5">SQRT((4*POWER(ttotal5,2)*st_a[[#This Row],[s(ta)]])/(9*s_t))</f>
        <v>1.0886621079036348E-2</v>
      </c>
      <c r="G5" s="3" cm="1">
        <f t="array" ref="G5">SQRT((4*POWER(ttotal6,2)*st_a[[#This Row],[s(ta)]])/(9*s_t))</f>
        <v>9.0721842325302889E-3</v>
      </c>
      <c r="H5" s="3" cm="1">
        <f t="array" ref="H5">SQRT((4*POWER(ttotal7,2)*st_a[[#This Row],[s(ta)]])/(9*s_t))</f>
        <v>7.776157913597391E-3</v>
      </c>
      <c r="I5" s="3" cm="1">
        <f t="array" ref="I5">SQRT((4*POWER(ttotal8,2)*st_a[[#This Row],[s(ta)]])/(9*s_t))</f>
        <v>6.8041381743977171E-3</v>
      </c>
      <c r="J5" s="3" cm="1">
        <f t="array" ref="J5">SQRT((4*POWER(ttotal9,2)*st_a[[#This Row],[s(ta)]])/(9*s_t))</f>
        <v>6.0481228216868596E-3</v>
      </c>
      <c r="K5" s="3" cm="1">
        <f t="array" ref="K5">SQRT((4*POWER(ttotal10,2)*st_a[[#This Row],[s(ta)]])/(9*s_t))</f>
        <v>5.4433105395181739E-3</v>
      </c>
      <c r="M5" s="8">
        <v>7.7000000000000007E-4</v>
      </c>
      <c r="N5" s="3" cm="1">
        <f t="array" ref="N5">((2*ttotal1)/(3*s_t))*(st_b[[#This Row],[s(tb)]]+(s_t/4))</f>
        <v>0.33777777777777779</v>
      </c>
      <c r="O5" s="3" cm="1">
        <f t="array" ref="O5">((2*ttotal2)/(3*s_t))*(st_b[[#This Row],[s(tb)]]+(s_t/4))</f>
        <v>0.16888888888888889</v>
      </c>
      <c r="P5" s="3" cm="1">
        <f t="array" ref="P5">((2*ttotal3)/(3*s_t))*(st_b[[#This Row],[s(tb)]]+(s_t/4))</f>
        <v>0.11259259259259258</v>
      </c>
      <c r="Q5" s="3" cm="1">
        <f t="array" ref="Q5">((2*ttotal4)/(3*s_t))*(st_b[[#This Row],[s(tb)]]+(s_t/4))</f>
        <v>8.4444444444444447E-2</v>
      </c>
      <c r="R5" s="3" cm="1">
        <f t="array" ref="R5">((2*ttotal5)/(3*s_t))*(st_b[[#This Row],[s(tb)]]+(s_t/4))</f>
        <v>6.7555555555555563E-2</v>
      </c>
      <c r="S5" s="3" cm="1">
        <f t="array" ref="S5">((2*ttotal6)/(3*s_t))*(st_b[[#This Row],[s(tb)]]+(s_t/4))</f>
        <v>5.6296296296296289E-2</v>
      </c>
      <c r="T5" s="3" cm="1">
        <f t="array" ref="T5">((2*ttotal7)/(3*s_t))*(st_b[[#This Row],[s(tb)]]+(s_t/4))</f>
        <v>4.825396825396825E-2</v>
      </c>
      <c r="U5" s="3" cm="1">
        <f t="array" ref="U5">((2*ttotal8)/(3*s_t))*(st_b[[#This Row],[s(tb)]]+(s_t/4))</f>
        <v>4.2222222222222223E-2</v>
      </c>
      <c r="V5" s="3" cm="1">
        <f t="array" ref="V5">((2*ttotal9)/(3*s_t))*(st_b[[#This Row],[s(tb)]]+(s_t/4))</f>
        <v>3.7530864197530857E-2</v>
      </c>
      <c r="W5" s="3" cm="1">
        <f t="array" ref="W5">((2*ttotal10)/(3*s_t))*(st_b[[#This Row],[s(tb)]]+(s_t/4))</f>
        <v>3.3777777777777782E-2</v>
      </c>
      <c r="Y5" s="8">
        <v>2.2700000000000003E-3</v>
      </c>
      <c r="Z5" s="3" cm="1">
        <f t="array" ref="Z5">(-5*s_t/4)-Y5</f>
        <v>-6.0200000000000002E-3</v>
      </c>
      <c r="AA5" s="3">
        <f>(-INDEX(Overview[b],1)+SQRT(POWER(INDEX(Overview[b],1),2)-(4*INDEX(Overview[a],1)*st_c[[#This Row],[c]])))/(2*INDEX(Overview[a],1))</f>
        <v>0.67114114251225032</v>
      </c>
      <c r="AB5" s="3">
        <f>(-INDEX(Overview[b],2)+SQRT(POWER(INDEX(Overview[b],2),2)-(4*INDEX(Overview[a],2)*st_c[[#This Row],[c]])))/(2*INDEX(Overview[a],2))</f>
        <v>0.33557057125612516</v>
      </c>
      <c r="AC5" s="3">
        <f>(-INDEX(Overview[b],3)+SQRT(POWER(INDEX(Overview[b],3),2)-(4*INDEX(Overview[a],3)*st_c[[#This Row],[c]])))/(2*INDEX(Overview[a],3))</f>
        <v>0.22371371417074995</v>
      </c>
      <c r="AD5" s="3">
        <f>(-INDEX(Overview[b],4)+SQRT(POWER(INDEX(Overview[b],4),2)-(4*INDEX(Overview[a],4)*st_c[[#This Row],[c]])))/(2*INDEX(Overview[a],4))</f>
        <v>0.16778528562806258</v>
      </c>
      <c r="AE5" s="3">
        <f>(-INDEX(Overview[b],5)+SQRT(POWER(INDEX(Overview[b],5),2)-(4*INDEX(Overview[a],5)*st_c[[#This Row],[c]])))/(2*INDEX(Overview[a],5))</f>
        <v>0.13422822850245003</v>
      </c>
      <c r="AF5" s="3">
        <f>(-INDEX(Overview[b],6)+SQRT(POWER(INDEX(Overview[b],6),2)-(4*INDEX(Overview[a],6)*st_c[[#This Row],[c]])))/(2*INDEX(Overview[a],6))</f>
        <v>0.11185685708537497</v>
      </c>
      <c r="AG5" s="3">
        <f>(-INDEX(Overview[b],7)+SQRT(POWER(INDEX(Overview[b],7),2)-(4*INDEX(Overview[a],7)*st_c[[#This Row],[c]])))/(2*INDEX(Overview[a],7))</f>
        <v>9.5877306073178598E-2</v>
      </c>
      <c r="AH5" s="3">
        <f>(-INDEX(Overview[b],8)+SQRT(POWER(INDEX(Overview[b],8),2)-(4*INDEX(Overview[a],8)*st_c[[#This Row],[c]])))/(2*INDEX(Overview[a],8))</f>
        <v>8.389264281403129E-2</v>
      </c>
      <c r="AI5" s="3">
        <f>(-INDEX(Overview[b],9)+SQRT(POWER(INDEX(Overview[b],9),2)-(4*INDEX(Overview[a],9)*st_c[[#This Row],[c]])))/(2*INDEX(Overview[a],9))</f>
        <v>7.4571238056916678E-2</v>
      </c>
      <c r="AJ5" s="19">
        <f>(-INDEX(Overview[b],10)+SQRT(POWER(INDEX(Overview[b],10),2)-(4*INDEX(Overview[a],10)*st_c[[#This Row],[c]])))/(2*INDEX(Overview[a],10))</f>
        <v>6.7114114251225016E-2</v>
      </c>
    </row>
    <row r="6" spans="1:36" x14ac:dyDescent="0.25">
      <c r="A6" s="2">
        <v>3.0000000000000004E-5</v>
      </c>
      <c r="B6" s="3" cm="1">
        <f t="array" ref="B6">SQRT((4*POWER(ttotal1,2)*st_a[[#This Row],[s(ta)]])/(9*s_t))</f>
        <v>6.666666666666668E-2</v>
      </c>
      <c r="C6" s="3" cm="1">
        <f t="array" ref="C6">SQRT((4*POWER(ttotal2,2)*st_a[[#This Row],[s(ta)]])/(9*s_t))</f>
        <v>3.333333333333334E-2</v>
      </c>
      <c r="D6" s="3" cm="1">
        <f t="array" ref="D6">SQRT((4*POWER(ttotal3,2)*st_a[[#This Row],[s(ta)]])/(9*s_t))</f>
        <v>2.2222222222222227E-2</v>
      </c>
      <c r="E6" s="3" cm="1">
        <f t="array" ref="E6">SQRT((4*POWER(ttotal4,2)*st_a[[#This Row],[s(ta)]])/(9*s_t))</f>
        <v>1.666666666666667E-2</v>
      </c>
      <c r="F6" s="3" cm="1">
        <f t="array" ref="F6">SQRT((4*POWER(ttotal5,2)*st_a[[#This Row],[s(ta)]])/(9*s_t))</f>
        <v>1.3333333333333336E-2</v>
      </c>
      <c r="G6" s="3" cm="1">
        <f t="array" ref="G6">SQRT((4*POWER(ttotal6,2)*st_a[[#This Row],[s(ta)]])/(9*s_t))</f>
        <v>1.1111111111111113E-2</v>
      </c>
      <c r="H6" s="3" cm="1">
        <f t="array" ref="H6">SQRT((4*POWER(ttotal7,2)*st_a[[#This Row],[s(ta)]])/(9*s_t))</f>
        <v>9.5238095238095247E-3</v>
      </c>
      <c r="I6" s="3" cm="1">
        <f t="array" ref="I6">SQRT((4*POWER(ttotal8,2)*st_a[[#This Row],[s(ta)]])/(9*s_t))</f>
        <v>8.333333333333335E-3</v>
      </c>
      <c r="J6" s="3" cm="1">
        <f t="array" ref="J6">SQRT((4*POWER(ttotal9,2)*st_a[[#This Row],[s(ta)]])/(9*s_t))</f>
        <v>7.4074074074074077E-3</v>
      </c>
      <c r="K6" s="3" cm="1">
        <f t="array" ref="K6">SQRT((4*POWER(ttotal10,2)*st_a[[#This Row],[s(ta)]])/(9*s_t))</f>
        <v>6.666666666666668E-3</v>
      </c>
      <c r="M6" s="8">
        <v>7.8000000000000009E-4</v>
      </c>
      <c r="N6" s="3" cm="1">
        <f t="array" ref="N6">((2*ttotal1)/(3*s_t))*(st_b[[#This Row],[s(tb)]]+(s_t/4))</f>
        <v>0.33999999999999997</v>
      </c>
      <c r="O6" s="3" cm="1">
        <f t="array" ref="O6">((2*ttotal2)/(3*s_t))*(st_b[[#This Row],[s(tb)]]+(s_t/4))</f>
        <v>0.16999999999999998</v>
      </c>
      <c r="P6" s="3" cm="1">
        <f t="array" ref="P6">((2*ttotal3)/(3*s_t))*(st_b[[#This Row],[s(tb)]]+(s_t/4))</f>
        <v>0.11333333333333333</v>
      </c>
      <c r="Q6" s="3" cm="1">
        <f t="array" ref="Q6">((2*ttotal4)/(3*s_t))*(st_b[[#This Row],[s(tb)]]+(s_t/4))</f>
        <v>8.4999999999999992E-2</v>
      </c>
      <c r="R6" s="3" cm="1">
        <f t="array" ref="R6">((2*ttotal5)/(3*s_t))*(st_b[[#This Row],[s(tb)]]+(s_t/4))</f>
        <v>6.8000000000000005E-2</v>
      </c>
      <c r="S6" s="3" cm="1">
        <f t="array" ref="S6">((2*ttotal6)/(3*s_t))*(st_b[[#This Row],[s(tb)]]+(s_t/4))</f>
        <v>5.6666666666666664E-2</v>
      </c>
      <c r="T6" s="3" cm="1">
        <f t="array" ref="T6">((2*ttotal7)/(3*s_t))*(st_b[[#This Row],[s(tb)]]+(s_t/4))</f>
        <v>4.8571428571428564E-2</v>
      </c>
      <c r="U6" s="3" cm="1">
        <f t="array" ref="U6">((2*ttotal8)/(3*s_t))*(st_b[[#This Row],[s(tb)]]+(s_t/4))</f>
        <v>4.2499999999999996E-2</v>
      </c>
      <c r="V6" s="3" cm="1">
        <f t="array" ref="V6">((2*ttotal9)/(3*s_t))*(st_b[[#This Row],[s(tb)]]+(s_t/4))</f>
        <v>3.7777777777777771E-2</v>
      </c>
      <c r="W6" s="3" cm="1">
        <f t="array" ref="W6">((2*ttotal10)/(3*s_t))*(st_b[[#This Row],[s(tb)]]+(s_t/4))</f>
        <v>3.4000000000000002E-2</v>
      </c>
      <c r="Y6" s="8">
        <v>2.2800000000000003E-3</v>
      </c>
      <c r="Z6" s="3" cm="1">
        <f t="array" ref="Z6">(-5*s_t/4)-Y6</f>
        <v>-6.0300000000000006E-3</v>
      </c>
      <c r="AA6" s="3">
        <f>(-INDEX(Overview[b],1)+SQRT(POWER(INDEX(Overview[b],1),2)-(4*INDEX(Overview[a],1)*st_c[[#This Row],[c]])))/(2*INDEX(Overview[a],1))</f>
        <v>0.6734013676289099</v>
      </c>
      <c r="AB6" s="3">
        <f>(-INDEX(Overview[b],2)+SQRT(POWER(INDEX(Overview[b],2),2)-(4*INDEX(Overview[a],2)*st_c[[#This Row],[c]])))/(2*INDEX(Overview[a],2))</f>
        <v>0.33670068381445495</v>
      </c>
      <c r="AC6" s="3">
        <f>(-INDEX(Overview[b],3)+SQRT(POWER(INDEX(Overview[b],3),2)-(4*INDEX(Overview[a],3)*st_c[[#This Row],[c]])))/(2*INDEX(Overview[a],3))</f>
        <v>0.22446712254296983</v>
      </c>
      <c r="AD6" s="3">
        <f>(-INDEX(Overview[b],4)+SQRT(POWER(INDEX(Overview[b],4),2)-(4*INDEX(Overview[a],4)*st_c[[#This Row],[c]])))/(2*INDEX(Overview[a],4))</f>
        <v>0.16835034190722747</v>
      </c>
      <c r="AE6" s="3">
        <f>(-INDEX(Overview[b],5)+SQRT(POWER(INDEX(Overview[b],5),2)-(4*INDEX(Overview[a],5)*st_c[[#This Row],[c]])))/(2*INDEX(Overview[a],5))</f>
        <v>0.13468027352578188</v>
      </c>
      <c r="AF6" s="3">
        <f>(-INDEX(Overview[b],6)+SQRT(POWER(INDEX(Overview[b],6),2)-(4*INDEX(Overview[a],6)*st_c[[#This Row],[c]])))/(2*INDEX(Overview[a],6))</f>
        <v>0.11223356127148491</v>
      </c>
      <c r="AG6" s="3">
        <f>(-INDEX(Overview[b],7)+SQRT(POWER(INDEX(Overview[b],7),2)-(4*INDEX(Overview[a],7)*st_c[[#This Row],[c]])))/(2*INDEX(Overview[a],7))</f>
        <v>9.6200195375558559E-2</v>
      </c>
      <c r="AH6" s="3">
        <f>(-INDEX(Overview[b],8)+SQRT(POWER(INDEX(Overview[b],8),2)-(4*INDEX(Overview[a],8)*st_c[[#This Row],[c]])))/(2*INDEX(Overview[a],8))</f>
        <v>8.4175170953613737E-2</v>
      </c>
      <c r="AI6" s="3">
        <f>(-INDEX(Overview[b],9)+SQRT(POWER(INDEX(Overview[b],9),2)-(4*INDEX(Overview[a],9)*st_c[[#This Row],[c]])))/(2*INDEX(Overview[a],9))</f>
        <v>7.4822374180989942E-2</v>
      </c>
      <c r="AJ6" s="19">
        <f>(-INDEX(Overview[b],10)+SQRT(POWER(INDEX(Overview[b],10),2)-(4*INDEX(Overview[a],10)*st_c[[#This Row],[c]])))/(2*INDEX(Overview[a],10))</f>
        <v>6.734013676289094E-2</v>
      </c>
    </row>
    <row r="7" spans="1:36" x14ac:dyDescent="0.25">
      <c r="A7" s="2">
        <v>4.0000000000000003E-5</v>
      </c>
      <c r="B7" s="3" cm="1">
        <f t="array" ref="B7">SQRT((4*POWER(ttotal1,2)*st_a[[#This Row],[s(ta)]])/(9*s_t))</f>
        <v>7.6980035891950099E-2</v>
      </c>
      <c r="C7" s="3" cm="1">
        <f t="array" ref="C7">SQRT((4*POWER(ttotal2,2)*st_a[[#This Row],[s(ta)]])/(9*s_t))</f>
        <v>3.849001794597505E-2</v>
      </c>
      <c r="D7" s="3" cm="1">
        <f t="array" ref="D7">SQRT((4*POWER(ttotal3,2)*st_a[[#This Row],[s(ta)]])/(9*s_t))</f>
        <v>2.5660011963983365E-2</v>
      </c>
      <c r="E7" s="3" cm="1">
        <f t="array" ref="E7">SQRT((4*POWER(ttotal4,2)*st_a[[#This Row],[s(ta)]])/(9*s_t))</f>
        <v>1.9245008972987525E-2</v>
      </c>
      <c r="F7" s="3" cm="1">
        <f t="array" ref="F7">SQRT((4*POWER(ttotal5,2)*st_a[[#This Row],[s(ta)]])/(9*s_t))</f>
        <v>1.5396007178390023E-2</v>
      </c>
      <c r="G7" s="3" cm="1">
        <f t="array" ref="G7">SQRT((4*POWER(ttotal6,2)*st_a[[#This Row],[s(ta)]])/(9*s_t))</f>
        <v>1.2830005981991683E-2</v>
      </c>
      <c r="H7" s="3" cm="1">
        <f t="array" ref="H7">SQRT((4*POWER(ttotal7,2)*st_a[[#This Row],[s(ta)]])/(9*s_t))</f>
        <v>1.09971479845643E-2</v>
      </c>
      <c r="I7" s="3" cm="1">
        <f t="array" ref="I7">SQRT((4*POWER(ttotal8,2)*st_a[[#This Row],[s(ta)]])/(9*s_t))</f>
        <v>9.6225044864937624E-3</v>
      </c>
      <c r="J7" s="3" cm="1">
        <f t="array" ref="J7">SQRT((4*POWER(ttotal9,2)*st_a[[#This Row],[s(ta)]])/(9*s_t))</f>
        <v>8.5533373213277884E-3</v>
      </c>
      <c r="K7" s="3" cm="1">
        <f t="array" ref="K7">SQRT((4*POWER(ttotal10,2)*st_a[[#This Row],[s(ta)]])/(9*s_t))</f>
        <v>7.6980035891950115E-3</v>
      </c>
      <c r="M7" s="8">
        <v>7.9000000000000001E-4</v>
      </c>
      <c r="N7" s="3" cm="1">
        <f t="array" ref="N7">((2*ttotal1)/(3*s_t))*(st_b[[#This Row],[s(tb)]]+(s_t/4))</f>
        <v>0.34222222222222221</v>
      </c>
      <c r="O7" s="3" cm="1">
        <f t="array" ref="O7">((2*ttotal2)/(3*s_t))*(st_b[[#This Row],[s(tb)]]+(s_t/4))</f>
        <v>0.1711111111111111</v>
      </c>
      <c r="P7" s="3" cm="1">
        <f t="array" ref="P7">((2*ttotal3)/(3*s_t))*(st_b[[#This Row],[s(tb)]]+(s_t/4))</f>
        <v>0.11407407407407406</v>
      </c>
      <c r="Q7" s="3" cm="1">
        <f t="array" ref="Q7">((2*ttotal4)/(3*s_t))*(st_b[[#This Row],[s(tb)]]+(s_t/4))</f>
        <v>8.5555555555555551E-2</v>
      </c>
      <c r="R7" s="3" cm="1">
        <f t="array" ref="R7">((2*ttotal5)/(3*s_t))*(st_b[[#This Row],[s(tb)]]+(s_t/4))</f>
        <v>6.8444444444444447E-2</v>
      </c>
      <c r="S7" s="3" cm="1">
        <f t="array" ref="S7">((2*ttotal6)/(3*s_t))*(st_b[[#This Row],[s(tb)]]+(s_t/4))</f>
        <v>5.7037037037037032E-2</v>
      </c>
      <c r="T7" s="3" cm="1">
        <f t="array" ref="T7">((2*ttotal7)/(3*s_t))*(st_b[[#This Row],[s(tb)]]+(s_t/4))</f>
        <v>4.8888888888888885E-2</v>
      </c>
      <c r="U7" s="3" cm="1">
        <f t="array" ref="U7">((2*ttotal8)/(3*s_t))*(st_b[[#This Row],[s(tb)]]+(s_t/4))</f>
        <v>4.2777777777777776E-2</v>
      </c>
      <c r="V7" s="3" cm="1">
        <f t="array" ref="V7">((2*ttotal9)/(3*s_t))*(st_b[[#This Row],[s(tb)]]+(s_t/4))</f>
        <v>3.8024691358024686E-2</v>
      </c>
      <c r="W7" s="3" cm="1">
        <f t="array" ref="W7">((2*ttotal10)/(3*s_t))*(st_b[[#This Row],[s(tb)]]+(s_t/4))</f>
        <v>3.4222222222222223E-2</v>
      </c>
      <c r="Y7" s="8">
        <v>2.2900000000000004E-3</v>
      </c>
      <c r="Z7" s="3" cm="1">
        <f t="array" ref="Z7">(-5*s_t/4)-Y7</f>
        <v>-6.0400000000000002E-3</v>
      </c>
      <c r="AA7" s="3">
        <f>(-INDEX(Overview[b],1)+SQRT(POWER(INDEX(Overview[b],1),2)-(4*INDEX(Overview[a],1)*st_c[[#This Row],[c]])))/(2*INDEX(Overview[a],1))</f>
        <v>0.67567734401496859</v>
      </c>
      <c r="AB7" s="3">
        <f>(-INDEX(Overview[b],2)+SQRT(POWER(INDEX(Overview[b],2),2)-(4*INDEX(Overview[a],2)*st_c[[#This Row],[c]])))/(2*INDEX(Overview[a],2))</f>
        <v>0.3378386720074843</v>
      </c>
      <c r="AC7" s="3">
        <f>(-INDEX(Overview[b],3)+SQRT(POWER(INDEX(Overview[b],3),2)-(4*INDEX(Overview[a],3)*st_c[[#This Row],[c]])))/(2*INDEX(Overview[a],3))</f>
        <v>0.22522578133832269</v>
      </c>
      <c r="AD7" s="3">
        <f>(-INDEX(Overview[b],4)+SQRT(POWER(INDEX(Overview[b],4),2)-(4*INDEX(Overview[a],4)*st_c[[#This Row],[c]])))/(2*INDEX(Overview[a],4))</f>
        <v>0.16891933600374215</v>
      </c>
      <c r="AE7" s="3">
        <f>(-INDEX(Overview[b],5)+SQRT(POWER(INDEX(Overview[b],5),2)-(4*INDEX(Overview[a],5)*st_c[[#This Row],[c]])))/(2*INDEX(Overview[a],5))</f>
        <v>0.13513546880299362</v>
      </c>
      <c r="AF7" s="3">
        <f>(-INDEX(Overview[b],6)+SQRT(POWER(INDEX(Overview[b],6),2)-(4*INDEX(Overview[a],6)*st_c[[#This Row],[c]])))/(2*INDEX(Overview[a],6))</f>
        <v>0.11261289066916134</v>
      </c>
      <c r="AG7" s="3">
        <f>(-INDEX(Overview[b],7)+SQRT(POWER(INDEX(Overview[b],7),2)-(4*INDEX(Overview[a],7)*st_c[[#This Row],[c]])))/(2*INDEX(Overview[a],7))</f>
        <v>9.6525334859281206E-2</v>
      </c>
      <c r="AH7" s="3">
        <f>(-INDEX(Overview[b],8)+SQRT(POWER(INDEX(Overview[b],8),2)-(4*INDEX(Overview[a],8)*st_c[[#This Row],[c]])))/(2*INDEX(Overview[a],8))</f>
        <v>8.4459668001871074E-2</v>
      </c>
      <c r="AI7" s="3">
        <f>(-INDEX(Overview[b],9)+SQRT(POWER(INDEX(Overview[b],9),2)-(4*INDEX(Overview[a],9)*st_c[[#This Row],[c]])))/(2*INDEX(Overview[a],9))</f>
        <v>7.5075260446107586E-2</v>
      </c>
      <c r="AJ7" s="19">
        <f>(-INDEX(Overview[b],10)+SQRT(POWER(INDEX(Overview[b],10),2)-(4*INDEX(Overview[a],10)*st_c[[#This Row],[c]])))/(2*INDEX(Overview[a],10))</f>
        <v>6.7567734401496812E-2</v>
      </c>
    </row>
    <row r="8" spans="1:36" x14ac:dyDescent="0.25">
      <c r="A8" s="2">
        <v>5.0000000000000002E-5</v>
      </c>
      <c r="B8" s="3" cm="1">
        <f t="array" ref="B8">SQRT((4*POWER(ttotal1,2)*st_a[[#This Row],[s(ta)]])/(9*s_t))</f>
        <v>8.6066296582387042E-2</v>
      </c>
      <c r="C8" s="3" cm="1">
        <f t="array" ref="C8">SQRT((4*POWER(ttotal2,2)*st_a[[#This Row],[s(ta)]])/(9*s_t))</f>
        <v>4.3033148291193521E-2</v>
      </c>
      <c r="D8" s="3" cm="1">
        <f t="array" ref="D8">SQRT((4*POWER(ttotal3,2)*st_a[[#This Row],[s(ta)]])/(9*s_t))</f>
        <v>2.868876552746235E-2</v>
      </c>
      <c r="E8" s="3" cm="1">
        <f t="array" ref="E8">SQRT((4*POWER(ttotal4,2)*st_a[[#This Row],[s(ta)]])/(9*s_t))</f>
        <v>2.151657414559676E-2</v>
      </c>
      <c r="F8" s="3" cm="1">
        <f t="array" ref="F8">SQRT((4*POWER(ttotal5,2)*st_a[[#This Row],[s(ta)]])/(9*s_t))</f>
        <v>1.7213259316477408E-2</v>
      </c>
      <c r="G8" s="3" cm="1">
        <f t="array" ref="G8">SQRT((4*POWER(ttotal6,2)*st_a[[#This Row],[s(ta)]])/(9*s_t))</f>
        <v>1.4344382763731175E-2</v>
      </c>
      <c r="H8" s="3" cm="1">
        <f t="array" ref="H8">SQRT((4*POWER(ttotal7,2)*st_a[[#This Row],[s(ta)]])/(9*s_t))</f>
        <v>1.2295185226055291E-2</v>
      </c>
      <c r="I8" s="3" cm="1">
        <f t="array" ref="I8">SQRT((4*POWER(ttotal8,2)*st_a[[#This Row],[s(ta)]])/(9*s_t))</f>
        <v>1.075828707279838E-2</v>
      </c>
      <c r="J8" s="3" cm="1">
        <f t="array" ref="J8">SQRT((4*POWER(ttotal9,2)*st_a[[#This Row],[s(ta)]])/(9*s_t))</f>
        <v>9.5629218424874499E-3</v>
      </c>
      <c r="K8" s="3" cm="1">
        <f t="array" ref="K8">SQRT((4*POWER(ttotal10,2)*st_a[[#This Row],[s(ta)]])/(9*s_t))</f>
        <v>8.6066296582387042E-3</v>
      </c>
      <c r="M8" s="8">
        <v>8.0000000000000004E-4</v>
      </c>
      <c r="N8" s="3" cm="1">
        <f t="array" ref="N8">((2*ttotal1)/(3*s_t))*(st_b[[#This Row],[s(tb)]]+(s_t/4))</f>
        <v>0.34444444444444444</v>
      </c>
      <c r="O8" s="3" cm="1">
        <f t="array" ref="O8">((2*ttotal2)/(3*s_t))*(st_b[[#This Row],[s(tb)]]+(s_t/4))</f>
        <v>0.17222222222222222</v>
      </c>
      <c r="P8" s="3" cm="1">
        <f t="array" ref="P8">((2*ttotal3)/(3*s_t))*(st_b[[#This Row],[s(tb)]]+(s_t/4))</f>
        <v>0.11481481481481481</v>
      </c>
      <c r="Q8" s="3" cm="1">
        <f t="array" ref="Q8">((2*ttotal4)/(3*s_t))*(st_b[[#This Row],[s(tb)]]+(s_t/4))</f>
        <v>8.611111111111111E-2</v>
      </c>
      <c r="R8" s="3" cm="1">
        <f t="array" ref="R8">((2*ttotal5)/(3*s_t))*(st_b[[#This Row],[s(tb)]]+(s_t/4))</f>
        <v>6.8888888888888888E-2</v>
      </c>
      <c r="S8" s="3" cm="1">
        <f t="array" ref="S8">((2*ttotal6)/(3*s_t))*(st_b[[#This Row],[s(tb)]]+(s_t/4))</f>
        <v>5.7407407407407407E-2</v>
      </c>
      <c r="T8" s="3" cm="1">
        <f t="array" ref="T8">((2*ttotal7)/(3*s_t))*(st_b[[#This Row],[s(tb)]]+(s_t/4))</f>
        <v>4.9206349206349205E-2</v>
      </c>
      <c r="U8" s="3" cm="1">
        <f t="array" ref="U8">((2*ttotal8)/(3*s_t))*(st_b[[#This Row],[s(tb)]]+(s_t/4))</f>
        <v>4.3055555555555555E-2</v>
      </c>
      <c r="V8" s="3" cm="1">
        <f t="array" ref="V8">((2*ttotal9)/(3*s_t))*(st_b[[#This Row],[s(tb)]]+(s_t/4))</f>
        <v>3.82716049382716E-2</v>
      </c>
      <c r="W8" s="3" cm="1">
        <f t="array" ref="W8">((2*ttotal10)/(3*s_t))*(st_b[[#This Row],[s(tb)]]+(s_t/4))</f>
        <v>3.4444444444444444E-2</v>
      </c>
      <c r="Y8" s="8">
        <v>2.3000000000000004E-3</v>
      </c>
      <c r="Z8" s="3" cm="1">
        <f t="array" ref="Z8">(-5*s_t/4)-Y8</f>
        <v>-6.0499999999999998E-3</v>
      </c>
      <c r="AA8" s="3">
        <f>(-INDEX(Overview[b],1)+SQRT(POWER(INDEX(Overview[b],1),2)-(4*INDEX(Overview[a],1)*st_c[[#This Row],[c]])))/(2*INDEX(Overview[a],1))</f>
        <v>0.67796940564023478</v>
      </c>
      <c r="AB8" s="3">
        <f>(-INDEX(Overview[b],2)+SQRT(POWER(INDEX(Overview[b],2),2)-(4*INDEX(Overview[a],2)*st_c[[#This Row],[c]])))/(2*INDEX(Overview[a],2))</f>
        <v>0.33898470282011739</v>
      </c>
      <c r="AC8" s="3">
        <f>(-INDEX(Overview[b],3)+SQRT(POWER(INDEX(Overview[b],3),2)-(4*INDEX(Overview[a],3)*st_c[[#This Row],[c]])))/(2*INDEX(Overview[a],3))</f>
        <v>0.22598980188007811</v>
      </c>
      <c r="AD8" s="3">
        <f>(-INDEX(Overview[b],4)+SQRT(POWER(INDEX(Overview[b],4),2)-(4*INDEX(Overview[a],4)*st_c[[#This Row],[c]])))/(2*INDEX(Overview[a],4))</f>
        <v>0.16949235141005869</v>
      </c>
      <c r="AE8" s="3">
        <f>(-INDEX(Overview[b],5)+SQRT(POWER(INDEX(Overview[b],5),2)-(4*INDEX(Overview[a],5)*st_c[[#This Row],[c]])))/(2*INDEX(Overview[a],5))</f>
        <v>0.13559388112804688</v>
      </c>
      <c r="AF8" s="3">
        <f>(-INDEX(Overview[b],6)+SQRT(POWER(INDEX(Overview[b],6),2)-(4*INDEX(Overview[a],6)*st_c[[#This Row],[c]])))/(2*INDEX(Overview[a],6))</f>
        <v>0.11299490094003906</v>
      </c>
      <c r="AG8" s="3">
        <f>(-INDEX(Overview[b],7)+SQRT(POWER(INDEX(Overview[b],7),2)-(4*INDEX(Overview[a],7)*st_c[[#This Row],[c]])))/(2*INDEX(Overview[a],7))</f>
        <v>9.6852772234319248E-2</v>
      </c>
      <c r="AH8" s="3">
        <f>(-INDEX(Overview[b],8)+SQRT(POWER(INDEX(Overview[b],8),2)-(4*INDEX(Overview[a],8)*st_c[[#This Row],[c]])))/(2*INDEX(Overview[a],8))</f>
        <v>8.4746175705029347E-2</v>
      </c>
      <c r="AI8" s="3">
        <f>(-INDEX(Overview[b],9)+SQRT(POWER(INDEX(Overview[b],9),2)-(4*INDEX(Overview[a],9)*st_c[[#This Row],[c]])))/(2*INDEX(Overview[a],9))</f>
        <v>7.532993396002606E-2</v>
      </c>
      <c r="AJ8" s="19">
        <f>(-INDEX(Overview[b],10)+SQRT(POWER(INDEX(Overview[b],10),2)-(4*INDEX(Overview[a],10)*st_c[[#This Row],[c]])))/(2*INDEX(Overview[a],10))</f>
        <v>6.7796940564023439E-2</v>
      </c>
    </row>
    <row r="9" spans="1:36" x14ac:dyDescent="0.25">
      <c r="A9" s="2">
        <v>6.0000000000000008E-5</v>
      </c>
      <c r="B9" s="3" cm="1">
        <f t="array" ref="B9">SQRT((4*POWER(ttotal1,2)*st_a[[#This Row],[s(ta)]])/(9*s_t))</f>
        <v>9.428090415820635E-2</v>
      </c>
      <c r="C9" s="3" cm="1">
        <f t="array" ref="C9">SQRT((4*POWER(ttotal2,2)*st_a[[#This Row],[s(ta)]])/(9*s_t))</f>
        <v>4.7140452079103175E-2</v>
      </c>
      <c r="D9" s="3" cm="1">
        <f t="array" ref="D9">SQRT((4*POWER(ttotal3,2)*st_a[[#This Row],[s(ta)]])/(9*s_t))</f>
        <v>3.1426968052735448E-2</v>
      </c>
      <c r="E9" s="3" cm="1">
        <f t="array" ref="E9">SQRT((4*POWER(ttotal4,2)*st_a[[#This Row],[s(ta)]])/(9*s_t))</f>
        <v>2.3570226039551587E-2</v>
      </c>
      <c r="F9" s="3" cm="1">
        <f t="array" ref="F9">SQRT((4*POWER(ttotal5,2)*st_a[[#This Row],[s(ta)]])/(9*s_t))</f>
        <v>1.885618083164127E-2</v>
      </c>
      <c r="G9" s="3" cm="1">
        <f t="array" ref="G9">SQRT((4*POWER(ttotal6,2)*st_a[[#This Row],[s(ta)]])/(9*s_t))</f>
        <v>1.5713484026367724E-2</v>
      </c>
      <c r="H9" s="3" cm="1">
        <f t="array" ref="H9">SQRT((4*POWER(ttotal7,2)*st_a[[#This Row],[s(ta)]])/(9*s_t))</f>
        <v>1.3468700594029477E-2</v>
      </c>
      <c r="I9" s="3" cm="1">
        <f t="array" ref="I9">SQRT((4*POWER(ttotal8,2)*st_a[[#This Row],[s(ta)]])/(9*s_t))</f>
        <v>1.1785113019775794E-2</v>
      </c>
      <c r="J9" s="3" cm="1">
        <f t="array" ref="J9">SQRT((4*POWER(ttotal9,2)*st_a[[#This Row],[s(ta)]])/(9*s_t))</f>
        <v>1.0475656017578482E-2</v>
      </c>
      <c r="K9" s="3" cm="1">
        <f t="array" ref="K9">SQRT((4*POWER(ttotal10,2)*st_a[[#This Row],[s(ta)]])/(9*s_t))</f>
        <v>9.428090415820635E-3</v>
      </c>
      <c r="M9" s="8">
        <v>8.1000000000000006E-4</v>
      </c>
      <c r="N9" s="3" cm="1">
        <f t="array" ref="N9">((2*ttotal1)/(3*s_t))*(st_b[[#This Row],[s(tb)]]+(s_t/4))</f>
        <v>0.34666666666666668</v>
      </c>
      <c r="O9" s="3" cm="1">
        <f t="array" ref="O9">((2*ttotal2)/(3*s_t))*(st_b[[#This Row],[s(tb)]]+(s_t/4))</f>
        <v>0.17333333333333334</v>
      </c>
      <c r="P9" s="3" cm="1">
        <f t="array" ref="P9">((2*ttotal3)/(3*s_t))*(st_b[[#This Row],[s(tb)]]+(s_t/4))</f>
        <v>0.11555555555555555</v>
      </c>
      <c r="Q9" s="3" cm="1">
        <f t="array" ref="Q9">((2*ttotal4)/(3*s_t))*(st_b[[#This Row],[s(tb)]]+(s_t/4))</f>
        <v>8.666666666666667E-2</v>
      </c>
      <c r="R9" s="3" cm="1">
        <f t="array" ref="R9">((2*ttotal5)/(3*s_t))*(st_b[[#This Row],[s(tb)]]+(s_t/4))</f>
        <v>6.9333333333333344E-2</v>
      </c>
      <c r="S9" s="3" cm="1">
        <f t="array" ref="S9">((2*ttotal6)/(3*s_t))*(st_b[[#This Row],[s(tb)]]+(s_t/4))</f>
        <v>5.7777777777777775E-2</v>
      </c>
      <c r="T9" s="3" cm="1">
        <f t="array" ref="T9">((2*ttotal7)/(3*s_t))*(st_b[[#This Row],[s(tb)]]+(s_t/4))</f>
        <v>4.9523809523809519E-2</v>
      </c>
      <c r="U9" s="3" cm="1">
        <f t="array" ref="U9">((2*ttotal8)/(3*s_t))*(st_b[[#This Row],[s(tb)]]+(s_t/4))</f>
        <v>4.3333333333333335E-2</v>
      </c>
      <c r="V9" s="3" cm="1">
        <f t="array" ref="V9">((2*ttotal9)/(3*s_t))*(st_b[[#This Row],[s(tb)]]+(s_t/4))</f>
        <v>3.8518518518518514E-2</v>
      </c>
      <c r="W9" s="3" cm="1">
        <f t="array" ref="W9">((2*ttotal10)/(3*s_t))*(st_b[[#This Row],[s(tb)]]+(s_t/4))</f>
        <v>3.4666666666666672E-2</v>
      </c>
      <c r="Y9" s="8">
        <v>2.31E-3</v>
      </c>
      <c r="Z9" s="3" cm="1">
        <f t="array" ref="Z9">(-5*s_t/4)-Y9</f>
        <v>-6.0599999999999994E-3</v>
      </c>
      <c r="AA9" s="3">
        <f>(-INDEX(Overview[b],1)+SQRT(POWER(INDEX(Overview[b],1),2)-(4*INDEX(Overview[a],1)*st_c[[#This Row],[c]])))/(2*INDEX(Overview[a],1))</f>
        <v>0.68027789844581876</v>
      </c>
      <c r="AB9" s="3">
        <f>(-INDEX(Overview[b],2)+SQRT(POWER(INDEX(Overview[b],2),2)-(4*INDEX(Overview[a],2)*st_c[[#This Row],[c]])))/(2*INDEX(Overview[a],2))</f>
        <v>0.34013894922290938</v>
      </c>
      <c r="AC9" s="3">
        <f>(-INDEX(Overview[b],3)+SQRT(POWER(INDEX(Overview[b],3),2)-(4*INDEX(Overview[a],3)*st_c[[#This Row],[c]])))/(2*INDEX(Overview[a],3))</f>
        <v>0.2267592994819394</v>
      </c>
      <c r="AD9" s="3">
        <f>(-INDEX(Overview[b],4)+SQRT(POWER(INDEX(Overview[b],4),2)-(4*INDEX(Overview[a],4)*st_c[[#This Row],[c]])))/(2*INDEX(Overview[a],4))</f>
        <v>0.17006947461145469</v>
      </c>
      <c r="AE9" s="3">
        <f>(-INDEX(Overview[b],5)+SQRT(POWER(INDEX(Overview[b],5),2)-(4*INDEX(Overview[a],5)*st_c[[#This Row],[c]])))/(2*INDEX(Overview[a],5))</f>
        <v>0.13605557968916368</v>
      </c>
      <c r="AF9" s="3">
        <f>(-INDEX(Overview[b],6)+SQRT(POWER(INDEX(Overview[b],6),2)-(4*INDEX(Overview[a],6)*st_c[[#This Row],[c]])))/(2*INDEX(Overview[a],6))</f>
        <v>0.1133796497409697</v>
      </c>
      <c r="AG9" s="3">
        <f>(-INDEX(Overview[b],7)+SQRT(POWER(INDEX(Overview[b],7),2)-(4*INDEX(Overview[a],7)*st_c[[#This Row],[c]])))/(2*INDEX(Overview[a],7))</f>
        <v>9.7182556920831234E-2</v>
      </c>
      <c r="AH9" s="3">
        <f>(-INDEX(Overview[b],8)+SQRT(POWER(INDEX(Overview[b],8),2)-(4*INDEX(Overview[a],8)*st_c[[#This Row],[c]])))/(2*INDEX(Overview[a],8))</f>
        <v>8.5034737305727345E-2</v>
      </c>
      <c r="AI9" s="3">
        <f>(-INDEX(Overview[b],9)+SQRT(POWER(INDEX(Overview[b],9),2)-(4*INDEX(Overview[a],9)*st_c[[#This Row],[c]])))/(2*INDEX(Overview[a],9))</f>
        <v>7.5586433160646491E-2</v>
      </c>
      <c r="AJ9" s="19">
        <f>(-INDEX(Overview[b],10)+SQRT(POWER(INDEX(Overview[b],10),2)-(4*INDEX(Overview[a],10)*st_c[[#This Row],[c]])))/(2*INDEX(Overview[a],10))</f>
        <v>6.802778984458184E-2</v>
      </c>
    </row>
    <row r="10" spans="1:36" x14ac:dyDescent="0.25">
      <c r="A10" s="2">
        <v>7.0000000000000007E-5</v>
      </c>
      <c r="B10" s="3" cm="1">
        <f t="array" ref="B10">SQRT((4*POWER(ttotal1,2)*st_a[[#This Row],[s(ta)]])/(9*s_t))</f>
        <v>0.10183501544346311</v>
      </c>
      <c r="C10" s="3" cm="1">
        <f t="array" ref="C10">SQRT((4*POWER(ttotal2,2)*st_a[[#This Row],[s(ta)]])/(9*s_t))</f>
        <v>5.0917507721731557E-2</v>
      </c>
      <c r="D10" s="3" cm="1">
        <f t="array" ref="D10">SQRT((4*POWER(ttotal3,2)*st_a[[#This Row],[s(ta)]])/(9*s_t))</f>
        <v>3.394500514782104E-2</v>
      </c>
      <c r="E10" s="3" cm="1">
        <f t="array" ref="E10">SQRT((4*POWER(ttotal4,2)*st_a[[#This Row],[s(ta)]])/(9*s_t))</f>
        <v>2.5458753860865779E-2</v>
      </c>
      <c r="F10" s="3" cm="1">
        <f t="array" ref="F10">SQRT((4*POWER(ttotal5,2)*st_a[[#This Row],[s(ta)]])/(9*s_t))</f>
        <v>2.0367003088692624E-2</v>
      </c>
      <c r="G10" s="3" cm="1">
        <f t="array" ref="G10">SQRT((4*POWER(ttotal6,2)*st_a[[#This Row],[s(ta)]])/(9*s_t))</f>
        <v>1.697250257391052E-2</v>
      </c>
      <c r="H10" s="3" cm="1">
        <f t="array" ref="H10">SQRT((4*POWER(ttotal7,2)*st_a[[#This Row],[s(ta)]])/(9*s_t))</f>
        <v>1.4547859349066159E-2</v>
      </c>
      <c r="I10" s="3" cm="1">
        <f t="array" ref="I10">SQRT((4*POWER(ttotal8,2)*st_a[[#This Row],[s(ta)]])/(9*s_t))</f>
        <v>1.2729376930432889E-2</v>
      </c>
      <c r="J10" s="3" cm="1">
        <f t="array" ref="J10">SQRT((4*POWER(ttotal9,2)*st_a[[#This Row],[s(ta)]])/(9*s_t))</f>
        <v>1.1315001715940347E-2</v>
      </c>
      <c r="K10" s="3" cm="1">
        <f t="array" ref="K10">SQRT((4*POWER(ttotal10,2)*st_a[[#This Row],[s(ta)]])/(9*s_t))</f>
        <v>1.0183501544346312E-2</v>
      </c>
      <c r="M10" s="8">
        <v>8.2000000000000009E-4</v>
      </c>
      <c r="N10" s="3" cm="1">
        <f t="array" ref="N10">((2*ttotal1)/(3*s_t))*(st_b[[#This Row],[s(tb)]]+(s_t/4))</f>
        <v>0.34888888888888892</v>
      </c>
      <c r="O10" s="3" cm="1">
        <f t="array" ref="O10">((2*ttotal2)/(3*s_t))*(st_b[[#This Row],[s(tb)]]+(s_t/4))</f>
        <v>0.17444444444444446</v>
      </c>
      <c r="P10" s="3" cm="1">
        <f t="array" ref="P10">((2*ttotal3)/(3*s_t))*(st_b[[#This Row],[s(tb)]]+(s_t/4))</f>
        <v>0.11629629629629629</v>
      </c>
      <c r="Q10" s="3" cm="1">
        <f t="array" ref="Q10">((2*ttotal4)/(3*s_t))*(st_b[[#This Row],[s(tb)]]+(s_t/4))</f>
        <v>8.7222222222222229E-2</v>
      </c>
      <c r="R10" s="3" cm="1">
        <f t="array" ref="R10">((2*ttotal5)/(3*s_t))*(st_b[[#This Row],[s(tb)]]+(s_t/4))</f>
        <v>6.9777777777777786E-2</v>
      </c>
      <c r="S10" s="3" cm="1">
        <f t="array" ref="S10">((2*ttotal6)/(3*s_t))*(st_b[[#This Row],[s(tb)]]+(s_t/4))</f>
        <v>5.8148148148148143E-2</v>
      </c>
      <c r="T10" s="3" cm="1">
        <f t="array" ref="T10">((2*ttotal7)/(3*s_t))*(st_b[[#This Row],[s(tb)]]+(s_t/4))</f>
        <v>4.9841269841269839E-2</v>
      </c>
      <c r="U10" s="3" cm="1">
        <f t="array" ref="U10">((2*ttotal8)/(3*s_t))*(st_b[[#This Row],[s(tb)]]+(s_t/4))</f>
        <v>4.3611111111111114E-2</v>
      </c>
      <c r="V10" s="3" cm="1">
        <f t="array" ref="V10">((2*ttotal9)/(3*s_t))*(st_b[[#This Row],[s(tb)]]+(s_t/4))</f>
        <v>3.8765432098765429E-2</v>
      </c>
      <c r="W10" s="3" cm="1">
        <f t="array" ref="W10">((2*ttotal10)/(3*s_t))*(st_b[[#This Row],[s(tb)]]+(s_t/4))</f>
        <v>3.4888888888888893E-2</v>
      </c>
      <c r="Y10" s="8">
        <v>2.32E-3</v>
      </c>
      <c r="Z10" s="3" cm="1">
        <f t="array" ref="Z10">(-5*s_t/4)-Y10</f>
        <v>-6.0699999999999999E-3</v>
      </c>
      <c r="AA10" s="3">
        <f>(-INDEX(Overview[b],1)+SQRT(POWER(INDEX(Overview[b],1),2)-(4*INDEX(Overview[a],1)*st_c[[#This Row],[c]])))/(2*INDEX(Overview[a],1))</f>
        <v>0.68260318095365125</v>
      </c>
      <c r="AB10" s="3">
        <f>(-INDEX(Overview[b],2)+SQRT(POWER(INDEX(Overview[b],2),2)-(4*INDEX(Overview[a],2)*st_c[[#This Row],[c]])))/(2*INDEX(Overview[a],2))</f>
        <v>0.34130159047682562</v>
      </c>
      <c r="AC10" s="3">
        <f>(-INDEX(Overview[b],3)+SQRT(POWER(INDEX(Overview[b],3),2)-(4*INDEX(Overview[a],3)*st_c[[#This Row],[c]])))/(2*INDEX(Overview[a],3))</f>
        <v>0.22753439365121692</v>
      </c>
      <c r="AD10" s="3">
        <f>(-INDEX(Overview[b],4)+SQRT(POWER(INDEX(Overview[b],4),2)-(4*INDEX(Overview[a],4)*st_c[[#This Row],[c]])))/(2*INDEX(Overview[a],4))</f>
        <v>0.17065079523841281</v>
      </c>
      <c r="AE10" s="3">
        <f>(-INDEX(Overview[b],5)+SQRT(POWER(INDEX(Overview[b],5),2)-(4*INDEX(Overview[a],5)*st_c[[#This Row],[c]])))/(2*INDEX(Overview[a],5))</f>
        <v>0.13652063619073015</v>
      </c>
      <c r="AF10" s="3">
        <f>(-INDEX(Overview[b],6)+SQRT(POWER(INDEX(Overview[b],6),2)-(4*INDEX(Overview[a],6)*st_c[[#This Row],[c]])))/(2*INDEX(Overview[a],6))</f>
        <v>0.11376719682560846</v>
      </c>
      <c r="AG10" s="3">
        <f>(-INDEX(Overview[b],7)+SQRT(POWER(INDEX(Overview[b],7),2)-(4*INDEX(Overview[a],7)*st_c[[#This Row],[c]])))/(2*INDEX(Overview[a],7))</f>
        <v>9.7514740136235858E-2</v>
      </c>
      <c r="AH10" s="3">
        <f>(-INDEX(Overview[b],8)+SQRT(POWER(INDEX(Overview[b],8),2)-(4*INDEX(Overview[a],8)*st_c[[#This Row],[c]])))/(2*INDEX(Overview[a],8))</f>
        <v>8.5325397619206406E-2</v>
      </c>
      <c r="AI10" s="3">
        <f>(-INDEX(Overview[b],9)+SQRT(POWER(INDEX(Overview[b],9),2)-(4*INDEX(Overview[a],9)*st_c[[#This Row],[c]])))/(2*INDEX(Overview[a],9))</f>
        <v>7.5844797883739004E-2</v>
      </c>
      <c r="AJ10" s="19">
        <f>(-INDEX(Overview[b],10)+SQRT(POWER(INDEX(Overview[b],10),2)-(4*INDEX(Overview[a],10)*st_c[[#This Row],[c]])))/(2*INDEX(Overview[a],10))</f>
        <v>6.8260318095365077E-2</v>
      </c>
    </row>
    <row r="11" spans="1:36" x14ac:dyDescent="0.25">
      <c r="A11" s="2">
        <v>8.0000000000000007E-5</v>
      </c>
      <c r="B11" s="3" cm="1">
        <f t="array" ref="B11">SQRT((4*POWER(ttotal1,2)*st_a[[#This Row],[s(ta)]])/(9*s_t))</f>
        <v>0.10886621079036347</v>
      </c>
      <c r="C11" s="3" cm="1">
        <f t="array" ref="C11">SQRT((4*POWER(ttotal2,2)*st_a[[#This Row],[s(ta)]])/(9*s_t))</f>
        <v>5.4433105395181737E-2</v>
      </c>
      <c r="D11" s="3" cm="1">
        <f t="array" ref="D11">SQRT((4*POWER(ttotal3,2)*st_a[[#This Row],[s(ta)]])/(9*s_t))</f>
        <v>3.6288736930121156E-2</v>
      </c>
      <c r="E11" s="3" cm="1">
        <f t="array" ref="E11">SQRT((4*POWER(ttotal4,2)*st_a[[#This Row],[s(ta)]])/(9*s_t))</f>
        <v>2.7216552697590869E-2</v>
      </c>
      <c r="F11" s="3" cm="1">
        <f t="array" ref="F11">SQRT((4*POWER(ttotal5,2)*st_a[[#This Row],[s(ta)]])/(9*s_t))</f>
        <v>2.1773242158072696E-2</v>
      </c>
      <c r="G11" s="3" cm="1">
        <f t="array" ref="G11">SQRT((4*POWER(ttotal6,2)*st_a[[#This Row],[s(ta)]])/(9*s_t))</f>
        <v>1.8144368465060578E-2</v>
      </c>
      <c r="H11" s="3" cm="1">
        <f t="array" ref="H11">SQRT((4*POWER(ttotal7,2)*st_a[[#This Row],[s(ta)]])/(9*s_t))</f>
        <v>1.5552315827194782E-2</v>
      </c>
      <c r="I11" s="3" cm="1">
        <f t="array" ref="I11">SQRT((4*POWER(ttotal8,2)*st_a[[#This Row],[s(ta)]])/(9*s_t))</f>
        <v>1.3608276348795434E-2</v>
      </c>
      <c r="J11" s="3" cm="1">
        <f t="array" ref="J11">SQRT((4*POWER(ttotal9,2)*st_a[[#This Row],[s(ta)]])/(9*s_t))</f>
        <v>1.2096245643373719E-2</v>
      </c>
      <c r="K11" s="3" cm="1">
        <f t="array" ref="K11">SQRT((4*POWER(ttotal10,2)*st_a[[#This Row],[s(ta)]])/(9*s_t))</f>
        <v>1.0886621079036348E-2</v>
      </c>
      <c r="M11" s="8">
        <v>8.3000000000000012E-4</v>
      </c>
      <c r="N11" s="3" cm="1">
        <f t="array" ref="N11">((2*ttotal1)/(3*s_t))*(st_b[[#This Row],[s(tb)]]+(s_t/4))</f>
        <v>0.35111111111111115</v>
      </c>
      <c r="O11" s="3" cm="1">
        <f t="array" ref="O11">((2*ttotal2)/(3*s_t))*(st_b[[#This Row],[s(tb)]]+(s_t/4))</f>
        <v>0.17555555555555558</v>
      </c>
      <c r="P11" s="3" cm="1">
        <f t="array" ref="P11">((2*ttotal3)/(3*s_t))*(st_b[[#This Row],[s(tb)]]+(s_t/4))</f>
        <v>0.11703703703703704</v>
      </c>
      <c r="Q11" s="3" cm="1">
        <f t="array" ref="Q11">((2*ttotal4)/(3*s_t))*(st_b[[#This Row],[s(tb)]]+(s_t/4))</f>
        <v>8.7777777777777788E-2</v>
      </c>
      <c r="R11" s="3" cm="1">
        <f t="array" ref="R11">((2*ttotal5)/(3*s_t))*(st_b[[#This Row],[s(tb)]]+(s_t/4))</f>
        <v>7.0222222222222228E-2</v>
      </c>
      <c r="S11" s="3" cm="1">
        <f t="array" ref="S11">((2*ttotal6)/(3*s_t))*(st_b[[#This Row],[s(tb)]]+(s_t/4))</f>
        <v>5.8518518518518518E-2</v>
      </c>
      <c r="T11" s="3" cm="1">
        <f t="array" ref="T11">((2*ttotal7)/(3*s_t))*(st_b[[#This Row],[s(tb)]]+(s_t/4))</f>
        <v>5.015873015873016E-2</v>
      </c>
      <c r="U11" s="3" cm="1">
        <f t="array" ref="U11">((2*ttotal8)/(3*s_t))*(st_b[[#This Row],[s(tb)]]+(s_t/4))</f>
        <v>4.3888888888888894E-2</v>
      </c>
      <c r="V11" s="3" cm="1">
        <f t="array" ref="V11">((2*ttotal9)/(3*s_t))*(st_b[[#This Row],[s(tb)]]+(s_t/4))</f>
        <v>3.9012345679012343E-2</v>
      </c>
      <c r="W11" s="3" cm="1">
        <f t="array" ref="W11">((2*ttotal10)/(3*s_t))*(st_b[[#This Row],[s(tb)]]+(s_t/4))</f>
        <v>3.5111111111111114E-2</v>
      </c>
      <c r="Y11" s="8">
        <v>2.33E-3</v>
      </c>
      <c r="Z11" s="3" cm="1">
        <f t="array" ref="Z11">(-5*s_t/4)-Y11</f>
        <v>-6.0800000000000003E-3</v>
      </c>
      <c r="AA11" s="3">
        <f>(-INDEX(Overview[b],1)+SQRT(POWER(INDEX(Overview[b],1),2)-(4*INDEX(Overview[a],1)*st_c[[#This Row],[c]])))/(2*INDEX(Overview[a],1))</f>
        <v>0.68494562491649291</v>
      </c>
      <c r="AB11" s="3">
        <f>(-INDEX(Overview[b],2)+SQRT(POWER(INDEX(Overview[b],2),2)-(4*INDEX(Overview[a],2)*st_c[[#This Row],[c]])))/(2*INDEX(Overview[a],2))</f>
        <v>0.34247281245824646</v>
      </c>
      <c r="AC11" s="3">
        <f>(-INDEX(Overview[b],3)+SQRT(POWER(INDEX(Overview[b],3),2)-(4*INDEX(Overview[a],3)*st_c[[#This Row],[c]])))/(2*INDEX(Overview[a],3))</f>
        <v>0.22831520830549751</v>
      </c>
      <c r="AD11" s="3">
        <f>(-INDEX(Overview[b],4)+SQRT(POWER(INDEX(Overview[b],4),2)-(4*INDEX(Overview[a],4)*st_c[[#This Row],[c]])))/(2*INDEX(Overview[a],4))</f>
        <v>0.17123640622912323</v>
      </c>
      <c r="AE11" s="3">
        <f>(-INDEX(Overview[b],5)+SQRT(POWER(INDEX(Overview[b],5),2)-(4*INDEX(Overview[a],5)*st_c[[#This Row],[c]])))/(2*INDEX(Overview[a],5))</f>
        <v>0.13698912498329852</v>
      </c>
      <c r="AF11" s="3">
        <f>(-INDEX(Overview[b],6)+SQRT(POWER(INDEX(Overview[b],6),2)-(4*INDEX(Overview[a],6)*st_c[[#This Row],[c]])))/(2*INDEX(Overview[a],6))</f>
        <v>0.11415760415274875</v>
      </c>
      <c r="AG11" s="3">
        <f>(-INDEX(Overview[b],7)+SQRT(POWER(INDEX(Overview[b],7),2)-(4*INDEX(Overview[a],7)*st_c[[#This Row],[c]])))/(2*INDEX(Overview[a],7))</f>
        <v>9.784937498807042E-2</v>
      </c>
      <c r="AH11" s="3">
        <f>(-INDEX(Overview[b],8)+SQRT(POWER(INDEX(Overview[b],8),2)-(4*INDEX(Overview[a],8)*st_c[[#This Row],[c]])))/(2*INDEX(Overview[a],8))</f>
        <v>8.5618203114561614E-2</v>
      </c>
      <c r="AI11" s="3">
        <f>(-INDEX(Overview[b],9)+SQRT(POWER(INDEX(Overview[b],9),2)-(4*INDEX(Overview[a],9)*st_c[[#This Row],[c]])))/(2*INDEX(Overview[a],9))</f>
        <v>7.6105069435165845E-2</v>
      </c>
      <c r="AJ11" s="19">
        <f>(-INDEX(Overview[b],10)+SQRT(POWER(INDEX(Overview[b],10),2)-(4*INDEX(Overview[a],10)*st_c[[#This Row],[c]])))/(2*INDEX(Overview[a],10))</f>
        <v>6.8494562491649258E-2</v>
      </c>
    </row>
    <row r="12" spans="1:36" x14ac:dyDescent="0.25">
      <c r="A12" s="2">
        <v>9.0000000000000006E-5</v>
      </c>
      <c r="B12" s="3" cm="1">
        <f t="array" ref="B12">SQRT((4*POWER(ttotal1,2)*st_a[[#This Row],[s(ta)]])/(9*s_t))</f>
        <v>0.11547005383792516</v>
      </c>
      <c r="C12" s="3" cm="1">
        <f t="array" ref="C12">SQRT((4*POWER(ttotal2,2)*st_a[[#This Row],[s(ta)]])/(9*s_t))</f>
        <v>5.7735026918962581E-2</v>
      </c>
      <c r="D12" s="3" cm="1">
        <f t="array" ref="D12">SQRT((4*POWER(ttotal3,2)*st_a[[#This Row],[s(ta)]])/(9*s_t))</f>
        <v>3.849001794597505E-2</v>
      </c>
      <c r="E12" s="3" cm="1">
        <f t="array" ref="E12">SQRT((4*POWER(ttotal4,2)*st_a[[#This Row],[s(ta)]])/(9*s_t))</f>
        <v>2.8867513459481291E-2</v>
      </c>
      <c r="F12" s="3" cm="1">
        <f t="array" ref="F12">SQRT((4*POWER(ttotal5,2)*st_a[[#This Row],[s(ta)]])/(9*s_t))</f>
        <v>2.3094010767585032E-2</v>
      </c>
      <c r="G12" s="3" cm="1">
        <f t="array" ref="G12">SQRT((4*POWER(ttotal6,2)*st_a[[#This Row],[s(ta)]])/(9*s_t))</f>
        <v>1.9245008972987525E-2</v>
      </c>
      <c r="H12" s="3" cm="1">
        <f t="array" ref="H12">SQRT((4*POWER(ttotal7,2)*st_a[[#This Row],[s(ta)]])/(9*s_t))</f>
        <v>1.6495721976846449E-2</v>
      </c>
      <c r="I12" s="3" cm="1">
        <f t="array" ref="I12">SQRT((4*POWER(ttotal8,2)*st_a[[#This Row],[s(ta)]])/(9*s_t))</f>
        <v>1.4433756729740645E-2</v>
      </c>
      <c r="J12" s="3" cm="1">
        <f t="array" ref="J12">SQRT((4*POWER(ttotal9,2)*st_a[[#This Row],[s(ta)]])/(9*s_t))</f>
        <v>1.2830005981991683E-2</v>
      </c>
      <c r="K12" s="3" cm="1">
        <f t="array" ref="K12">SQRT((4*POWER(ttotal10,2)*st_a[[#This Row],[s(ta)]])/(9*s_t))</f>
        <v>1.1547005383792516E-2</v>
      </c>
      <c r="M12" s="8">
        <v>8.4000000000000003E-4</v>
      </c>
      <c r="N12" s="3" cm="1">
        <f t="array" ref="N12">((2*ttotal1)/(3*s_t))*(st_b[[#This Row],[s(tb)]]+(s_t/4))</f>
        <v>0.35333333333333333</v>
      </c>
      <c r="O12" s="3" cm="1">
        <f t="array" ref="O12">((2*ttotal2)/(3*s_t))*(st_b[[#This Row],[s(tb)]]+(s_t/4))</f>
        <v>0.17666666666666667</v>
      </c>
      <c r="P12" s="3" cm="1">
        <f t="array" ref="P12">((2*ttotal3)/(3*s_t))*(st_b[[#This Row],[s(tb)]]+(s_t/4))</f>
        <v>0.11777777777777776</v>
      </c>
      <c r="Q12" s="3" cm="1">
        <f t="array" ref="Q12">((2*ttotal4)/(3*s_t))*(st_b[[#This Row],[s(tb)]]+(s_t/4))</f>
        <v>8.8333333333333333E-2</v>
      </c>
      <c r="R12" s="3" cm="1">
        <f t="array" ref="R12">((2*ttotal5)/(3*s_t))*(st_b[[#This Row],[s(tb)]]+(s_t/4))</f>
        <v>7.0666666666666669E-2</v>
      </c>
      <c r="S12" s="3" cm="1">
        <f t="array" ref="S12">((2*ttotal6)/(3*s_t))*(st_b[[#This Row],[s(tb)]]+(s_t/4))</f>
        <v>5.888888888888888E-2</v>
      </c>
      <c r="T12" s="3" cm="1">
        <f t="array" ref="T12">((2*ttotal7)/(3*s_t))*(st_b[[#This Row],[s(tb)]]+(s_t/4))</f>
        <v>5.0476190476190466E-2</v>
      </c>
      <c r="U12" s="3" cm="1">
        <f t="array" ref="U12">((2*ttotal8)/(3*s_t))*(st_b[[#This Row],[s(tb)]]+(s_t/4))</f>
        <v>4.4166666666666667E-2</v>
      </c>
      <c r="V12" s="3" cm="1">
        <f t="array" ref="V12">((2*ttotal9)/(3*s_t))*(st_b[[#This Row],[s(tb)]]+(s_t/4))</f>
        <v>3.9259259259259251E-2</v>
      </c>
      <c r="W12" s="3" cm="1">
        <f t="array" ref="W12">((2*ttotal10)/(3*s_t))*(st_b[[#This Row],[s(tb)]]+(s_t/4))</f>
        <v>3.5333333333333335E-2</v>
      </c>
      <c r="Y12" s="8">
        <v>2.3400000000000001E-3</v>
      </c>
      <c r="Z12" s="3" cm="1">
        <f t="array" ref="Z12">(-5*s_t/4)-Y12</f>
        <v>-6.0899999999999999E-3</v>
      </c>
      <c r="AA12" s="3">
        <f>(-INDEX(Overview[b],1)+SQRT(POWER(INDEX(Overview[b],1),2)-(4*INDEX(Overview[a],1)*st_c[[#This Row],[c]])))/(2*INDEX(Overview[a],1))</f>
        <v>0.68730561601177143</v>
      </c>
      <c r="AB12" s="3">
        <f>(-INDEX(Overview[b],2)+SQRT(POWER(INDEX(Overview[b],2),2)-(4*INDEX(Overview[a],2)*st_c[[#This Row],[c]])))/(2*INDEX(Overview[a],2))</f>
        <v>0.34365280800588571</v>
      </c>
      <c r="AC12" s="3">
        <f>(-INDEX(Overview[b],3)+SQRT(POWER(INDEX(Overview[b],3),2)-(4*INDEX(Overview[a],3)*st_c[[#This Row],[c]])))/(2*INDEX(Overview[a],3))</f>
        <v>0.22910187200392365</v>
      </c>
      <c r="AD12" s="3">
        <f>(-INDEX(Overview[b],4)+SQRT(POWER(INDEX(Overview[b],4),2)-(4*INDEX(Overview[a],4)*st_c[[#This Row],[c]])))/(2*INDEX(Overview[a],4))</f>
        <v>0.17182640400294286</v>
      </c>
      <c r="AE12" s="3">
        <f>(-INDEX(Overview[b],5)+SQRT(POWER(INDEX(Overview[b],5),2)-(4*INDEX(Overview[a],5)*st_c[[#This Row],[c]])))/(2*INDEX(Overview[a],5))</f>
        <v>0.13746112320235421</v>
      </c>
      <c r="AF12" s="3">
        <f>(-INDEX(Overview[b],6)+SQRT(POWER(INDEX(Overview[b],6),2)-(4*INDEX(Overview[a],6)*st_c[[#This Row],[c]])))/(2*INDEX(Overview[a],6))</f>
        <v>0.11455093600196183</v>
      </c>
      <c r="AG12" s="3">
        <f>(-INDEX(Overview[b],7)+SQRT(POWER(INDEX(Overview[b],7),2)-(4*INDEX(Overview[a],7)*st_c[[#This Row],[c]])))/(2*INDEX(Overview[a],7))</f>
        <v>9.81865165731102E-2</v>
      </c>
      <c r="AH12" s="3">
        <f>(-INDEX(Overview[b],8)+SQRT(POWER(INDEX(Overview[b],8),2)-(4*INDEX(Overview[a],8)*st_c[[#This Row],[c]])))/(2*INDEX(Overview[a],8))</f>
        <v>8.5913202001471428E-2</v>
      </c>
      <c r="AI12" s="3">
        <f>(-INDEX(Overview[b],9)+SQRT(POWER(INDEX(Overview[b],9),2)-(4*INDEX(Overview[a],9)*st_c[[#This Row],[c]])))/(2*INDEX(Overview[a],9))</f>
        <v>7.6367290667974583E-2</v>
      </c>
      <c r="AJ12" s="19">
        <f>(-INDEX(Overview[b],10)+SQRT(POWER(INDEX(Overview[b],10),2)-(4*INDEX(Overview[a],10)*st_c[[#This Row],[c]])))/(2*INDEX(Overview[a],10))</f>
        <v>6.8730561601177104E-2</v>
      </c>
    </row>
    <row r="13" spans="1:36" x14ac:dyDescent="0.25">
      <c r="A13" s="2">
        <v>1E-4</v>
      </c>
      <c r="B13" s="3" cm="1">
        <f t="array" ref="B13">SQRT((4*POWER(ttotal1,2)*st_a[[#This Row],[s(ta)]])/(9*s_t))</f>
        <v>0.12171612389003691</v>
      </c>
      <c r="C13" s="3" cm="1">
        <f t="array" ref="C13">SQRT((4*POWER(ttotal2,2)*st_a[[#This Row],[s(ta)]])/(9*s_t))</f>
        <v>6.0858061945018457E-2</v>
      </c>
      <c r="D13" s="3" cm="1">
        <f t="array" ref="D13">SQRT((4*POWER(ttotal3,2)*st_a[[#This Row],[s(ta)]])/(9*s_t))</f>
        <v>4.0572041296678976E-2</v>
      </c>
      <c r="E13" s="3" cm="1">
        <f t="array" ref="E13">SQRT((4*POWER(ttotal4,2)*st_a[[#This Row],[s(ta)]])/(9*s_t))</f>
        <v>3.0429030972509229E-2</v>
      </c>
      <c r="F13" s="3" cm="1">
        <f t="array" ref="F13">SQRT((4*POWER(ttotal5,2)*st_a[[#This Row],[s(ta)]])/(9*s_t))</f>
        <v>2.4343224778007384E-2</v>
      </c>
      <c r="G13" s="3" cm="1">
        <f t="array" ref="G13">SQRT((4*POWER(ttotal6,2)*st_a[[#This Row],[s(ta)]])/(9*s_t))</f>
        <v>2.0286020648339488E-2</v>
      </c>
      <c r="H13" s="3" cm="1">
        <f t="array" ref="H13">SQRT((4*POWER(ttotal7,2)*st_a[[#This Row],[s(ta)]])/(9*s_t))</f>
        <v>1.7388017698576702E-2</v>
      </c>
      <c r="I13" s="3" cm="1">
        <f t="array" ref="I13">SQRT((4*POWER(ttotal8,2)*st_a[[#This Row],[s(ta)]])/(9*s_t))</f>
        <v>1.5214515486254614E-2</v>
      </c>
      <c r="J13" s="3" cm="1">
        <f t="array" ref="J13">SQRT((4*POWER(ttotal9,2)*st_a[[#This Row],[s(ta)]])/(9*s_t))</f>
        <v>1.3524013765559657E-2</v>
      </c>
      <c r="K13" s="3" cm="1">
        <f t="array" ref="K13">SQRT((4*POWER(ttotal10,2)*st_a[[#This Row],[s(ta)]])/(9*s_t))</f>
        <v>1.2171612389003692E-2</v>
      </c>
      <c r="M13" s="8">
        <v>8.5000000000000006E-4</v>
      </c>
      <c r="N13" s="3" cm="1">
        <f t="array" ref="N13">((2*ttotal1)/(3*s_t))*(st_b[[#This Row],[s(tb)]]+(s_t/4))</f>
        <v>0.35555555555555551</v>
      </c>
      <c r="O13" s="3" cm="1">
        <f t="array" ref="O13">((2*ttotal2)/(3*s_t))*(st_b[[#This Row],[s(tb)]]+(s_t/4))</f>
        <v>0.17777777777777776</v>
      </c>
      <c r="P13" s="3" cm="1">
        <f t="array" ref="P13">((2*ttotal3)/(3*s_t))*(st_b[[#This Row],[s(tb)]]+(s_t/4))</f>
        <v>0.11851851851851851</v>
      </c>
      <c r="Q13" s="3" cm="1">
        <f t="array" ref="Q13">((2*ttotal4)/(3*s_t))*(st_b[[#This Row],[s(tb)]]+(s_t/4))</f>
        <v>8.8888888888888878E-2</v>
      </c>
      <c r="R13" s="3" cm="1">
        <f t="array" ref="R13">((2*ttotal5)/(3*s_t))*(st_b[[#This Row],[s(tb)]]+(s_t/4))</f>
        <v>7.1111111111111111E-2</v>
      </c>
      <c r="S13" s="3" cm="1">
        <f t="array" ref="S13">((2*ttotal6)/(3*s_t))*(st_b[[#This Row],[s(tb)]]+(s_t/4))</f>
        <v>5.9259259259259255E-2</v>
      </c>
      <c r="T13" s="3" cm="1">
        <f t="array" ref="T13">((2*ttotal7)/(3*s_t))*(st_b[[#This Row],[s(tb)]]+(s_t/4))</f>
        <v>5.0793650793650787E-2</v>
      </c>
      <c r="U13" s="3" cm="1">
        <f t="array" ref="U13">((2*ttotal8)/(3*s_t))*(st_b[[#This Row],[s(tb)]]+(s_t/4))</f>
        <v>4.4444444444444439E-2</v>
      </c>
      <c r="V13" s="3" cm="1">
        <f t="array" ref="V13">((2*ttotal9)/(3*s_t))*(st_b[[#This Row],[s(tb)]]+(s_t/4))</f>
        <v>3.9506172839506165E-2</v>
      </c>
      <c r="W13" s="3" cm="1">
        <f t="array" ref="W13">((2*ttotal10)/(3*s_t))*(st_b[[#This Row],[s(tb)]]+(s_t/4))</f>
        <v>3.5555555555555556E-2</v>
      </c>
      <c r="Y13" s="8">
        <v>2.3500000000000001E-3</v>
      </c>
      <c r="Z13" s="3" cm="1">
        <f t="array" ref="Z13">(-5*s_t/4)-Y13</f>
        <v>-6.0999999999999995E-3</v>
      </c>
      <c r="AA13" s="3">
        <f>(-INDEX(Overview[b],1)+SQRT(POWER(INDEX(Overview[b],1),2)-(4*INDEX(Overview[a],1)*st_c[[#This Row],[c]])))/(2*INDEX(Overview[a],1))</f>
        <v>0.68968355458291253</v>
      </c>
      <c r="AB13" s="3">
        <f>(-INDEX(Overview[b],2)+SQRT(POWER(INDEX(Overview[b],2),2)-(4*INDEX(Overview[a],2)*st_c[[#This Row],[c]])))/(2*INDEX(Overview[a],2))</f>
        <v>0.34484177729145626</v>
      </c>
      <c r="AC13" s="3">
        <f>(-INDEX(Overview[b],3)+SQRT(POWER(INDEX(Overview[b],3),2)-(4*INDEX(Overview[a],3)*st_c[[#This Row],[c]])))/(2*INDEX(Overview[a],3))</f>
        <v>0.22989451819430395</v>
      </c>
      <c r="AD13" s="3">
        <f>(-INDEX(Overview[b],4)+SQRT(POWER(INDEX(Overview[b],4),2)-(4*INDEX(Overview[a],4)*st_c[[#This Row],[c]])))/(2*INDEX(Overview[a],4))</f>
        <v>0.17242088864572813</v>
      </c>
      <c r="AE13" s="3">
        <f>(-INDEX(Overview[b],5)+SQRT(POWER(INDEX(Overview[b],5),2)-(4*INDEX(Overview[a],5)*st_c[[#This Row],[c]])))/(2*INDEX(Overview[a],5))</f>
        <v>0.13793671091658241</v>
      </c>
      <c r="AF13" s="3">
        <f>(-INDEX(Overview[b],6)+SQRT(POWER(INDEX(Overview[b],6),2)-(4*INDEX(Overview[a],6)*st_c[[#This Row],[c]])))/(2*INDEX(Overview[a],6))</f>
        <v>0.11494725909715198</v>
      </c>
      <c r="AG13" s="3">
        <f>(-INDEX(Overview[b],7)+SQRT(POWER(INDEX(Overview[b],7),2)-(4*INDEX(Overview[a],7)*st_c[[#This Row],[c]])))/(2*INDEX(Overview[a],7))</f>
        <v>9.8526222083273191E-2</v>
      </c>
      <c r="AH13" s="3">
        <f>(-INDEX(Overview[b],8)+SQRT(POWER(INDEX(Overview[b],8),2)-(4*INDEX(Overview[a],8)*st_c[[#This Row],[c]])))/(2*INDEX(Overview[a],8))</f>
        <v>8.6210444322864066E-2</v>
      </c>
      <c r="AI13" s="3">
        <f>(-INDEX(Overview[b],9)+SQRT(POWER(INDEX(Overview[b],9),2)-(4*INDEX(Overview[a],9)*st_c[[#This Row],[c]])))/(2*INDEX(Overview[a],9))</f>
        <v>7.6631506064768012E-2</v>
      </c>
      <c r="AJ13" s="19">
        <f>(-INDEX(Overview[b],10)+SQRT(POWER(INDEX(Overview[b],10),2)-(4*INDEX(Overview[a],10)*st_c[[#This Row],[c]])))/(2*INDEX(Overview[a],10))</f>
        <v>6.8968355458291206E-2</v>
      </c>
    </row>
    <row r="14" spans="1:36" x14ac:dyDescent="0.25">
      <c r="A14" s="2">
        <v>1.1E-4</v>
      </c>
      <c r="B14" s="3" cm="1">
        <f t="array" ref="B14">SQRT((4*POWER(ttotal1,2)*st_a[[#This Row],[s(ta)]])/(9*s_t))</f>
        <v>0.1276569477008451</v>
      </c>
      <c r="C14" s="3" cm="1">
        <f t="array" ref="C14">SQRT((4*POWER(ttotal2,2)*st_a[[#This Row],[s(ta)]])/(9*s_t))</f>
        <v>6.3828473850422549E-2</v>
      </c>
      <c r="D14" s="3" cm="1">
        <f t="array" ref="D14">SQRT((4*POWER(ttotal3,2)*st_a[[#This Row],[s(ta)]])/(9*s_t))</f>
        <v>4.2552315900281697E-2</v>
      </c>
      <c r="E14" s="3" cm="1">
        <f t="array" ref="E14">SQRT((4*POWER(ttotal4,2)*st_a[[#This Row],[s(ta)]])/(9*s_t))</f>
        <v>3.1914236925211274E-2</v>
      </c>
      <c r="F14" s="3" cm="1">
        <f t="array" ref="F14">SQRT((4*POWER(ttotal5,2)*st_a[[#This Row],[s(ta)]])/(9*s_t))</f>
        <v>2.5531389540169019E-2</v>
      </c>
      <c r="G14" s="3" cm="1">
        <f t="array" ref="G14">SQRT((4*POWER(ttotal6,2)*st_a[[#This Row],[s(ta)]])/(9*s_t))</f>
        <v>2.1276157950140848E-2</v>
      </c>
      <c r="H14" s="3" cm="1">
        <f t="array" ref="H14">SQRT((4*POWER(ttotal7,2)*st_a[[#This Row],[s(ta)]])/(9*s_t))</f>
        <v>1.823670681440644E-2</v>
      </c>
      <c r="I14" s="3" cm="1">
        <f t="array" ref="I14">SQRT((4*POWER(ttotal8,2)*st_a[[#This Row],[s(ta)]])/(9*s_t))</f>
        <v>1.5957118462605637E-2</v>
      </c>
      <c r="J14" s="3" cm="1">
        <f t="array" ref="J14">SQRT((4*POWER(ttotal9,2)*st_a[[#This Row],[s(ta)]])/(9*s_t))</f>
        <v>1.4184105300093897E-2</v>
      </c>
      <c r="K14" s="3" cm="1">
        <f t="array" ref="K14">SQRT((4*POWER(ttotal10,2)*st_a[[#This Row],[s(ta)]])/(9*s_t))</f>
        <v>1.2765694770084509E-2</v>
      </c>
      <c r="M14" s="8">
        <v>8.6000000000000009E-4</v>
      </c>
      <c r="N14" s="3" cm="1">
        <f t="array" ref="N14">((2*ttotal1)/(3*s_t))*(st_b[[#This Row],[s(tb)]]+(s_t/4))</f>
        <v>0.35777777777777775</v>
      </c>
      <c r="O14" s="3" cm="1">
        <f t="array" ref="O14">((2*ttotal2)/(3*s_t))*(st_b[[#This Row],[s(tb)]]+(s_t/4))</f>
        <v>0.17888888888888888</v>
      </c>
      <c r="P14" s="3" cm="1">
        <f t="array" ref="P14">((2*ttotal3)/(3*s_t))*(st_b[[#This Row],[s(tb)]]+(s_t/4))</f>
        <v>0.11925925925925925</v>
      </c>
      <c r="Q14" s="3" cm="1">
        <f t="array" ref="Q14">((2*ttotal4)/(3*s_t))*(st_b[[#This Row],[s(tb)]]+(s_t/4))</f>
        <v>8.9444444444444438E-2</v>
      </c>
      <c r="R14" s="3" cm="1">
        <f t="array" ref="R14">((2*ttotal5)/(3*s_t))*(st_b[[#This Row],[s(tb)]]+(s_t/4))</f>
        <v>7.1555555555555553E-2</v>
      </c>
      <c r="S14" s="3" cm="1">
        <f t="array" ref="S14">((2*ttotal6)/(3*s_t))*(st_b[[#This Row],[s(tb)]]+(s_t/4))</f>
        <v>5.9629629629629623E-2</v>
      </c>
      <c r="T14" s="3" cm="1">
        <f t="array" ref="T14">((2*ttotal7)/(3*s_t))*(st_b[[#This Row],[s(tb)]]+(s_t/4))</f>
        <v>5.1111111111111107E-2</v>
      </c>
      <c r="U14" s="3" cm="1">
        <f t="array" ref="U14">((2*ttotal8)/(3*s_t))*(st_b[[#This Row],[s(tb)]]+(s_t/4))</f>
        <v>4.4722222222222219E-2</v>
      </c>
      <c r="V14" s="3" cm="1">
        <f t="array" ref="V14">((2*ttotal9)/(3*s_t))*(st_b[[#This Row],[s(tb)]]+(s_t/4))</f>
        <v>3.9753086419753079E-2</v>
      </c>
      <c r="W14" s="3" cm="1">
        <f t="array" ref="W14">((2*ttotal10)/(3*s_t))*(st_b[[#This Row],[s(tb)]]+(s_t/4))</f>
        <v>3.5777777777777776E-2</v>
      </c>
      <c r="Y14" s="8">
        <v>2.3600000000000001E-3</v>
      </c>
      <c r="Z14" s="3" cm="1">
        <f t="array" ref="Z14">(-5*s_t/4)-Y14</f>
        <v>-6.11E-3</v>
      </c>
      <c r="AA14" s="3">
        <f>(-INDEX(Overview[b],1)+SQRT(POWER(INDEX(Overview[b],1),2)-(4*INDEX(Overview[a],1)*st_c[[#This Row],[c]])))/(2*INDEX(Overview[a],1))</f>
        <v>0.6920798564321996</v>
      </c>
      <c r="AB14" s="3">
        <f>(-INDEX(Overview[b],2)+SQRT(POWER(INDEX(Overview[b],2),2)-(4*INDEX(Overview[a],2)*st_c[[#This Row],[c]])))/(2*INDEX(Overview[a],2))</f>
        <v>0.3460399282160998</v>
      </c>
      <c r="AC14" s="3">
        <f>(-INDEX(Overview[b],3)+SQRT(POWER(INDEX(Overview[b],3),2)-(4*INDEX(Overview[a],3)*st_c[[#This Row],[c]])))/(2*INDEX(Overview[a],3))</f>
        <v>0.23069328547739973</v>
      </c>
      <c r="AD14" s="3">
        <f>(-INDEX(Overview[b],4)+SQRT(POWER(INDEX(Overview[b],4),2)-(4*INDEX(Overview[a],4)*st_c[[#This Row],[c]])))/(2*INDEX(Overview[a],4))</f>
        <v>0.1730199641080499</v>
      </c>
      <c r="AE14" s="3">
        <f>(-INDEX(Overview[b],5)+SQRT(POWER(INDEX(Overview[b],5),2)-(4*INDEX(Overview[a],5)*st_c[[#This Row],[c]])))/(2*INDEX(Overview[a],5))</f>
        <v>0.13841597128643984</v>
      </c>
      <c r="AF14" s="3">
        <f>(-INDEX(Overview[b],6)+SQRT(POWER(INDEX(Overview[b],6),2)-(4*INDEX(Overview[a],6)*st_c[[#This Row],[c]])))/(2*INDEX(Overview[a],6))</f>
        <v>0.11534664273869986</v>
      </c>
      <c r="AG14" s="3">
        <f>(-INDEX(Overview[b],7)+SQRT(POWER(INDEX(Overview[b],7),2)-(4*INDEX(Overview[a],7)*st_c[[#This Row],[c]])))/(2*INDEX(Overview[a],7))</f>
        <v>9.886855091888562E-2</v>
      </c>
      <c r="AH14" s="3">
        <f>(-INDEX(Overview[b],8)+SQRT(POWER(INDEX(Overview[b],8),2)-(4*INDEX(Overview[a],8)*st_c[[#This Row],[c]])))/(2*INDEX(Overview[a],8))</f>
        <v>8.650998205402495E-2</v>
      </c>
      <c r="AI14" s="3">
        <f>(-INDEX(Overview[b],9)+SQRT(POWER(INDEX(Overview[b],9),2)-(4*INDEX(Overview[a],9)*st_c[[#This Row],[c]])))/(2*INDEX(Overview[a],9))</f>
        <v>7.6897761825799951E-2</v>
      </c>
      <c r="AJ14" s="19">
        <f>(-INDEX(Overview[b],10)+SQRT(POWER(INDEX(Overview[b],10),2)-(4*INDEX(Overview[a],10)*st_c[[#This Row],[c]])))/(2*INDEX(Overview[a],10))</f>
        <v>6.9207985643219921E-2</v>
      </c>
    </row>
    <row r="15" spans="1:36" x14ac:dyDescent="0.25">
      <c r="A15" s="2">
        <v>1.2000000000000002E-4</v>
      </c>
      <c r="B15" s="3" cm="1">
        <f t="array" ref="B15">SQRT((4*POWER(ttotal1,2)*st_a[[#This Row],[s(ta)]])/(9*s_t))</f>
        <v>0.13333333333333336</v>
      </c>
      <c r="C15" s="3" cm="1">
        <f t="array" ref="C15">SQRT((4*POWER(ttotal2,2)*st_a[[#This Row],[s(ta)]])/(9*s_t))</f>
        <v>6.666666666666668E-2</v>
      </c>
      <c r="D15" s="3" cm="1">
        <f t="array" ref="D15">SQRT((4*POWER(ttotal3,2)*st_a[[#This Row],[s(ta)]])/(9*s_t))</f>
        <v>4.4444444444444453E-2</v>
      </c>
      <c r="E15" s="3" cm="1">
        <f t="array" ref="E15">SQRT((4*POWER(ttotal4,2)*st_a[[#This Row],[s(ta)]])/(9*s_t))</f>
        <v>3.333333333333334E-2</v>
      </c>
      <c r="F15" s="3" cm="1">
        <f t="array" ref="F15">SQRT((4*POWER(ttotal5,2)*st_a[[#This Row],[s(ta)]])/(9*s_t))</f>
        <v>2.6666666666666672E-2</v>
      </c>
      <c r="G15" s="3" cm="1">
        <f t="array" ref="G15">SQRT((4*POWER(ttotal6,2)*st_a[[#This Row],[s(ta)]])/(9*s_t))</f>
        <v>2.2222222222222227E-2</v>
      </c>
      <c r="H15" s="3" cm="1">
        <f t="array" ref="H15">SQRT((4*POWER(ttotal7,2)*st_a[[#This Row],[s(ta)]])/(9*s_t))</f>
        <v>1.9047619047619049E-2</v>
      </c>
      <c r="I15" s="3" cm="1">
        <f t="array" ref="I15">SQRT((4*POWER(ttotal8,2)*st_a[[#This Row],[s(ta)]])/(9*s_t))</f>
        <v>1.666666666666667E-2</v>
      </c>
      <c r="J15" s="3" cm="1">
        <f t="array" ref="J15">SQRT((4*POWER(ttotal9,2)*st_a[[#This Row],[s(ta)]])/(9*s_t))</f>
        <v>1.4814814814814815E-2</v>
      </c>
      <c r="K15" s="3" cm="1">
        <f t="array" ref="K15">SQRT((4*POWER(ttotal10,2)*st_a[[#This Row],[s(ta)]])/(9*s_t))</f>
        <v>1.3333333333333336E-2</v>
      </c>
      <c r="M15" s="8">
        <v>8.7000000000000011E-4</v>
      </c>
      <c r="N15" s="3" cm="1">
        <f t="array" ref="N15">((2*ttotal1)/(3*s_t))*(st_b[[#This Row],[s(tb)]]+(s_t/4))</f>
        <v>0.36</v>
      </c>
      <c r="O15" s="3" cm="1">
        <f t="array" ref="O15">((2*ttotal2)/(3*s_t))*(st_b[[#This Row],[s(tb)]]+(s_t/4))</f>
        <v>0.18</v>
      </c>
      <c r="P15" s="3" cm="1">
        <f t="array" ref="P15">((2*ttotal3)/(3*s_t))*(st_b[[#This Row],[s(tb)]]+(s_t/4))</f>
        <v>0.12</v>
      </c>
      <c r="Q15" s="3" cm="1">
        <f t="array" ref="Q15">((2*ttotal4)/(3*s_t))*(st_b[[#This Row],[s(tb)]]+(s_t/4))</f>
        <v>0.09</v>
      </c>
      <c r="R15" s="3" cm="1">
        <f t="array" ref="R15">((2*ttotal5)/(3*s_t))*(st_b[[#This Row],[s(tb)]]+(s_t/4))</f>
        <v>7.2000000000000008E-2</v>
      </c>
      <c r="S15" s="3" cm="1">
        <f t="array" ref="S15">((2*ttotal6)/(3*s_t))*(st_b[[#This Row],[s(tb)]]+(s_t/4))</f>
        <v>0.06</v>
      </c>
      <c r="T15" s="3" cm="1">
        <f t="array" ref="T15">((2*ttotal7)/(3*s_t))*(st_b[[#This Row],[s(tb)]]+(s_t/4))</f>
        <v>5.1428571428571421E-2</v>
      </c>
      <c r="U15" s="3" cm="1">
        <f t="array" ref="U15">((2*ttotal8)/(3*s_t))*(st_b[[#This Row],[s(tb)]]+(s_t/4))</f>
        <v>4.4999999999999998E-2</v>
      </c>
      <c r="V15" s="3" cm="1">
        <f t="array" ref="V15">((2*ttotal9)/(3*s_t))*(st_b[[#This Row],[s(tb)]]+(s_t/4))</f>
        <v>3.9999999999999994E-2</v>
      </c>
      <c r="W15" s="3" cm="1">
        <f t="array" ref="W15">((2*ttotal10)/(3*s_t))*(st_b[[#This Row],[s(tb)]]+(s_t/4))</f>
        <v>3.6000000000000004E-2</v>
      </c>
      <c r="Y15" s="8">
        <v>2.3700000000000001E-3</v>
      </c>
      <c r="Z15" s="3" cm="1">
        <f t="array" ref="Z15">(-5*s_t/4)-Y15</f>
        <v>-6.1200000000000004E-3</v>
      </c>
      <c r="AA15" s="3">
        <f>(-INDEX(Overview[b],1)+SQRT(POWER(INDEX(Overview[b],1),2)-(4*INDEX(Overview[a],1)*st_c[[#This Row],[c]])))/(2*INDEX(Overview[a],1))</f>
        <v>0.69449495366961089</v>
      </c>
      <c r="AB15" s="3">
        <f>(-INDEX(Overview[b],2)+SQRT(POWER(INDEX(Overview[b],2),2)-(4*INDEX(Overview[a],2)*st_c[[#This Row],[c]])))/(2*INDEX(Overview[a],2))</f>
        <v>0.34724747683480545</v>
      </c>
      <c r="AC15" s="3">
        <f>(-INDEX(Overview[b],3)+SQRT(POWER(INDEX(Overview[b],3),2)-(4*INDEX(Overview[a],3)*st_c[[#This Row],[c]])))/(2*INDEX(Overview[a],3))</f>
        <v>0.23149831788987013</v>
      </c>
      <c r="AD15" s="3">
        <f>(-INDEX(Overview[b],4)+SQRT(POWER(INDEX(Overview[b],4),2)-(4*INDEX(Overview[a],4)*st_c[[#This Row],[c]])))/(2*INDEX(Overview[a],4))</f>
        <v>0.17362373841740272</v>
      </c>
      <c r="AE15" s="3">
        <f>(-INDEX(Overview[b],5)+SQRT(POWER(INDEX(Overview[b],5),2)-(4*INDEX(Overview[a],5)*st_c[[#This Row],[c]])))/(2*INDEX(Overview[a],5))</f>
        <v>0.13889899073392212</v>
      </c>
      <c r="AF15" s="3">
        <f>(-INDEX(Overview[b],6)+SQRT(POWER(INDEX(Overview[b],6),2)-(4*INDEX(Overview[a],6)*st_c[[#This Row],[c]])))/(2*INDEX(Overview[a],6))</f>
        <v>0.11574915894493507</v>
      </c>
      <c r="AG15" s="3">
        <f>(-INDEX(Overview[b],7)+SQRT(POWER(INDEX(Overview[b],7),2)-(4*INDEX(Overview[a],7)*st_c[[#This Row],[c]])))/(2*INDEX(Overview[a],7))</f>
        <v>9.9213564809944393E-2</v>
      </c>
      <c r="AH15" s="3">
        <f>(-INDEX(Overview[b],8)+SQRT(POWER(INDEX(Overview[b],8),2)-(4*INDEX(Overview[a],8)*st_c[[#This Row],[c]])))/(2*INDEX(Overview[a],8))</f>
        <v>8.6811869208701362E-2</v>
      </c>
      <c r="AI15" s="3">
        <f>(-INDEX(Overview[b],9)+SQRT(POWER(INDEX(Overview[b],9),2)-(4*INDEX(Overview[a],9)*st_c[[#This Row],[c]])))/(2*INDEX(Overview[a],9))</f>
        <v>7.7166105963290085E-2</v>
      </c>
      <c r="AJ15" s="19">
        <f>(-INDEX(Overview[b],10)+SQRT(POWER(INDEX(Overview[b],10),2)-(4*INDEX(Overview[a],10)*st_c[[#This Row],[c]])))/(2*INDEX(Overview[a],10))</f>
        <v>6.9449495366961059E-2</v>
      </c>
    </row>
    <row r="16" spans="1:36" x14ac:dyDescent="0.25">
      <c r="A16" s="2">
        <v>1.3000000000000002E-4</v>
      </c>
      <c r="B16" s="3" cm="1">
        <f t="array" ref="B16">SQRT((4*POWER(ttotal1,2)*st_a[[#This Row],[s(ta)]])/(9*s_t))</f>
        <v>0.13877773329774218</v>
      </c>
      <c r="C16" s="3" cm="1">
        <f t="array" ref="C16">SQRT((4*POWER(ttotal2,2)*st_a[[#This Row],[s(ta)]])/(9*s_t))</f>
        <v>6.9388866648871089E-2</v>
      </c>
      <c r="D16" s="3" cm="1">
        <f t="array" ref="D16">SQRT((4*POWER(ttotal3,2)*st_a[[#This Row],[s(ta)]])/(9*s_t))</f>
        <v>4.6259244432580733E-2</v>
      </c>
      <c r="E16" s="3" cm="1">
        <f t="array" ref="E16">SQRT((4*POWER(ttotal4,2)*st_a[[#This Row],[s(ta)]])/(9*s_t))</f>
        <v>3.4694433324435545E-2</v>
      </c>
      <c r="F16" s="3" cm="1">
        <f t="array" ref="F16">SQRT((4*POWER(ttotal5,2)*st_a[[#This Row],[s(ta)]])/(9*s_t))</f>
        <v>2.7755546659548443E-2</v>
      </c>
      <c r="G16" s="3" cm="1">
        <f t="array" ref="G16">SQRT((4*POWER(ttotal6,2)*st_a[[#This Row],[s(ta)]])/(9*s_t))</f>
        <v>2.3129622216290367E-2</v>
      </c>
      <c r="H16" s="3" cm="1">
        <f t="array" ref="H16">SQRT((4*POWER(ttotal7,2)*st_a[[#This Row],[s(ta)]])/(9*s_t))</f>
        <v>1.9825390471106027E-2</v>
      </c>
      <c r="I16" s="3" cm="1">
        <f t="array" ref="I16">SQRT((4*POWER(ttotal8,2)*st_a[[#This Row],[s(ta)]])/(9*s_t))</f>
        <v>1.7347216662217772E-2</v>
      </c>
      <c r="J16" s="3" cm="1">
        <f t="array" ref="J16">SQRT((4*POWER(ttotal9,2)*st_a[[#This Row],[s(ta)]])/(9*s_t))</f>
        <v>1.5419748144193576E-2</v>
      </c>
      <c r="K16" s="3" cm="1">
        <f t="array" ref="K16">SQRT((4*POWER(ttotal10,2)*st_a[[#This Row],[s(ta)]])/(9*s_t))</f>
        <v>1.3877773329774221E-2</v>
      </c>
      <c r="M16" s="8">
        <v>8.8000000000000003E-4</v>
      </c>
      <c r="N16" s="3" cm="1">
        <f t="array" ref="N16">((2*ttotal1)/(3*s_t))*(st_b[[#This Row],[s(tb)]]+(s_t/4))</f>
        <v>0.36222222222222217</v>
      </c>
      <c r="O16" s="3" cm="1">
        <f t="array" ref="O16">((2*ttotal2)/(3*s_t))*(st_b[[#This Row],[s(tb)]]+(s_t/4))</f>
        <v>0.18111111111111108</v>
      </c>
      <c r="P16" s="3" cm="1">
        <f t="array" ref="P16">((2*ttotal3)/(3*s_t))*(st_b[[#This Row],[s(tb)]]+(s_t/4))</f>
        <v>0.12074074074074072</v>
      </c>
      <c r="Q16" s="3" cm="1">
        <f t="array" ref="Q16">((2*ttotal4)/(3*s_t))*(st_b[[#This Row],[s(tb)]]+(s_t/4))</f>
        <v>9.0555555555555542E-2</v>
      </c>
      <c r="R16" s="3" cm="1">
        <f t="array" ref="R16">((2*ttotal5)/(3*s_t))*(st_b[[#This Row],[s(tb)]]+(s_t/4))</f>
        <v>7.2444444444444436E-2</v>
      </c>
      <c r="S16" s="3" cm="1">
        <f t="array" ref="S16">((2*ttotal6)/(3*s_t))*(st_b[[#This Row],[s(tb)]]+(s_t/4))</f>
        <v>6.0370370370370359E-2</v>
      </c>
      <c r="T16" s="3" cm="1">
        <f t="array" ref="T16">((2*ttotal7)/(3*s_t))*(st_b[[#This Row],[s(tb)]]+(s_t/4))</f>
        <v>5.1746031746031734E-2</v>
      </c>
      <c r="U16" s="3" cm="1">
        <f t="array" ref="U16">((2*ttotal8)/(3*s_t))*(st_b[[#This Row],[s(tb)]]+(s_t/4))</f>
        <v>4.5277777777777771E-2</v>
      </c>
      <c r="V16" s="3" cm="1">
        <f t="array" ref="V16">((2*ttotal9)/(3*s_t))*(st_b[[#This Row],[s(tb)]]+(s_t/4))</f>
        <v>4.0246913580246908E-2</v>
      </c>
      <c r="W16" s="3" cm="1">
        <f t="array" ref="W16">((2*ttotal10)/(3*s_t))*(st_b[[#This Row],[s(tb)]]+(s_t/4))</f>
        <v>3.6222222222222218E-2</v>
      </c>
      <c r="Y16" s="8">
        <v>2.3800000000000002E-3</v>
      </c>
      <c r="Z16" s="3" cm="1">
        <f t="array" ref="Z16">(-5*s_t/4)-Y16</f>
        <v>-6.13E-3</v>
      </c>
      <c r="AA16" s="3">
        <f>(-INDEX(Overview[b],1)+SQRT(POWER(INDEX(Overview[b],1),2)-(4*INDEX(Overview[a],1)*st_c[[#This Row],[c]])))/(2*INDEX(Overview[a],1))</f>
        <v>0.69692929562253669</v>
      </c>
      <c r="AB16" s="3">
        <f>(-INDEX(Overview[b],2)+SQRT(POWER(INDEX(Overview[b],2),2)-(4*INDEX(Overview[a],2)*st_c[[#This Row],[c]])))/(2*INDEX(Overview[a],2))</f>
        <v>0.34846464781126835</v>
      </c>
      <c r="AC16" s="3">
        <f>(-INDEX(Overview[b],3)+SQRT(POWER(INDEX(Overview[b],3),2)-(4*INDEX(Overview[a],3)*st_c[[#This Row],[c]])))/(2*INDEX(Overview[a],3))</f>
        <v>0.23230976520751204</v>
      </c>
      <c r="AD16" s="3">
        <f>(-INDEX(Overview[b],4)+SQRT(POWER(INDEX(Overview[b],4),2)-(4*INDEX(Overview[a],4)*st_c[[#This Row],[c]])))/(2*INDEX(Overview[a],4))</f>
        <v>0.17423232390563417</v>
      </c>
      <c r="AE16" s="3">
        <f>(-INDEX(Overview[b],5)+SQRT(POWER(INDEX(Overview[b],5),2)-(4*INDEX(Overview[a],5)*st_c[[#This Row],[c]])))/(2*INDEX(Overview[a],5))</f>
        <v>0.13938585912450727</v>
      </c>
      <c r="AF16" s="3">
        <f>(-INDEX(Overview[b],6)+SQRT(POWER(INDEX(Overview[b],6),2)-(4*INDEX(Overview[a],6)*st_c[[#This Row],[c]])))/(2*INDEX(Overview[a],6))</f>
        <v>0.11615488260375602</v>
      </c>
      <c r="AG16" s="3">
        <f>(-INDEX(Overview[b],7)+SQRT(POWER(INDEX(Overview[b],7),2)-(4*INDEX(Overview[a],7)*st_c[[#This Row],[c]])))/(2*INDEX(Overview[a],7))</f>
        <v>9.9561327946076639E-2</v>
      </c>
      <c r="AH16" s="3">
        <f>(-INDEX(Overview[b],8)+SQRT(POWER(INDEX(Overview[b],8),2)-(4*INDEX(Overview[a],8)*st_c[[#This Row],[c]])))/(2*INDEX(Overview[a],8))</f>
        <v>8.7116161952817087E-2</v>
      </c>
      <c r="AI16" s="3">
        <f>(-INDEX(Overview[b],9)+SQRT(POWER(INDEX(Overview[b],9),2)-(4*INDEX(Overview[a],9)*st_c[[#This Row],[c]])))/(2*INDEX(Overview[a],9))</f>
        <v>7.7436588402504045E-2</v>
      </c>
      <c r="AJ16" s="19">
        <f>(-INDEX(Overview[b],10)+SQRT(POWER(INDEX(Overview[b],10),2)-(4*INDEX(Overview[a],10)*st_c[[#This Row],[c]])))/(2*INDEX(Overview[a],10))</f>
        <v>6.9692929562253633E-2</v>
      </c>
    </row>
    <row r="17" spans="1:36" x14ac:dyDescent="0.25">
      <c r="A17" s="2">
        <v>1.4000000000000001E-4</v>
      </c>
      <c r="B17" s="3" cm="1">
        <f t="array" ref="B17">SQRT((4*POWER(ttotal1,2)*st_a[[#This Row],[s(ta)]])/(9*s_t))</f>
        <v>0.14401645996461912</v>
      </c>
      <c r="C17" s="3" cm="1">
        <f t="array" ref="C17">SQRT((4*POWER(ttotal2,2)*st_a[[#This Row],[s(ta)]])/(9*s_t))</f>
        <v>7.200822998230956E-2</v>
      </c>
      <c r="D17" s="3" cm="1">
        <f t="array" ref="D17">SQRT((4*POWER(ttotal3,2)*st_a[[#This Row],[s(ta)]])/(9*s_t))</f>
        <v>4.8005486654873038E-2</v>
      </c>
      <c r="E17" s="3" cm="1">
        <f t="array" ref="E17">SQRT((4*POWER(ttotal4,2)*st_a[[#This Row],[s(ta)]])/(9*s_t))</f>
        <v>3.600411499115478E-2</v>
      </c>
      <c r="F17" s="3" cm="1">
        <f t="array" ref="F17">SQRT((4*POWER(ttotal5,2)*st_a[[#This Row],[s(ta)]])/(9*s_t))</f>
        <v>2.8803291992923825E-2</v>
      </c>
      <c r="G17" s="3" cm="1">
        <f t="array" ref="G17">SQRT((4*POWER(ttotal6,2)*st_a[[#This Row],[s(ta)]])/(9*s_t))</f>
        <v>2.4002743327436519E-2</v>
      </c>
      <c r="H17" s="3" cm="1">
        <f t="array" ref="H17">SQRT((4*POWER(ttotal7,2)*st_a[[#This Row],[s(ta)]])/(9*s_t))</f>
        <v>2.0573779994945588E-2</v>
      </c>
      <c r="I17" s="3" cm="1">
        <f t="array" ref="I17">SQRT((4*POWER(ttotal8,2)*st_a[[#This Row],[s(ta)]])/(9*s_t))</f>
        <v>1.800205749557739E-2</v>
      </c>
      <c r="J17" s="3" cm="1">
        <f t="array" ref="J17">SQRT((4*POWER(ttotal9,2)*st_a[[#This Row],[s(ta)]])/(9*s_t))</f>
        <v>1.6001828884957679E-2</v>
      </c>
      <c r="K17" s="3" cm="1">
        <f t="array" ref="K17">SQRT((4*POWER(ttotal10,2)*st_a[[#This Row],[s(ta)]])/(9*s_t))</f>
        <v>1.4401645996461912E-2</v>
      </c>
      <c r="M17" s="8">
        <v>8.9000000000000006E-4</v>
      </c>
      <c r="N17" s="3" cm="1">
        <f t="array" ref="N17">((2*ttotal1)/(3*s_t))*(st_b[[#This Row],[s(tb)]]+(s_t/4))</f>
        <v>0.3644444444444444</v>
      </c>
      <c r="O17" s="3" cm="1">
        <f t="array" ref="O17">((2*ttotal2)/(3*s_t))*(st_b[[#This Row],[s(tb)]]+(s_t/4))</f>
        <v>0.1822222222222222</v>
      </c>
      <c r="P17" s="3" cm="1">
        <f t="array" ref="P17">((2*ttotal3)/(3*s_t))*(st_b[[#This Row],[s(tb)]]+(s_t/4))</f>
        <v>0.12148148148148145</v>
      </c>
      <c r="Q17" s="3" cm="1">
        <f t="array" ref="Q17">((2*ttotal4)/(3*s_t))*(st_b[[#This Row],[s(tb)]]+(s_t/4))</f>
        <v>9.1111111111111101E-2</v>
      </c>
      <c r="R17" s="3" cm="1">
        <f t="array" ref="R17">((2*ttotal5)/(3*s_t))*(st_b[[#This Row],[s(tb)]]+(s_t/4))</f>
        <v>7.2888888888888878E-2</v>
      </c>
      <c r="S17" s="3" cm="1">
        <f t="array" ref="S17">((2*ttotal6)/(3*s_t))*(st_b[[#This Row],[s(tb)]]+(s_t/4))</f>
        <v>6.0740740740740727E-2</v>
      </c>
      <c r="T17" s="3" cm="1">
        <f t="array" ref="T17">((2*ttotal7)/(3*s_t))*(st_b[[#This Row],[s(tb)]]+(s_t/4))</f>
        <v>5.2063492063492055E-2</v>
      </c>
      <c r="U17" s="3" cm="1">
        <f t="array" ref="U17">((2*ttotal8)/(3*s_t))*(st_b[[#This Row],[s(tb)]]+(s_t/4))</f>
        <v>4.5555555555555551E-2</v>
      </c>
      <c r="V17" s="3" cm="1">
        <f t="array" ref="V17">((2*ttotal9)/(3*s_t))*(st_b[[#This Row],[s(tb)]]+(s_t/4))</f>
        <v>4.0493827160493823E-2</v>
      </c>
      <c r="W17" s="3" cm="1">
        <f t="array" ref="W17">((2*ttotal10)/(3*s_t))*(st_b[[#This Row],[s(tb)]]+(s_t/4))</f>
        <v>3.6444444444444439E-2</v>
      </c>
      <c r="Y17" s="8">
        <v>2.3900000000000002E-3</v>
      </c>
      <c r="Z17" s="3" cm="1">
        <f t="array" ref="Z17">(-5*s_t/4)-Y17</f>
        <v>-6.1399999999999996E-3</v>
      </c>
      <c r="AA17" s="3">
        <f>(-INDEX(Overview[b],1)+SQRT(POWER(INDEX(Overview[b],1),2)-(4*INDEX(Overview[a],1)*st_c[[#This Row],[c]])))/(2*INDEX(Overview[a],1))</f>
        <v>0.69938334981180705</v>
      </c>
      <c r="AB17" s="3">
        <f>(-INDEX(Overview[b],2)+SQRT(POWER(INDEX(Overview[b],2),2)-(4*INDEX(Overview[a],2)*st_c[[#This Row],[c]])))/(2*INDEX(Overview[a],2))</f>
        <v>0.34969167490590353</v>
      </c>
      <c r="AC17" s="3">
        <f>(-INDEX(Overview[b],3)+SQRT(POWER(INDEX(Overview[b],3),2)-(4*INDEX(Overview[a],3)*st_c[[#This Row],[c]])))/(2*INDEX(Overview[a],3))</f>
        <v>0.23312778327060216</v>
      </c>
      <c r="AD17" s="3">
        <f>(-INDEX(Overview[b],4)+SQRT(POWER(INDEX(Overview[b],4),2)-(4*INDEX(Overview[a],4)*st_c[[#This Row],[c]])))/(2*INDEX(Overview[a],4))</f>
        <v>0.17484583745295176</v>
      </c>
      <c r="AE17" s="3">
        <f>(-INDEX(Overview[b],5)+SQRT(POWER(INDEX(Overview[b],5),2)-(4*INDEX(Overview[a],5)*st_c[[#This Row],[c]])))/(2*INDEX(Overview[a],5))</f>
        <v>0.13987666996236137</v>
      </c>
      <c r="AF17" s="3">
        <f>(-INDEX(Overview[b],6)+SQRT(POWER(INDEX(Overview[b],6),2)-(4*INDEX(Overview[a],6)*st_c[[#This Row],[c]])))/(2*INDEX(Overview[a],6))</f>
        <v>0.11656389163530108</v>
      </c>
      <c r="AG17" s="3">
        <f>(-INDEX(Overview[b],7)+SQRT(POWER(INDEX(Overview[b],7),2)-(4*INDEX(Overview[a],7)*st_c[[#This Row],[c]])))/(2*INDEX(Overview[a],7))</f>
        <v>9.991190711597242E-2</v>
      </c>
      <c r="AH17" s="3">
        <f>(-INDEX(Overview[b],8)+SQRT(POWER(INDEX(Overview[b],8),2)-(4*INDEX(Overview[a],8)*st_c[[#This Row],[c]])))/(2*INDEX(Overview[a],8))</f>
        <v>8.7422918726475882E-2</v>
      </c>
      <c r="AI17" s="3">
        <f>(-INDEX(Overview[b],9)+SQRT(POWER(INDEX(Overview[b],9),2)-(4*INDEX(Overview[a],9)*st_c[[#This Row],[c]])))/(2*INDEX(Overview[a],9))</f>
        <v>7.7709261090200765E-2</v>
      </c>
      <c r="AJ17" s="19">
        <f>(-INDEX(Overview[b],10)+SQRT(POWER(INDEX(Overview[b],10),2)-(4*INDEX(Overview[a],10)*st_c[[#This Row],[c]])))/(2*INDEX(Overview[a],10))</f>
        <v>6.9938334981180683E-2</v>
      </c>
    </row>
    <row r="18" spans="1:36" x14ac:dyDescent="0.25">
      <c r="A18" s="2">
        <v>1.5000000000000001E-4</v>
      </c>
      <c r="B18" s="3" cm="1">
        <f t="array" ref="B18">SQRT((4*POWER(ttotal1,2)*st_a[[#This Row],[s(ta)]])/(9*s_t))</f>
        <v>0.14907119849998599</v>
      </c>
      <c r="C18" s="3" cm="1">
        <f t="array" ref="C18">SQRT((4*POWER(ttotal2,2)*st_a[[#This Row],[s(ta)]])/(9*s_t))</f>
        <v>7.4535599249992993E-2</v>
      </c>
      <c r="D18" s="3" cm="1">
        <f t="array" ref="D18">SQRT((4*POWER(ttotal3,2)*st_a[[#This Row],[s(ta)]])/(9*s_t))</f>
        <v>4.9690399499995326E-2</v>
      </c>
      <c r="E18" s="3" cm="1">
        <f t="array" ref="E18">SQRT((4*POWER(ttotal4,2)*st_a[[#This Row],[s(ta)]])/(9*s_t))</f>
        <v>3.7267799624996496E-2</v>
      </c>
      <c r="F18" s="3" cm="1">
        <f t="array" ref="F18">SQRT((4*POWER(ttotal5,2)*st_a[[#This Row],[s(ta)]])/(9*s_t))</f>
        <v>2.9814239699997202E-2</v>
      </c>
      <c r="G18" s="3" cm="1">
        <f t="array" ref="G18">SQRT((4*POWER(ttotal6,2)*st_a[[#This Row],[s(ta)]])/(9*s_t))</f>
        <v>2.4845199749997663E-2</v>
      </c>
      <c r="H18" s="3" cm="1">
        <f t="array" ref="H18">SQRT((4*POWER(ttotal7,2)*st_a[[#This Row],[s(ta)]])/(9*s_t))</f>
        <v>2.1295885499997998E-2</v>
      </c>
      <c r="I18" s="3" cm="1">
        <f t="array" ref="I18">SQRT((4*POWER(ttotal8,2)*st_a[[#This Row],[s(ta)]])/(9*s_t))</f>
        <v>1.8633899812498248E-2</v>
      </c>
      <c r="J18" s="3" cm="1">
        <f t="array" ref="J18">SQRT((4*POWER(ttotal9,2)*st_a[[#This Row],[s(ta)]])/(9*s_t))</f>
        <v>1.6563466499998441E-2</v>
      </c>
      <c r="K18" s="3" cm="1">
        <f t="array" ref="K18">SQRT((4*POWER(ttotal10,2)*st_a[[#This Row],[s(ta)]])/(9*s_t))</f>
        <v>1.4907119849998601E-2</v>
      </c>
      <c r="M18" s="8">
        <v>9.0000000000000008E-4</v>
      </c>
      <c r="N18" s="3" cm="1">
        <f t="array" ref="N18">((2*ttotal1)/(3*s_t))*(st_b[[#This Row],[s(tb)]]+(s_t/4))</f>
        <v>0.36666666666666664</v>
      </c>
      <c r="O18" s="3" cm="1">
        <f t="array" ref="O18">((2*ttotal2)/(3*s_t))*(st_b[[#This Row],[s(tb)]]+(s_t/4))</f>
        <v>0.18333333333333332</v>
      </c>
      <c r="P18" s="3" cm="1">
        <f t="array" ref="P18">((2*ttotal3)/(3*s_t))*(st_b[[#This Row],[s(tb)]]+(s_t/4))</f>
        <v>0.1222222222222222</v>
      </c>
      <c r="Q18" s="3" cm="1">
        <f t="array" ref="Q18">((2*ttotal4)/(3*s_t))*(st_b[[#This Row],[s(tb)]]+(s_t/4))</f>
        <v>9.166666666666666E-2</v>
      </c>
      <c r="R18" s="3" cm="1">
        <f t="array" ref="R18">((2*ttotal5)/(3*s_t))*(st_b[[#This Row],[s(tb)]]+(s_t/4))</f>
        <v>7.3333333333333334E-2</v>
      </c>
      <c r="S18" s="3" cm="1">
        <f t="array" ref="S18">((2*ttotal6)/(3*s_t))*(st_b[[#This Row],[s(tb)]]+(s_t/4))</f>
        <v>6.1111111111111102E-2</v>
      </c>
      <c r="T18" s="3" cm="1">
        <f t="array" ref="T18">((2*ttotal7)/(3*s_t))*(st_b[[#This Row],[s(tb)]]+(s_t/4))</f>
        <v>5.2380952380952368E-2</v>
      </c>
      <c r="U18" s="3" cm="1">
        <f t="array" ref="U18">((2*ttotal8)/(3*s_t))*(st_b[[#This Row],[s(tb)]]+(s_t/4))</f>
        <v>4.583333333333333E-2</v>
      </c>
      <c r="V18" s="3" cm="1">
        <f t="array" ref="V18">((2*ttotal9)/(3*s_t))*(st_b[[#This Row],[s(tb)]]+(s_t/4))</f>
        <v>4.0740740740740737E-2</v>
      </c>
      <c r="W18" s="3" cm="1">
        <f t="array" ref="W18">((2*ttotal10)/(3*s_t))*(st_b[[#This Row],[s(tb)]]+(s_t/4))</f>
        <v>3.6666666666666667E-2</v>
      </c>
      <c r="Y18" s="8">
        <v>2.4000000000000002E-3</v>
      </c>
      <c r="Z18" s="3" cm="1">
        <f t="array" ref="Z18">(-5*s_t/4)-Y18</f>
        <v>-6.1500000000000001E-3</v>
      </c>
      <c r="AA18" s="3">
        <f>(-INDEX(Overview[b],1)+SQRT(POWER(INDEX(Overview[b],1),2)-(4*INDEX(Overview[a],1)*st_c[[#This Row],[c]])))/(2*INDEX(Overview[a],1))</f>
        <v>0.7018576030000282</v>
      </c>
      <c r="AB18" s="3">
        <f>(-INDEX(Overview[b],2)+SQRT(POWER(INDEX(Overview[b],2),2)-(4*INDEX(Overview[a],2)*st_c[[#This Row],[c]])))/(2*INDEX(Overview[a],2))</f>
        <v>0.3509288015000141</v>
      </c>
      <c r="AC18" s="3">
        <f>(-INDEX(Overview[b],3)+SQRT(POWER(INDEX(Overview[b],3),2)-(4*INDEX(Overview[a],3)*st_c[[#This Row],[c]])))/(2*INDEX(Overview[a],3))</f>
        <v>0.23395253433334259</v>
      </c>
      <c r="AD18" s="3">
        <f>(-INDEX(Overview[b],4)+SQRT(POWER(INDEX(Overview[b],4),2)-(4*INDEX(Overview[a],4)*st_c[[#This Row],[c]])))/(2*INDEX(Overview[a],4))</f>
        <v>0.17546440075000705</v>
      </c>
      <c r="AE18" s="3">
        <f>(-INDEX(Overview[b],5)+SQRT(POWER(INDEX(Overview[b],5),2)-(4*INDEX(Overview[a],5)*st_c[[#This Row],[c]])))/(2*INDEX(Overview[a],5))</f>
        <v>0.14037152060000552</v>
      </c>
      <c r="AF18" s="3">
        <f>(-INDEX(Overview[b],6)+SQRT(POWER(INDEX(Overview[b],6),2)-(4*INDEX(Overview[a],6)*st_c[[#This Row],[c]])))/(2*INDEX(Overview[a],6))</f>
        <v>0.1169762671666713</v>
      </c>
      <c r="AG18" s="3">
        <f>(-INDEX(Overview[b],7)+SQRT(POWER(INDEX(Overview[b],7),2)-(4*INDEX(Overview[a],7)*st_c[[#This Row],[c]])))/(2*INDEX(Overview[a],7))</f>
        <v>0.10026537185714687</v>
      </c>
      <c r="AH18" s="3">
        <f>(-INDEX(Overview[b],8)+SQRT(POWER(INDEX(Overview[b],8),2)-(4*INDEX(Overview[a],8)*st_c[[#This Row],[c]])))/(2*INDEX(Overview[a],8))</f>
        <v>8.7732200375003525E-2</v>
      </c>
      <c r="AI18" s="3">
        <f>(-INDEX(Overview[b],9)+SQRT(POWER(INDEX(Overview[b],9),2)-(4*INDEX(Overview[a],9)*st_c[[#This Row],[c]])))/(2*INDEX(Overview[a],9))</f>
        <v>7.7984178111114216E-2</v>
      </c>
      <c r="AJ18" s="19">
        <f>(-INDEX(Overview[b],10)+SQRT(POWER(INDEX(Overview[b],10),2)-(4*INDEX(Overview[a],10)*st_c[[#This Row],[c]])))/(2*INDEX(Overview[a],10))</f>
        <v>7.0185760300002759E-2</v>
      </c>
    </row>
    <row r="19" spans="1:36" x14ac:dyDescent="0.25">
      <c r="A19" s="2">
        <v>1.6000000000000001E-4</v>
      </c>
      <c r="B19" s="3" cm="1">
        <f t="array" ref="B19">SQRT((4*POWER(ttotal1,2)*st_a[[#This Row],[s(ta)]])/(9*s_t))</f>
        <v>0.1539600717839002</v>
      </c>
      <c r="C19" s="3" cm="1">
        <f t="array" ref="C19">SQRT((4*POWER(ttotal2,2)*st_a[[#This Row],[s(ta)]])/(9*s_t))</f>
        <v>7.6980035891950099E-2</v>
      </c>
      <c r="D19" s="3" cm="1">
        <f t="array" ref="D19">SQRT((4*POWER(ttotal3,2)*st_a[[#This Row],[s(ta)]])/(9*s_t))</f>
        <v>5.1320023927966731E-2</v>
      </c>
      <c r="E19" s="3" cm="1">
        <f t="array" ref="E19">SQRT((4*POWER(ttotal4,2)*st_a[[#This Row],[s(ta)]])/(9*s_t))</f>
        <v>3.849001794597505E-2</v>
      </c>
      <c r="F19" s="3" cm="1">
        <f t="array" ref="F19">SQRT((4*POWER(ttotal5,2)*st_a[[#This Row],[s(ta)]])/(9*s_t))</f>
        <v>3.0792014356780046E-2</v>
      </c>
      <c r="G19" s="3" cm="1">
        <f t="array" ref="G19">SQRT((4*POWER(ttotal6,2)*st_a[[#This Row],[s(ta)]])/(9*s_t))</f>
        <v>2.5660011963983365E-2</v>
      </c>
      <c r="H19" s="3" cm="1">
        <f t="array" ref="H19">SQRT((4*POWER(ttotal7,2)*st_a[[#This Row],[s(ta)]])/(9*s_t))</f>
        <v>2.1994295969128601E-2</v>
      </c>
      <c r="I19" s="3" cm="1">
        <f t="array" ref="I19">SQRT((4*POWER(ttotal8,2)*st_a[[#This Row],[s(ta)]])/(9*s_t))</f>
        <v>1.9245008972987525E-2</v>
      </c>
      <c r="J19" s="3" cm="1">
        <f t="array" ref="J19">SQRT((4*POWER(ttotal9,2)*st_a[[#This Row],[s(ta)]])/(9*s_t))</f>
        <v>1.7106674642655577E-2</v>
      </c>
      <c r="K19" s="3" cm="1">
        <f t="array" ref="K19">SQRT((4*POWER(ttotal10,2)*st_a[[#This Row],[s(ta)]])/(9*s_t))</f>
        <v>1.5396007178390023E-2</v>
      </c>
      <c r="M19" s="8">
        <v>9.1000000000000011E-4</v>
      </c>
      <c r="N19" s="3" cm="1">
        <f t="array" ref="N19">((2*ttotal1)/(3*s_t))*(st_b[[#This Row],[s(tb)]]+(s_t/4))</f>
        <v>0.36888888888888888</v>
      </c>
      <c r="O19" s="3" cm="1">
        <f t="array" ref="O19">((2*ttotal2)/(3*s_t))*(st_b[[#This Row],[s(tb)]]+(s_t/4))</f>
        <v>0.18444444444444444</v>
      </c>
      <c r="P19" s="3" cm="1">
        <f t="array" ref="P19">((2*ttotal3)/(3*s_t))*(st_b[[#This Row],[s(tb)]]+(s_t/4))</f>
        <v>0.12296296296296294</v>
      </c>
      <c r="Q19" s="3" cm="1">
        <f t="array" ref="Q19">((2*ttotal4)/(3*s_t))*(st_b[[#This Row],[s(tb)]]+(s_t/4))</f>
        <v>9.2222222222222219E-2</v>
      </c>
      <c r="R19" s="3" cm="1">
        <f t="array" ref="R19">((2*ttotal5)/(3*s_t))*(st_b[[#This Row],[s(tb)]]+(s_t/4))</f>
        <v>7.3777777777777775E-2</v>
      </c>
      <c r="S19" s="3" cm="1">
        <f t="array" ref="S19">((2*ttotal6)/(3*s_t))*(st_b[[#This Row],[s(tb)]]+(s_t/4))</f>
        <v>6.148148148148147E-2</v>
      </c>
      <c r="T19" s="3" cm="1">
        <f t="array" ref="T19">((2*ttotal7)/(3*s_t))*(st_b[[#This Row],[s(tb)]]+(s_t/4))</f>
        <v>5.2698412698412689E-2</v>
      </c>
      <c r="U19" s="3" cm="1">
        <f t="array" ref="U19">((2*ttotal8)/(3*s_t))*(st_b[[#This Row],[s(tb)]]+(s_t/4))</f>
        <v>4.611111111111111E-2</v>
      </c>
      <c r="V19" s="3" cm="1">
        <f t="array" ref="V19">((2*ttotal9)/(3*s_t))*(st_b[[#This Row],[s(tb)]]+(s_t/4))</f>
        <v>4.0987654320987651E-2</v>
      </c>
      <c r="W19" s="3" cm="1">
        <f t="array" ref="W19">((2*ttotal10)/(3*s_t))*(st_b[[#This Row],[s(tb)]]+(s_t/4))</f>
        <v>3.6888888888888888E-2</v>
      </c>
      <c r="Y19" s="8">
        <v>2.4100000000000002E-3</v>
      </c>
      <c r="Z19" s="3" cm="1">
        <f t="array" ref="Z19">(-5*s_t/4)-Y19</f>
        <v>-6.1600000000000005E-3</v>
      </c>
      <c r="AA19" s="3">
        <f>(-INDEX(Overview[b],1)+SQRT(POWER(INDEX(Overview[b],1),2)-(4*INDEX(Overview[a],1)*st_c[[#This Row],[c]])))/(2*INDEX(Overview[a],1))</f>
        <v>0.70435256231888765</v>
      </c>
      <c r="AB19" s="3">
        <f>(-INDEX(Overview[b],2)+SQRT(POWER(INDEX(Overview[b],2),2)-(4*INDEX(Overview[a],2)*st_c[[#This Row],[c]])))/(2*INDEX(Overview[a],2))</f>
        <v>0.35217628115944383</v>
      </c>
      <c r="AC19" s="3">
        <f>(-INDEX(Overview[b],3)+SQRT(POWER(INDEX(Overview[b],3),2)-(4*INDEX(Overview[a],3)*st_c[[#This Row],[c]])))/(2*INDEX(Overview[a],3))</f>
        <v>0.23478418743962906</v>
      </c>
      <c r="AD19" s="3">
        <f>(-INDEX(Overview[b],4)+SQRT(POWER(INDEX(Overview[b],4),2)-(4*INDEX(Overview[a],4)*st_c[[#This Row],[c]])))/(2*INDEX(Overview[a],4))</f>
        <v>0.17608814057972191</v>
      </c>
      <c r="AE19" s="3">
        <f>(-INDEX(Overview[b],5)+SQRT(POWER(INDEX(Overview[b],5),2)-(4*INDEX(Overview[a],5)*st_c[[#This Row],[c]])))/(2*INDEX(Overview[a],5))</f>
        <v>0.14087051246377744</v>
      </c>
      <c r="AF19" s="3">
        <f>(-INDEX(Overview[b],6)+SQRT(POWER(INDEX(Overview[b],6),2)-(4*INDEX(Overview[a],6)*st_c[[#This Row],[c]])))/(2*INDEX(Overview[a],6))</f>
        <v>0.11739209371981453</v>
      </c>
      <c r="AG19" s="3">
        <f>(-INDEX(Overview[b],7)+SQRT(POWER(INDEX(Overview[b],7),2)-(4*INDEX(Overview[a],7)*st_c[[#This Row],[c]])))/(2*INDEX(Overview[a],7))</f>
        <v>0.10062179461698391</v>
      </c>
      <c r="AH19" s="3">
        <f>(-INDEX(Overview[b],8)+SQRT(POWER(INDEX(Overview[b],8),2)-(4*INDEX(Overview[a],8)*st_c[[#This Row],[c]])))/(2*INDEX(Overview[a],8))</f>
        <v>8.8044070289860957E-2</v>
      </c>
      <c r="AI19" s="3">
        <f>(-INDEX(Overview[b],9)+SQRT(POWER(INDEX(Overview[b],9),2)-(4*INDEX(Overview[a],9)*st_c[[#This Row],[c]])))/(2*INDEX(Overview[a],9))</f>
        <v>7.8261395813209705E-2</v>
      </c>
      <c r="AJ19" s="19">
        <f>(-INDEX(Overview[b],10)+SQRT(POWER(INDEX(Overview[b],10),2)-(4*INDEX(Overview[a],10)*st_c[[#This Row],[c]])))/(2*INDEX(Overview[a],10))</f>
        <v>7.0435256231888718E-2</v>
      </c>
    </row>
    <row r="20" spans="1:36" x14ac:dyDescent="0.25">
      <c r="A20" s="2">
        <v>1.7000000000000001E-4</v>
      </c>
      <c r="B20" s="3" cm="1">
        <f t="array" ref="B20">SQRT((4*POWER(ttotal1,2)*st_a[[#This Row],[s(ta)]])/(9*s_t))</f>
        <v>0.15869840952317446</v>
      </c>
      <c r="C20" s="3" cm="1">
        <f t="array" ref="C20">SQRT((4*POWER(ttotal2,2)*st_a[[#This Row],[s(ta)]])/(9*s_t))</f>
        <v>7.934920476158723E-2</v>
      </c>
      <c r="D20" s="3" cm="1">
        <f t="array" ref="D20">SQRT((4*POWER(ttotal3,2)*st_a[[#This Row],[s(ta)]])/(9*s_t))</f>
        <v>5.2899469841058151E-2</v>
      </c>
      <c r="E20" s="3" cm="1">
        <f t="array" ref="E20">SQRT((4*POWER(ttotal4,2)*st_a[[#This Row],[s(ta)]])/(9*s_t))</f>
        <v>3.9674602380793615E-2</v>
      </c>
      <c r="F20" s="3" cm="1">
        <f t="array" ref="F20">SQRT((4*POWER(ttotal5,2)*st_a[[#This Row],[s(ta)]])/(9*s_t))</f>
        <v>3.1739681904634894E-2</v>
      </c>
      <c r="G20" s="3" cm="1">
        <f t="array" ref="G20">SQRT((4*POWER(ttotal6,2)*st_a[[#This Row],[s(ta)]])/(9*s_t))</f>
        <v>2.6449734920529076E-2</v>
      </c>
      <c r="H20" s="3" cm="1">
        <f t="array" ref="H20">SQRT((4*POWER(ttotal7,2)*st_a[[#This Row],[s(ta)]])/(9*s_t))</f>
        <v>2.2671201360453492E-2</v>
      </c>
      <c r="I20" s="3" cm="1">
        <f t="array" ref="I20">SQRT((4*POWER(ttotal8,2)*st_a[[#This Row],[s(ta)]])/(9*s_t))</f>
        <v>1.9837301190396808E-2</v>
      </c>
      <c r="J20" s="3" cm="1">
        <f t="array" ref="J20">SQRT((4*POWER(ttotal9,2)*st_a[[#This Row],[s(ta)]])/(9*s_t))</f>
        <v>1.763315661368605E-2</v>
      </c>
      <c r="K20" s="3" cm="1">
        <f t="array" ref="K20">SQRT((4*POWER(ttotal10,2)*st_a[[#This Row],[s(ta)]])/(9*s_t))</f>
        <v>1.5869840952317447E-2</v>
      </c>
      <c r="M20" s="8">
        <v>9.2000000000000003E-4</v>
      </c>
      <c r="N20" s="3" cm="1">
        <f t="array" ref="N20">((2*ttotal1)/(3*s_t))*(st_b[[#This Row],[s(tb)]]+(s_t/4))</f>
        <v>0.37111111111111106</v>
      </c>
      <c r="O20" s="3" cm="1">
        <f t="array" ref="O20">((2*ttotal2)/(3*s_t))*(st_b[[#This Row],[s(tb)]]+(s_t/4))</f>
        <v>0.18555555555555553</v>
      </c>
      <c r="P20" s="3" cm="1">
        <f t="array" ref="P20">((2*ttotal3)/(3*s_t))*(st_b[[#This Row],[s(tb)]]+(s_t/4))</f>
        <v>0.12370370370370369</v>
      </c>
      <c r="Q20" s="3" cm="1">
        <f t="array" ref="Q20">((2*ttotal4)/(3*s_t))*(st_b[[#This Row],[s(tb)]]+(s_t/4))</f>
        <v>9.2777777777777765E-2</v>
      </c>
      <c r="R20" s="3" cm="1">
        <f t="array" ref="R20">((2*ttotal5)/(3*s_t))*(st_b[[#This Row],[s(tb)]]+(s_t/4))</f>
        <v>7.4222222222222217E-2</v>
      </c>
      <c r="S20" s="3" cm="1">
        <f t="array" ref="S20">((2*ttotal6)/(3*s_t))*(st_b[[#This Row],[s(tb)]]+(s_t/4))</f>
        <v>6.1851851851851845E-2</v>
      </c>
      <c r="T20" s="3" cm="1">
        <f t="array" ref="T20">((2*ttotal7)/(3*s_t))*(st_b[[#This Row],[s(tb)]]+(s_t/4))</f>
        <v>5.3015873015873009E-2</v>
      </c>
      <c r="U20" s="3" cm="1">
        <f t="array" ref="U20">((2*ttotal8)/(3*s_t))*(st_b[[#This Row],[s(tb)]]+(s_t/4))</f>
        <v>4.6388888888888882E-2</v>
      </c>
      <c r="V20" s="3" cm="1">
        <f t="array" ref="V20">((2*ttotal9)/(3*s_t))*(st_b[[#This Row],[s(tb)]]+(s_t/4))</f>
        <v>4.1234567901234559E-2</v>
      </c>
      <c r="W20" s="3" cm="1">
        <f t="array" ref="W20">((2*ttotal10)/(3*s_t))*(st_b[[#This Row],[s(tb)]]+(s_t/4))</f>
        <v>3.7111111111111109E-2</v>
      </c>
      <c r="Y20" s="8">
        <v>2.4200000000000003E-3</v>
      </c>
      <c r="Z20" s="3" cm="1">
        <f t="array" ref="Z20">(-5*s_t/4)-Y20</f>
        <v>-6.1700000000000001E-3</v>
      </c>
      <c r="AA20" s="3">
        <f>(-INDEX(Overview[b],1)+SQRT(POWER(INDEX(Overview[b],1),2)-(4*INDEX(Overview[a],1)*st_c[[#This Row],[c]])))/(2*INDEX(Overview[a],1))</f>
        <v>0.7068687564828241</v>
      </c>
      <c r="AB20" s="3">
        <f>(-INDEX(Overview[b],2)+SQRT(POWER(INDEX(Overview[b],2),2)-(4*INDEX(Overview[a],2)*st_c[[#This Row],[c]])))/(2*INDEX(Overview[a],2))</f>
        <v>0.35343437824141205</v>
      </c>
      <c r="AC20" s="3">
        <f>(-INDEX(Overview[b],3)+SQRT(POWER(INDEX(Overview[b],3),2)-(4*INDEX(Overview[a],3)*st_c[[#This Row],[c]])))/(2*INDEX(Overview[a],3))</f>
        <v>0.23562291882760791</v>
      </c>
      <c r="AD20" s="3">
        <f>(-INDEX(Overview[b],4)+SQRT(POWER(INDEX(Overview[b],4),2)-(4*INDEX(Overview[a],4)*st_c[[#This Row],[c]])))/(2*INDEX(Overview[a],4))</f>
        <v>0.17671718912070603</v>
      </c>
      <c r="AE20" s="3">
        <f>(-INDEX(Overview[b],5)+SQRT(POWER(INDEX(Overview[b],5),2)-(4*INDEX(Overview[a],5)*st_c[[#This Row],[c]])))/(2*INDEX(Overview[a],5))</f>
        <v>0.14137375129656476</v>
      </c>
      <c r="AF20" s="3">
        <f>(-INDEX(Overview[b],6)+SQRT(POWER(INDEX(Overview[b],6),2)-(4*INDEX(Overview[a],6)*st_c[[#This Row],[c]])))/(2*INDEX(Overview[a],6))</f>
        <v>0.11781145941380396</v>
      </c>
      <c r="AG20" s="3">
        <f>(-INDEX(Overview[b],7)+SQRT(POWER(INDEX(Overview[b],7),2)-(4*INDEX(Overview[a],7)*st_c[[#This Row],[c]])))/(2*INDEX(Overview[a],7))</f>
        <v>0.1009812509261177</v>
      </c>
      <c r="AH20" s="3">
        <f>(-INDEX(Overview[b],8)+SQRT(POWER(INDEX(Overview[b],8),2)-(4*INDEX(Overview[a],8)*st_c[[#This Row],[c]])))/(2*INDEX(Overview[a],8))</f>
        <v>8.8358594560353013E-2</v>
      </c>
      <c r="AI20" s="3">
        <f>(-INDEX(Overview[b],9)+SQRT(POWER(INDEX(Overview[b],9),2)-(4*INDEX(Overview[a],9)*st_c[[#This Row],[c]])))/(2*INDEX(Overview[a],9))</f>
        <v>7.8540972942535994E-2</v>
      </c>
      <c r="AJ20" s="19">
        <f>(-INDEX(Overview[b],10)+SQRT(POWER(INDEX(Overview[b],10),2)-(4*INDEX(Overview[a],10)*st_c[[#This Row],[c]])))/(2*INDEX(Overview[a],10))</f>
        <v>7.0686875648282382E-2</v>
      </c>
    </row>
    <row r="21" spans="1:36" x14ac:dyDescent="0.25">
      <c r="A21" s="2">
        <v>1.8000000000000001E-4</v>
      </c>
      <c r="B21" s="3" cm="1">
        <f t="array" ref="B21">SQRT((4*POWER(ttotal1,2)*st_a[[#This Row],[s(ta)]])/(9*s_t))</f>
        <v>0.16329931618554522</v>
      </c>
      <c r="C21" s="3" cm="1">
        <f t="array" ref="C21">SQRT((4*POWER(ttotal2,2)*st_a[[#This Row],[s(ta)]])/(9*s_t))</f>
        <v>8.1649658092772609E-2</v>
      </c>
      <c r="D21" s="3" cm="1">
        <f t="array" ref="D21">SQRT((4*POWER(ttotal3,2)*st_a[[#This Row],[s(ta)]])/(9*s_t))</f>
        <v>5.4433105395181737E-2</v>
      </c>
      <c r="E21" s="3" cm="1">
        <f t="array" ref="E21">SQRT((4*POWER(ttotal4,2)*st_a[[#This Row],[s(ta)]])/(9*s_t))</f>
        <v>4.0824829046386304E-2</v>
      </c>
      <c r="F21" s="3" cm="1">
        <f t="array" ref="F21">SQRT((4*POWER(ttotal5,2)*st_a[[#This Row],[s(ta)]])/(9*s_t))</f>
        <v>3.2659863237109045E-2</v>
      </c>
      <c r="G21" s="3" cm="1">
        <f t="array" ref="G21">SQRT((4*POWER(ttotal6,2)*st_a[[#This Row],[s(ta)]])/(9*s_t))</f>
        <v>2.7216552697590869E-2</v>
      </c>
      <c r="H21" s="3" cm="1">
        <f t="array" ref="H21">SQRT((4*POWER(ttotal7,2)*st_a[[#This Row],[s(ta)]])/(9*s_t))</f>
        <v>2.3328473740792173E-2</v>
      </c>
      <c r="I21" s="3" cm="1">
        <f t="array" ref="I21">SQRT((4*POWER(ttotal8,2)*st_a[[#This Row],[s(ta)]])/(9*s_t))</f>
        <v>2.0412414523193152E-2</v>
      </c>
      <c r="J21" s="3" cm="1">
        <f t="array" ref="J21">SQRT((4*POWER(ttotal9,2)*st_a[[#This Row],[s(ta)]])/(9*s_t))</f>
        <v>1.8144368465060578E-2</v>
      </c>
      <c r="K21" s="3" cm="1">
        <f t="array" ref="K21">SQRT((4*POWER(ttotal10,2)*st_a[[#This Row],[s(ta)]])/(9*s_t))</f>
        <v>1.6329931618554522E-2</v>
      </c>
      <c r="M21" s="8">
        <v>9.3000000000000005E-4</v>
      </c>
      <c r="N21" s="3" cm="1">
        <f t="array" ref="N21">((2*ttotal1)/(3*s_t))*(st_b[[#This Row],[s(tb)]]+(s_t/4))</f>
        <v>0.37333333333333329</v>
      </c>
      <c r="O21" s="3" cm="1">
        <f t="array" ref="O21">((2*ttotal2)/(3*s_t))*(st_b[[#This Row],[s(tb)]]+(s_t/4))</f>
        <v>0.18666666666666665</v>
      </c>
      <c r="P21" s="3" cm="1">
        <f t="array" ref="P21">((2*ttotal3)/(3*s_t))*(st_b[[#This Row],[s(tb)]]+(s_t/4))</f>
        <v>0.12444444444444443</v>
      </c>
      <c r="Q21" s="3" cm="1">
        <f t="array" ref="Q21">((2*ttotal4)/(3*s_t))*(st_b[[#This Row],[s(tb)]]+(s_t/4))</f>
        <v>9.3333333333333324E-2</v>
      </c>
      <c r="R21" s="3" cm="1">
        <f t="array" ref="R21">((2*ttotal5)/(3*s_t))*(st_b[[#This Row],[s(tb)]]+(s_t/4))</f>
        <v>7.4666666666666673E-2</v>
      </c>
      <c r="S21" s="3" cm="1">
        <f t="array" ref="S21">((2*ttotal6)/(3*s_t))*(st_b[[#This Row],[s(tb)]]+(s_t/4))</f>
        <v>6.2222222222222213E-2</v>
      </c>
      <c r="T21" s="3" cm="1">
        <f t="array" ref="T21">((2*ttotal7)/(3*s_t))*(st_b[[#This Row],[s(tb)]]+(s_t/4))</f>
        <v>5.3333333333333323E-2</v>
      </c>
      <c r="U21" s="3" cm="1">
        <f t="array" ref="U21">((2*ttotal8)/(3*s_t))*(st_b[[#This Row],[s(tb)]]+(s_t/4))</f>
        <v>4.6666666666666662E-2</v>
      </c>
      <c r="V21" s="3" cm="1">
        <f t="array" ref="V21">((2*ttotal9)/(3*s_t))*(st_b[[#This Row],[s(tb)]]+(s_t/4))</f>
        <v>4.1481481481481473E-2</v>
      </c>
      <c r="W21" s="3" cm="1">
        <f t="array" ref="W21">((2*ttotal10)/(3*s_t))*(st_b[[#This Row],[s(tb)]]+(s_t/4))</f>
        <v>3.7333333333333336E-2</v>
      </c>
      <c r="Y21" s="8">
        <v>2.4300000000000003E-3</v>
      </c>
      <c r="Z21" s="3" cm="1">
        <f t="array" ref="Z21">(-5*s_t/4)-Y21</f>
        <v>-6.1799999999999997E-3</v>
      </c>
      <c r="AA21" s="3">
        <f>(-INDEX(Overview[b],1)+SQRT(POWER(INDEX(Overview[b],1),2)-(4*INDEX(Overview[a],1)*st_c[[#This Row],[c]])))/(2*INDEX(Overview[a],1))</f>
        <v>0.70940673709728841</v>
      </c>
      <c r="AB21" s="3">
        <f>(-INDEX(Overview[b],2)+SQRT(POWER(INDEX(Overview[b],2),2)-(4*INDEX(Overview[a],2)*st_c[[#This Row],[c]])))/(2*INDEX(Overview[a],2))</f>
        <v>0.3547033685486442</v>
      </c>
      <c r="AC21" s="3">
        <f>(-INDEX(Overview[b],3)+SQRT(POWER(INDEX(Overview[b],3),2)-(4*INDEX(Overview[a],3)*st_c[[#This Row],[c]])))/(2*INDEX(Overview[a],3))</f>
        <v>0.23646891236576267</v>
      </c>
      <c r="AD21" s="3">
        <f>(-INDEX(Overview[b],4)+SQRT(POWER(INDEX(Overview[b],4),2)-(4*INDEX(Overview[a],4)*st_c[[#This Row],[c]])))/(2*INDEX(Overview[a],4))</f>
        <v>0.1773516842743221</v>
      </c>
      <c r="AE21" s="3">
        <f>(-INDEX(Overview[b],5)+SQRT(POWER(INDEX(Overview[b],5),2)-(4*INDEX(Overview[a],5)*st_c[[#This Row],[c]])))/(2*INDEX(Overview[a],5))</f>
        <v>0.14188134741945765</v>
      </c>
      <c r="AF21" s="3">
        <f>(-INDEX(Overview[b],6)+SQRT(POWER(INDEX(Overview[b],6),2)-(4*INDEX(Overview[a],6)*st_c[[#This Row],[c]])))/(2*INDEX(Overview[a],6))</f>
        <v>0.11823445618288134</v>
      </c>
      <c r="AG21" s="3">
        <f>(-INDEX(Overview[b],7)+SQRT(POWER(INDEX(Overview[b],7),2)-(4*INDEX(Overview[a],7)*st_c[[#This Row],[c]])))/(2*INDEX(Overview[a],7))</f>
        <v>0.10134381958532689</v>
      </c>
      <c r="AH21" s="3">
        <f>(-INDEX(Overview[b],8)+SQRT(POWER(INDEX(Overview[b],8),2)-(4*INDEX(Overview[a],8)*st_c[[#This Row],[c]])))/(2*INDEX(Overview[a],8))</f>
        <v>8.8675842137161051E-2</v>
      </c>
      <c r="AI21" s="3">
        <f>(-INDEX(Overview[b],9)+SQRT(POWER(INDEX(Overview[b],9),2)-(4*INDEX(Overview[a],9)*st_c[[#This Row],[c]])))/(2*INDEX(Overview[a],9))</f>
        <v>7.8822970788587576E-2</v>
      </c>
      <c r="AJ21" s="19">
        <f>(-INDEX(Overview[b],10)+SQRT(POWER(INDEX(Overview[b],10),2)-(4*INDEX(Overview[a],10)*st_c[[#This Row],[c]])))/(2*INDEX(Overview[a],10))</f>
        <v>7.0940673709728827E-2</v>
      </c>
    </row>
    <row r="22" spans="1:36" x14ac:dyDescent="0.25">
      <c r="A22" s="2">
        <v>1.9000000000000001E-4</v>
      </c>
      <c r="B22" s="3" cm="1">
        <f t="array" ref="B22">SQRT((4*POWER(ttotal1,2)*st_a[[#This Row],[s(ta)]])/(9*s_t))</f>
        <v>0.16777409856157222</v>
      </c>
      <c r="C22" s="3" cm="1">
        <f t="array" ref="C22">SQRT((4*POWER(ttotal2,2)*st_a[[#This Row],[s(ta)]])/(9*s_t))</f>
        <v>8.3887049280786108E-2</v>
      </c>
      <c r="D22" s="3" cm="1">
        <f t="array" ref="D22">SQRT((4*POWER(ttotal3,2)*st_a[[#This Row],[s(ta)]])/(9*s_t))</f>
        <v>5.592469952052407E-2</v>
      </c>
      <c r="E22" s="3" cm="1">
        <f t="array" ref="E22">SQRT((4*POWER(ttotal4,2)*st_a[[#This Row],[s(ta)]])/(9*s_t))</f>
        <v>4.1943524640393054E-2</v>
      </c>
      <c r="F22" s="3" cm="1">
        <f t="array" ref="F22">SQRT((4*POWER(ttotal5,2)*st_a[[#This Row],[s(ta)]])/(9*s_t))</f>
        <v>3.355481971231445E-2</v>
      </c>
      <c r="G22" s="3" cm="1">
        <f t="array" ref="G22">SQRT((4*POWER(ttotal6,2)*st_a[[#This Row],[s(ta)]])/(9*s_t))</f>
        <v>2.7962349760262035E-2</v>
      </c>
      <c r="H22" s="3" cm="1">
        <f t="array" ref="H22">SQRT((4*POWER(ttotal7,2)*st_a[[#This Row],[s(ta)]])/(9*s_t))</f>
        <v>2.3967728365938887E-2</v>
      </c>
      <c r="I22" s="3" cm="1">
        <f t="array" ref="I22">SQRT((4*POWER(ttotal8,2)*st_a[[#This Row],[s(ta)]])/(9*s_t))</f>
        <v>2.0971762320196527E-2</v>
      </c>
      <c r="J22" s="3" cm="1">
        <f t="array" ref="J22">SQRT((4*POWER(ttotal9,2)*st_a[[#This Row],[s(ta)]])/(9*s_t))</f>
        <v>1.8641566506841359E-2</v>
      </c>
      <c r="K22" s="3" cm="1">
        <f t="array" ref="K22">SQRT((4*POWER(ttotal10,2)*st_a[[#This Row],[s(ta)]])/(9*s_t))</f>
        <v>1.6777409856157225E-2</v>
      </c>
      <c r="M22" s="8">
        <v>9.4000000000000008E-4</v>
      </c>
      <c r="N22" s="3" cm="1">
        <f t="array" ref="N22">((2*ttotal1)/(3*s_t))*(st_b[[#This Row],[s(tb)]]+(s_t/4))</f>
        <v>0.37555555555555553</v>
      </c>
      <c r="O22" s="3" cm="1">
        <f t="array" ref="O22">((2*ttotal2)/(3*s_t))*(st_b[[#This Row],[s(tb)]]+(s_t/4))</f>
        <v>0.18777777777777777</v>
      </c>
      <c r="P22" s="3" cm="1">
        <f t="array" ref="P22">((2*ttotal3)/(3*s_t))*(st_b[[#This Row],[s(tb)]]+(s_t/4))</f>
        <v>0.12518518518518518</v>
      </c>
      <c r="Q22" s="3" cm="1">
        <f t="array" ref="Q22">((2*ttotal4)/(3*s_t))*(st_b[[#This Row],[s(tb)]]+(s_t/4))</f>
        <v>9.3888888888888883E-2</v>
      </c>
      <c r="R22" s="3" cm="1">
        <f t="array" ref="R22">((2*ttotal5)/(3*s_t))*(st_b[[#This Row],[s(tb)]]+(s_t/4))</f>
        <v>7.5111111111111115E-2</v>
      </c>
      <c r="S22" s="3" cm="1">
        <f t="array" ref="S22">((2*ttotal6)/(3*s_t))*(st_b[[#This Row],[s(tb)]]+(s_t/4))</f>
        <v>6.2592592592592589E-2</v>
      </c>
      <c r="T22" s="3" cm="1">
        <f t="array" ref="T22">((2*ttotal7)/(3*s_t))*(st_b[[#This Row],[s(tb)]]+(s_t/4))</f>
        <v>5.3650793650793643E-2</v>
      </c>
      <c r="U22" s="3" cm="1">
        <f t="array" ref="U22">((2*ttotal8)/(3*s_t))*(st_b[[#This Row],[s(tb)]]+(s_t/4))</f>
        <v>4.6944444444444441E-2</v>
      </c>
      <c r="V22" s="3" cm="1">
        <f t="array" ref="V22">((2*ttotal9)/(3*s_t))*(st_b[[#This Row],[s(tb)]]+(s_t/4))</f>
        <v>4.1728395061728388E-2</v>
      </c>
      <c r="W22" s="3" cm="1">
        <f t="array" ref="W22">((2*ttotal10)/(3*s_t))*(st_b[[#This Row],[s(tb)]]+(s_t/4))</f>
        <v>3.7555555555555557E-2</v>
      </c>
      <c r="Y22" s="8">
        <v>2.4400000000000003E-3</v>
      </c>
      <c r="Z22" s="3" cm="1">
        <f t="array" ref="Z22">(-5*s_t/4)-Y22</f>
        <v>-6.1900000000000002E-3</v>
      </c>
      <c r="AA22" s="3">
        <f>(-INDEX(Overview[b],1)+SQRT(POWER(INDEX(Overview[b],1),2)-(4*INDEX(Overview[a],1)*st_c[[#This Row],[c]])))/(2*INDEX(Overview[a],1))</f>
        <v>0.71196708007076193</v>
      </c>
      <c r="AB22" s="3">
        <f>(-INDEX(Overview[b],2)+SQRT(POWER(INDEX(Overview[b],2),2)-(4*INDEX(Overview[a],2)*st_c[[#This Row],[c]])))/(2*INDEX(Overview[a],2))</f>
        <v>0.35598354003538096</v>
      </c>
      <c r="AC22" s="3">
        <f>(-INDEX(Overview[b],3)+SQRT(POWER(INDEX(Overview[b],3),2)-(4*INDEX(Overview[a],3)*st_c[[#This Row],[c]])))/(2*INDEX(Overview[a],3))</f>
        <v>0.23732236002358714</v>
      </c>
      <c r="AD22" s="3">
        <f>(-INDEX(Overview[b],4)+SQRT(POWER(INDEX(Overview[b],4),2)-(4*INDEX(Overview[a],4)*st_c[[#This Row],[c]])))/(2*INDEX(Overview[a],4))</f>
        <v>0.17799177001769048</v>
      </c>
      <c r="AE22" s="3">
        <f>(-INDEX(Overview[b],5)+SQRT(POWER(INDEX(Overview[b],5),2)-(4*INDEX(Overview[a],5)*st_c[[#This Row],[c]])))/(2*INDEX(Overview[a],5))</f>
        <v>0.14239341601415229</v>
      </c>
      <c r="AF22" s="3">
        <f>(-INDEX(Overview[b],6)+SQRT(POWER(INDEX(Overview[b],6),2)-(4*INDEX(Overview[a],6)*st_c[[#This Row],[c]])))/(2*INDEX(Overview[a],6))</f>
        <v>0.11866118001179357</v>
      </c>
      <c r="AG22" s="3">
        <f>(-INDEX(Overview[b],7)+SQRT(POWER(INDEX(Overview[b],7),2)-(4*INDEX(Overview[a],7)*st_c[[#This Row],[c]])))/(2*INDEX(Overview[a],7))</f>
        <v>0.10170958286725168</v>
      </c>
      <c r="AH22" s="3">
        <f>(-INDEX(Overview[b],8)+SQRT(POWER(INDEX(Overview[b],8),2)-(4*INDEX(Overview[a],8)*st_c[[#This Row],[c]])))/(2*INDEX(Overview[a],8))</f>
        <v>8.8995885008845241E-2</v>
      </c>
      <c r="AI22" s="3">
        <f>(-INDEX(Overview[b],9)+SQRT(POWER(INDEX(Overview[b],9),2)-(4*INDEX(Overview[a],9)*st_c[[#This Row],[c]])))/(2*INDEX(Overview[a],9))</f>
        <v>7.9107453341195746E-2</v>
      </c>
      <c r="AJ22" s="19">
        <f>(-INDEX(Overview[b],10)+SQRT(POWER(INDEX(Overview[b],10),2)-(4*INDEX(Overview[a],10)*st_c[[#This Row],[c]])))/(2*INDEX(Overview[a],10))</f>
        <v>7.1196708007076143E-2</v>
      </c>
    </row>
    <row r="23" spans="1:36" x14ac:dyDescent="0.25">
      <c r="A23" s="2">
        <v>2.0000000000000001E-4</v>
      </c>
      <c r="B23" s="3" cm="1">
        <f t="array" ref="B23">SQRT((4*POWER(ttotal1,2)*st_a[[#This Row],[s(ta)]])/(9*s_t))</f>
        <v>0.17213259316477408</v>
      </c>
      <c r="C23" s="3" cm="1">
        <f t="array" ref="C23">SQRT((4*POWER(ttotal2,2)*st_a[[#This Row],[s(ta)]])/(9*s_t))</f>
        <v>8.6066296582387042E-2</v>
      </c>
      <c r="D23" s="3" cm="1">
        <f t="array" ref="D23">SQRT((4*POWER(ttotal3,2)*st_a[[#This Row],[s(ta)]])/(9*s_t))</f>
        <v>5.7377531054924699E-2</v>
      </c>
      <c r="E23" s="3" cm="1">
        <f t="array" ref="E23">SQRT((4*POWER(ttotal4,2)*st_a[[#This Row],[s(ta)]])/(9*s_t))</f>
        <v>4.3033148291193521E-2</v>
      </c>
      <c r="F23" s="3" cm="1">
        <f t="array" ref="F23">SQRT((4*POWER(ttotal5,2)*st_a[[#This Row],[s(ta)]])/(9*s_t))</f>
        <v>3.4426518632954817E-2</v>
      </c>
      <c r="G23" s="3" cm="1">
        <f t="array" ref="G23">SQRT((4*POWER(ttotal6,2)*st_a[[#This Row],[s(ta)]])/(9*s_t))</f>
        <v>2.868876552746235E-2</v>
      </c>
      <c r="H23" s="3" cm="1">
        <f t="array" ref="H23">SQRT((4*POWER(ttotal7,2)*st_a[[#This Row],[s(ta)]])/(9*s_t))</f>
        <v>2.4590370452110582E-2</v>
      </c>
      <c r="I23" s="3" cm="1">
        <f t="array" ref="I23">SQRT((4*POWER(ttotal8,2)*st_a[[#This Row],[s(ta)]])/(9*s_t))</f>
        <v>2.151657414559676E-2</v>
      </c>
      <c r="J23" s="3" cm="1">
        <f t="array" ref="J23">SQRT((4*POWER(ttotal9,2)*st_a[[#This Row],[s(ta)]])/(9*s_t))</f>
        <v>1.91258436849749E-2</v>
      </c>
      <c r="K23" s="3" cm="1">
        <f t="array" ref="K23">SQRT((4*POWER(ttotal10,2)*st_a[[#This Row],[s(ta)]])/(9*s_t))</f>
        <v>1.7213259316477408E-2</v>
      </c>
      <c r="M23" s="8">
        <v>9.5000000000000011E-4</v>
      </c>
      <c r="N23" s="3" cm="1">
        <f t="array" ref="N23">((2*ttotal1)/(3*s_t))*(st_b[[#This Row],[s(tb)]]+(s_t/4))</f>
        <v>0.37777777777777777</v>
      </c>
      <c r="O23" s="3" cm="1">
        <f t="array" ref="O23">((2*ttotal2)/(3*s_t))*(st_b[[#This Row],[s(tb)]]+(s_t/4))</f>
        <v>0.18888888888888888</v>
      </c>
      <c r="P23" s="3" cm="1">
        <f t="array" ref="P23">((2*ttotal3)/(3*s_t))*(st_b[[#This Row],[s(tb)]]+(s_t/4))</f>
        <v>0.12592592592592591</v>
      </c>
      <c r="Q23" s="3" cm="1">
        <f t="array" ref="Q23">((2*ttotal4)/(3*s_t))*(st_b[[#This Row],[s(tb)]]+(s_t/4))</f>
        <v>9.4444444444444442E-2</v>
      </c>
      <c r="R23" s="3" cm="1">
        <f t="array" ref="R23">((2*ttotal5)/(3*s_t))*(st_b[[#This Row],[s(tb)]]+(s_t/4))</f>
        <v>7.5555555555555556E-2</v>
      </c>
      <c r="S23" s="3" cm="1">
        <f t="array" ref="S23">((2*ttotal6)/(3*s_t))*(st_b[[#This Row],[s(tb)]]+(s_t/4))</f>
        <v>6.2962962962962957E-2</v>
      </c>
      <c r="T23" s="3" cm="1">
        <f t="array" ref="T23">((2*ttotal7)/(3*s_t))*(st_b[[#This Row],[s(tb)]]+(s_t/4))</f>
        <v>5.3968253968253964E-2</v>
      </c>
      <c r="U23" s="3" cm="1">
        <f t="array" ref="U23">((2*ttotal8)/(3*s_t))*(st_b[[#This Row],[s(tb)]]+(s_t/4))</f>
        <v>4.7222222222222221E-2</v>
      </c>
      <c r="V23" s="3" cm="1">
        <f t="array" ref="V23">((2*ttotal9)/(3*s_t))*(st_b[[#This Row],[s(tb)]]+(s_t/4))</f>
        <v>4.1975308641975302E-2</v>
      </c>
      <c r="W23" s="3" cm="1">
        <f t="array" ref="W23">((2*ttotal10)/(3*s_t))*(st_b[[#This Row],[s(tb)]]+(s_t/4))</f>
        <v>3.7777777777777778E-2</v>
      </c>
      <c r="Y23" s="8">
        <v>2.4500000000000004E-3</v>
      </c>
      <c r="Z23" s="3" cm="1">
        <f t="array" ref="Z23">(-5*s_t/4)-Y23</f>
        <v>-6.2000000000000006E-3</v>
      </c>
      <c r="AA23" s="3">
        <f>(-INDEX(Overview[b],1)+SQRT(POWER(INDEX(Overview[b],1),2)-(4*INDEX(Overview[a],1)*st_c[[#This Row],[c]])))/(2*INDEX(Overview[a],1))</f>
        <v>0.71455038714077512</v>
      </c>
      <c r="AB23" s="3">
        <f>(-INDEX(Overview[b],2)+SQRT(POWER(INDEX(Overview[b],2),2)-(4*INDEX(Overview[a],2)*st_c[[#This Row],[c]])))/(2*INDEX(Overview[a],2))</f>
        <v>0.35727519357038756</v>
      </c>
      <c r="AC23" s="3">
        <f>(-INDEX(Overview[b],3)+SQRT(POWER(INDEX(Overview[b],3),2)-(4*INDEX(Overview[a],3)*st_c[[#This Row],[c]])))/(2*INDEX(Overview[a],3))</f>
        <v>0.2381834623802582</v>
      </c>
      <c r="AD23" s="3">
        <f>(-INDEX(Overview[b],4)+SQRT(POWER(INDEX(Overview[b],4),2)-(4*INDEX(Overview[a],4)*st_c[[#This Row],[c]])))/(2*INDEX(Overview[a],4))</f>
        <v>0.17863759678519378</v>
      </c>
      <c r="AE23" s="3">
        <f>(-INDEX(Overview[b],5)+SQRT(POWER(INDEX(Overview[b],5),2)-(4*INDEX(Overview[a],5)*st_c[[#This Row],[c]])))/(2*INDEX(Overview[a],5))</f>
        <v>0.14291007742815495</v>
      </c>
      <c r="AF23" s="3">
        <f>(-INDEX(Overview[b],6)+SQRT(POWER(INDEX(Overview[b],6),2)-(4*INDEX(Overview[a],6)*st_c[[#This Row],[c]])))/(2*INDEX(Overview[a],6))</f>
        <v>0.1190917311901291</v>
      </c>
      <c r="AG23" s="3">
        <f>(-INDEX(Overview[b],7)+SQRT(POWER(INDEX(Overview[b],7),2)-(4*INDEX(Overview[a],7)*st_c[[#This Row],[c]])))/(2*INDEX(Overview[a],7))</f>
        <v>0.10207862673439644</v>
      </c>
      <c r="AH23" s="3">
        <f>(-INDEX(Overview[b],8)+SQRT(POWER(INDEX(Overview[b],8),2)-(4*INDEX(Overview[a],8)*st_c[[#This Row],[c]])))/(2*INDEX(Overview[a],8))</f>
        <v>8.931879839259689E-2</v>
      </c>
      <c r="AI23" s="3">
        <f>(-INDEX(Overview[b],9)+SQRT(POWER(INDEX(Overview[b],9),2)-(4*INDEX(Overview[a],9)*st_c[[#This Row],[c]])))/(2*INDEX(Overview[a],9))</f>
        <v>7.9394487460086094E-2</v>
      </c>
      <c r="AJ23" s="19">
        <f>(-INDEX(Overview[b],10)+SQRT(POWER(INDEX(Overview[b],10),2)-(4*INDEX(Overview[a],10)*st_c[[#This Row],[c]])))/(2*INDEX(Overview[a],10))</f>
        <v>7.1455038714077476E-2</v>
      </c>
    </row>
    <row r="24" spans="1:36" x14ac:dyDescent="0.25">
      <c r="A24" s="2">
        <v>2.1000000000000001E-4</v>
      </c>
      <c r="B24" s="3" cm="1">
        <f t="array" ref="B24">SQRT((4*POWER(ttotal1,2)*st_a[[#This Row],[s(ta)]])/(9*s_t))</f>
        <v>0.17638342073763938</v>
      </c>
      <c r="C24" s="3" cm="1">
        <f t="array" ref="C24">SQRT((4*POWER(ttotal2,2)*st_a[[#This Row],[s(ta)]])/(9*s_t))</f>
        <v>8.819171036881969E-2</v>
      </c>
      <c r="D24" s="3" cm="1">
        <f t="array" ref="D24">SQRT((4*POWER(ttotal3,2)*st_a[[#This Row],[s(ta)]])/(9*s_t))</f>
        <v>5.8794473579213122E-2</v>
      </c>
      <c r="E24" s="3" cm="1">
        <f t="array" ref="E24">SQRT((4*POWER(ttotal4,2)*st_a[[#This Row],[s(ta)]])/(9*s_t))</f>
        <v>4.4095855184409845E-2</v>
      </c>
      <c r="F24" s="3" cm="1">
        <f t="array" ref="F24">SQRT((4*POWER(ttotal5,2)*st_a[[#This Row],[s(ta)]])/(9*s_t))</f>
        <v>3.5276684147527881E-2</v>
      </c>
      <c r="G24" s="3" cm="1">
        <f t="array" ref="G24">SQRT((4*POWER(ttotal6,2)*st_a[[#This Row],[s(ta)]])/(9*s_t))</f>
        <v>2.9397236789606561E-2</v>
      </c>
      <c r="H24" s="3" cm="1">
        <f t="array" ref="H24">SQRT((4*POWER(ttotal7,2)*st_a[[#This Row],[s(ta)]])/(9*s_t))</f>
        <v>2.5197631533948481E-2</v>
      </c>
      <c r="I24" s="3" cm="1">
        <f t="array" ref="I24">SQRT((4*POWER(ttotal8,2)*st_a[[#This Row],[s(ta)]])/(9*s_t))</f>
        <v>2.2047927592204922E-2</v>
      </c>
      <c r="J24" s="3" cm="1">
        <f t="array" ref="J24">SQRT((4*POWER(ttotal9,2)*st_a[[#This Row],[s(ta)]])/(9*s_t))</f>
        <v>1.9598157859737706E-2</v>
      </c>
      <c r="K24" s="3" cm="1">
        <f t="array" ref="K24">SQRT((4*POWER(ttotal10,2)*st_a[[#This Row],[s(ta)]])/(9*s_t))</f>
        <v>1.7638342073763941E-2</v>
      </c>
      <c r="M24" s="8">
        <v>9.6000000000000013E-4</v>
      </c>
      <c r="N24" s="3" cm="1">
        <f t="array" ref="N24">((2*ttotal1)/(3*s_t))*(st_b[[#This Row],[s(tb)]]+(s_t/4))</f>
        <v>0.38</v>
      </c>
      <c r="O24" s="3" cm="1">
        <f t="array" ref="O24">((2*ttotal2)/(3*s_t))*(st_b[[#This Row],[s(tb)]]+(s_t/4))</f>
        <v>0.19</v>
      </c>
      <c r="P24" s="3" cm="1">
        <f t="array" ref="P24">((2*ttotal3)/(3*s_t))*(st_b[[#This Row],[s(tb)]]+(s_t/4))</f>
        <v>0.12666666666666665</v>
      </c>
      <c r="Q24" s="3" cm="1">
        <f t="array" ref="Q24">((2*ttotal4)/(3*s_t))*(st_b[[#This Row],[s(tb)]]+(s_t/4))</f>
        <v>9.5000000000000001E-2</v>
      </c>
      <c r="R24" s="3" cm="1">
        <f t="array" ref="R24">((2*ttotal5)/(3*s_t))*(st_b[[#This Row],[s(tb)]]+(s_t/4))</f>
        <v>7.5999999999999998E-2</v>
      </c>
      <c r="S24" s="3" cm="1">
        <f t="array" ref="S24">((2*ttotal6)/(3*s_t))*(st_b[[#This Row],[s(tb)]]+(s_t/4))</f>
        <v>6.3333333333333325E-2</v>
      </c>
      <c r="T24" s="3" cm="1">
        <f t="array" ref="T24">((2*ttotal7)/(3*s_t))*(st_b[[#This Row],[s(tb)]]+(s_t/4))</f>
        <v>5.4285714285714277E-2</v>
      </c>
      <c r="U24" s="3" cm="1">
        <f t="array" ref="U24">((2*ttotal8)/(3*s_t))*(st_b[[#This Row],[s(tb)]]+(s_t/4))</f>
        <v>4.7500000000000001E-2</v>
      </c>
      <c r="V24" s="3" cm="1">
        <f t="array" ref="V24">((2*ttotal9)/(3*s_t))*(st_b[[#This Row],[s(tb)]]+(s_t/4))</f>
        <v>4.2222222222222217E-2</v>
      </c>
      <c r="W24" s="3" cm="1">
        <f t="array" ref="W24">((2*ttotal10)/(3*s_t))*(st_b[[#This Row],[s(tb)]]+(s_t/4))</f>
        <v>3.7999999999999999E-2</v>
      </c>
      <c r="Y24" s="8">
        <v>2.4600000000000004E-3</v>
      </c>
      <c r="Z24" s="3" cm="1">
        <f t="array" ref="Z24">(-5*s_t/4)-Y24</f>
        <v>-6.2100000000000002E-3</v>
      </c>
      <c r="AA24" s="3">
        <f>(-INDEX(Overview[b],1)+SQRT(POWER(INDEX(Overview[b],1),2)-(4*INDEX(Overview[a],1)*st_c[[#This Row],[c]])))/(2*INDEX(Overview[a],1))</f>
        <v>0.7171572875253811</v>
      </c>
      <c r="AB24" s="3">
        <f>(-INDEX(Overview[b],2)+SQRT(POWER(INDEX(Overview[b],2),2)-(4*INDEX(Overview[a],2)*st_c[[#This Row],[c]])))/(2*INDEX(Overview[a],2))</f>
        <v>0.35857864376269055</v>
      </c>
      <c r="AC24" s="3">
        <f>(-INDEX(Overview[b],3)+SQRT(POWER(INDEX(Overview[b],3),2)-(4*INDEX(Overview[a],3)*st_c[[#This Row],[c]])))/(2*INDEX(Overview[a],3))</f>
        <v>0.2390524291751269</v>
      </c>
      <c r="AD24" s="3">
        <f>(-INDEX(Overview[b],4)+SQRT(POWER(INDEX(Overview[b],4),2)-(4*INDEX(Overview[a],4)*st_c[[#This Row],[c]])))/(2*INDEX(Overview[a],4))</f>
        <v>0.17928932188134528</v>
      </c>
      <c r="AE24" s="3">
        <f>(-INDEX(Overview[b],5)+SQRT(POWER(INDEX(Overview[b],5),2)-(4*INDEX(Overview[a],5)*st_c[[#This Row],[c]])))/(2*INDEX(Overview[a],5))</f>
        <v>0.14343145750507616</v>
      </c>
      <c r="AF24" s="3">
        <f>(-INDEX(Overview[b],6)+SQRT(POWER(INDEX(Overview[b],6),2)-(4*INDEX(Overview[a],6)*st_c[[#This Row],[c]])))/(2*INDEX(Overview[a],6))</f>
        <v>0.11952621458756345</v>
      </c>
      <c r="AG24" s="3">
        <f>(-INDEX(Overview[b],7)+SQRT(POWER(INDEX(Overview[b],7),2)-(4*INDEX(Overview[a],7)*st_c[[#This Row],[c]])))/(2*INDEX(Overview[a],7))</f>
        <v>0.10245104107505446</v>
      </c>
      <c r="AH24" s="3">
        <f>(-INDEX(Overview[b],8)+SQRT(POWER(INDEX(Overview[b],8),2)-(4*INDEX(Overview[a],8)*st_c[[#This Row],[c]])))/(2*INDEX(Overview[a],8))</f>
        <v>8.9644660940672638E-2</v>
      </c>
      <c r="AI24" s="3">
        <f>(-INDEX(Overview[b],9)+SQRT(POWER(INDEX(Overview[b],9),2)-(4*INDEX(Overview[a],9)*st_c[[#This Row],[c]])))/(2*INDEX(Overview[a],9))</f>
        <v>7.9684143058375664E-2</v>
      </c>
      <c r="AJ24" s="19">
        <f>(-INDEX(Overview[b],10)+SQRT(POWER(INDEX(Overview[b],10),2)-(4*INDEX(Overview[a],10)*st_c[[#This Row],[c]])))/(2*INDEX(Overview[a],10))</f>
        <v>7.171572875253808E-2</v>
      </c>
    </row>
    <row r="25" spans="1:36" x14ac:dyDescent="0.25">
      <c r="A25" s="2">
        <v>2.2000000000000001E-4</v>
      </c>
      <c r="B25" s="3" cm="1">
        <f t="array" ref="B25">SQRT((4*POWER(ttotal1,2)*st_a[[#This Row],[s(ta)]])/(9*s_t))</f>
        <v>0.18053418676968802</v>
      </c>
      <c r="C25" s="3" cm="1">
        <f t="array" ref="C25">SQRT((4*POWER(ttotal2,2)*st_a[[#This Row],[s(ta)]])/(9*s_t))</f>
        <v>9.026709338484401E-2</v>
      </c>
      <c r="D25" s="3" cm="1">
        <f t="array" ref="D25">SQRT((4*POWER(ttotal3,2)*st_a[[#This Row],[s(ta)]])/(9*s_t))</f>
        <v>6.0178062256562671E-2</v>
      </c>
      <c r="E25" s="3" cm="1">
        <f t="array" ref="E25">SQRT((4*POWER(ttotal4,2)*st_a[[#This Row],[s(ta)]])/(9*s_t))</f>
        <v>4.5133546692422005E-2</v>
      </c>
      <c r="F25" s="3" cm="1">
        <f t="array" ref="F25">SQRT((4*POWER(ttotal5,2)*st_a[[#This Row],[s(ta)]])/(9*s_t))</f>
        <v>3.6106837353937604E-2</v>
      </c>
      <c r="G25" s="3" cm="1">
        <f t="array" ref="G25">SQRT((4*POWER(ttotal6,2)*st_a[[#This Row],[s(ta)]])/(9*s_t))</f>
        <v>3.0089031128281336E-2</v>
      </c>
      <c r="H25" s="3" cm="1">
        <f t="array" ref="H25">SQRT((4*POWER(ttotal7,2)*st_a[[#This Row],[s(ta)]])/(9*s_t))</f>
        <v>2.5790598109955428E-2</v>
      </c>
      <c r="I25" s="3" cm="1">
        <f t="array" ref="I25">SQRT((4*POWER(ttotal8,2)*st_a[[#This Row],[s(ta)]])/(9*s_t))</f>
        <v>2.2566773346211003E-2</v>
      </c>
      <c r="J25" s="3" cm="1">
        <f t="array" ref="J25">SQRT((4*POWER(ttotal9,2)*st_a[[#This Row],[s(ta)]])/(9*s_t))</f>
        <v>2.005935408552089E-2</v>
      </c>
      <c r="K25" s="3" cm="1">
        <f t="array" ref="K25">SQRT((4*POWER(ttotal10,2)*st_a[[#This Row],[s(ta)]])/(9*s_t))</f>
        <v>1.8053418676968802E-2</v>
      </c>
      <c r="M25" s="8">
        <v>9.7000000000000005E-4</v>
      </c>
      <c r="N25" s="3" cm="1">
        <f t="array" ref="N25">((2*ttotal1)/(3*s_t))*(st_b[[#This Row],[s(tb)]]+(s_t/4))</f>
        <v>0.38222222222222224</v>
      </c>
      <c r="O25" s="3" cm="1">
        <f t="array" ref="O25">((2*ttotal2)/(3*s_t))*(st_b[[#This Row],[s(tb)]]+(s_t/4))</f>
        <v>0.19111111111111112</v>
      </c>
      <c r="P25" s="3" cm="1">
        <f t="array" ref="P25">((2*ttotal3)/(3*s_t))*(st_b[[#This Row],[s(tb)]]+(s_t/4))</f>
        <v>0.12740740740740739</v>
      </c>
      <c r="Q25" s="3" cm="1">
        <f t="array" ref="Q25">((2*ttotal4)/(3*s_t))*(st_b[[#This Row],[s(tb)]]+(s_t/4))</f>
        <v>9.555555555555556E-2</v>
      </c>
      <c r="R25" s="3" cm="1">
        <f t="array" ref="R25">((2*ttotal5)/(3*s_t))*(st_b[[#This Row],[s(tb)]]+(s_t/4))</f>
        <v>7.6444444444444454E-2</v>
      </c>
      <c r="S25" s="3" cm="1">
        <f t="array" ref="S25">((2*ttotal6)/(3*s_t))*(st_b[[#This Row],[s(tb)]]+(s_t/4))</f>
        <v>6.3703703703703693E-2</v>
      </c>
      <c r="T25" s="3" cm="1">
        <f t="array" ref="T25">((2*ttotal7)/(3*s_t))*(st_b[[#This Row],[s(tb)]]+(s_t/4))</f>
        <v>5.4603174603174598E-2</v>
      </c>
      <c r="U25" s="3" cm="1">
        <f t="array" ref="U25">((2*ttotal8)/(3*s_t))*(st_b[[#This Row],[s(tb)]]+(s_t/4))</f>
        <v>4.777777777777778E-2</v>
      </c>
      <c r="V25" s="3" cm="1">
        <f t="array" ref="V25">((2*ttotal9)/(3*s_t))*(st_b[[#This Row],[s(tb)]]+(s_t/4))</f>
        <v>4.2469135802469131E-2</v>
      </c>
      <c r="W25" s="3" cm="1">
        <f t="array" ref="W25">((2*ttotal10)/(3*s_t))*(st_b[[#This Row],[s(tb)]]+(s_t/4))</f>
        <v>3.8222222222222227E-2</v>
      </c>
      <c r="Y25" s="8">
        <v>2.4700000000000004E-3</v>
      </c>
      <c r="Z25" s="3" cm="1">
        <f t="array" ref="Z25">(-5*s_t/4)-Y25</f>
        <v>-6.2199999999999998E-3</v>
      </c>
      <c r="AA25" s="3">
        <f>(-INDEX(Overview[b],1)+SQRT(POWER(INDEX(Overview[b],1),2)-(4*INDEX(Overview[a],1)*st_c[[#This Row],[c]])))/(2*INDEX(Overview[a],1))</f>
        <v>0.7197884397129225</v>
      </c>
      <c r="AB25" s="3">
        <f>(-INDEX(Overview[b],2)+SQRT(POWER(INDEX(Overview[b],2),2)-(4*INDEX(Overview[a],2)*st_c[[#This Row],[c]])))/(2*INDEX(Overview[a],2))</f>
        <v>0.35989421985646125</v>
      </c>
      <c r="AC25" s="3">
        <f>(-INDEX(Overview[b],3)+SQRT(POWER(INDEX(Overview[b],3),2)-(4*INDEX(Overview[a],3)*st_c[[#This Row],[c]])))/(2*INDEX(Overview[a],3))</f>
        <v>0.2399294799043073</v>
      </c>
      <c r="AD25" s="3">
        <f>(-INDEX(Overview[b],4)+SQRT(POWER(INDEX(Overview[b],4),2)-(4*INDEX(Overview[a],4)*st_c[[#This Row],[c]])))/(2*INDEX(Overview[a],4))</f>
        <v>0.17994710992823063</v>
      </c>
      <c r="AE25" s="3">
        <f>(-INDEX(Overview[b],5)+SQRT(POWER(INDEX(Overview[b],5),2)-(4*INDEX(Overview[a],5)*st_c[[#This Row],[c]])))/(2*INDEX(Overview[a],5))</f>
        <v>0.14395768794258443</v>
      </c>
      <c r="AF25" s="3">
        <f>(-INDEX(Overview[b],6)+SQRT(POWER(INDEX(Overview[b],6),2)-(4*INDEX(Overview[a],6)*st_c[[#This Row],[c]])))/(2*INDEX(Overview[a],6))</f>
        <v>0.11996473995215365</v>
      </c>
      <c r="AG25" s="3">
        <f>(-INDEX(Overview[b],7)+SQRT(POWER(INDEX(Overview[b],7),2)-(4*INDEX(Overview[a],7)*st_c[[#This Row],[c]])))/(2*INDEX(Overview[a],7))</f>
        <v>0.10282691995898893</v>
      </c>
      <c r="AH25" s="3">
        <f>(-INDEX(Overview[b],8)+SQRT(POWER(INDEX(Overview[b],8),2)-(4*INDEX(Overview[a],8)*st_c[[#This Row],[c]])))/(2*INDEX(Overview[a],8))</f>
        <v>8.9973554964115313E-2</v>
      </c>
      <c r="AI25" s="3">
        <f>(-INDEX(Overview[b],9)+SQRT(POWER(INDEX(Overview[b],9),2)-(4*INDEX(Overview[a],9)*st_c[[#This Row],[c]])))/(2*INDEX(Overview[a],9))</f>
        <v>7.9976493301435803E-2</v>
      </c>
      <c r="AJ25" s="19">
        <f>(-INDEX(Overview[b],10)+SQRT(POWER(INDEX(Overview[b],10),2)-(4*INDEX(Overview[a],10)*st_c[[#This Row],[c]])))/(2*INDEX(Overview[a],10))</f>
        <v>7.1978843971292214E-2</v>
      </c>
    </row>
    <row r="26" spans="1:36" x14ac:dyDescent="0.25">
      <c r="A26" s="2">
        <v>2.3000000000000001E-4</v>
      </c>
      <c r="B26" s="3" cm="1">
        <f t="array" ref="B26">SQRT((4*POWER(ttotal1,2)*st_a[[#This Row],[s(ta)]])/(9*s_t))</f>
        <v>0.18459164139817943</v>
      </c>
      <c r="C26" s="3" cm="1">
        <f t="array" ref="C26">SQRT((4*POWER(ttotal2,2)*st_a[[#This Row],[s(ta)]])/(9*s_t))</f>
        <v>9.2295820699089717E-2</v>
      </c>
      <c r="D26" s="3" cm="1">
        <f t="array" ref="D26">SQRT((4*POWER(ttotal3,2)*st_a[[#This Row],[s(ta)]])/(9*s_t))</f>
        <v>6.1530547132726481E-2</v>
      </c>
      <c r="E26" s="3" cm="1">
        <f t="array" ref="E26">SQRT((4*POWER(ttotal4,2)*st_a[[#This Row],[s(ta)]])/(9*s_t))</f>
        <v>4.6147910349544859E-2</v>
      </c>
      <c r="F26" s="3" cm="1">
        <f t="array" ref="F26">SQRT((4*POWER(ttotal5,2)*st_a[[#This Row],[s(ta)]])/(9*s_t))</f>
        <v>3.6918328279635891E-2</v>
      </c>
      <c r="G26" s="3" cm="1">
        <f t="array" ref="G26">SQRT((4*POWER(ttotal6,2)*st_a[[#This Row],[s(ta)]])/(9*s_t))</f>
        <v>3.076527356636324E-2</v>
      </c>
      <c r="H26" s="3" cm="1">
        <f t="array" ref="H26">SQRT((4*POWER(ttotal7,2)*st_a[[#This Row],[s(ta)]])/(9*s_t))</f>
        <v>2.6370234485454207E-2</v>
      </c>
      <c r="I26" s="3" cm="1">
        <f t="array" ref="I26">SQRT((4*POWER(ttotal8,2)*st_a[[#This Row],[s(ta)]])/(9*s_t))</f>
        <v>2.3073955174772429E-2</v>
      </c>
      <c r="J26" s="3" cm="1">
        <f t="array" ref="J26">SQRT((4*POWER(ttotal9,2)*st_a[[#This Row],[s(ta)]])/(9*s_t))</f>
        <v>2.0510182377575494E-2</v>
      </c>
      <c r="K26" s="3" cm="1">
        <f t="array" ref="K26">SQRT((4*POWER(ttotal10,2)*st_a[[#This Row],[s(ta)]])/(9*s_t))</f>
        <v>1.8459164139817946E-2</v>
      </c>
      <c r="M26" s="8">
        <v>9.8000000000000019E-4</v>
      </c>
      <c r="N26" s="3" cm="1">
        <f t="array" ref="N26">((2*ttotal1)/(3*s_t))*(st_b[[#This Row],[s(tb)]]+(s_t/4))</f>
        <v>0.38444444444444448</v>
      </c>
      <c r="O26" s="3" cm="1">
        <f t="array" ref="O26">((2*ttotal2)/(3*s_t))*(st_b[[#This Row],[s(tb)]]+(s_t/4))</f>
        <v>0.19222222222222224</v>
      </c>
      <c r="P26" s="3" cm="1">
        <f t="array" ref="P26">((2*ttotal3)/(3*s_t))*(st_b[[#This Row],[s(tb)]]+(s_t/4))</f>
        <v>0.12814814814814815</v>
      </c>
      <c r="Q26" s="3" cm="1">
        <f t="array" ref="Q26">((2*ttotal4)/(3*s_t))*(st_b[[#This Row],[s(tb)]]+(s_t/4))</f>
        <v>9.6111111111111119E-2</v>
      </c>
      <c r="R26" s="3" cm="1">
        <f t="array" ref="R26">((2*ttotal5)/(3*s_t))*(st_b[[#This Row],[s(tb)]]+(s_t/4))</f>
        <v>7.6888888888888896E-2</v>
      </c>
      <c r="S26" s="3" cm="1">
        <f t="array" ref="S26">((2*ttotal6)/(3*s_t))*(st_b[[#This Row],[s(tb)]]+(s_t/4))</f>
        <v>6.4074074074074075E-2</v>
      </c>
      <c r="T26" s="3" cm="1">
        <f t="array" ref="T26">((2*ttotal7)/(3*s_t))*(st_b[[#This Row],[s(tb)]]+(s_t/4))</f>
        <v>5.4920634920634918E-2</v>
      </c>
      <c r="U26" s="3" cm="1">
        <f t="array" ref="U26">((2*ttotal8)/(3*s_t))*(st_b[[#This Row],[s(tb)]]+(s_t/4))</f>
        <v>4.805555555555556E-2</v>
      </c>
      <c r="V26" s="3" cm="1">
        <f t="array" ref="V26">((2*ttotal9)/(3*s_t))*(st_b[[#This Row],[s(tb)]]+(s_t/4))</f>
        <v>4.2716049382716045E-2</v>
      </c>
      <c r="W26" s="3" cm="1">
        <f t="array" ref="W26">((2*ttotal10)/(3*s_t))*(st_b[[#This Row],[s(tb)]]+(s_t/4))</f>
        <v>3.8444444444444448E-2</v>
      </c>
      <c r="Y26" s="8">
        <v>2.48E-3</v>
      </c>
      <c r="Z26" s="3" cm="1">
        <f t="array" ref="Z26">(-5*s_t/4)-Y26</f>
        <v>-6.2299999999999994E-3</v>
      </c>
      <c r="AA26" s="3">
        <f>(-INDEX(Overview[b],1)+SQRT(POWER(INDEX(Overview[b],1),2)-(4*INDEX(Overview[a],1)*st_c[[#This Row],[c]])))/(2*INDEX(Overview[a],1))</f>
        <v>0.72244453340451575</v>
      </c>
      <c r="AB26" s="3">
        <f>(-INDEX(Overview[b],2)+SQRT(POWER(INDEX(Overview[b],2),2)-(4*INDEX(Overview[a],2)*st_c[[#This Row],[c]])))/(2*INDEX(Overview[a],2))</f>
        <v>0.36122226670225788</v>
      </c>
      <c r="AC26" s="3">
        <f>(-INDEX(Overview[b],3)+SQRT(POWER(INDEX(Overview[b],3),2)-(4*INDEX(Overview[a],3)*st_c[[#This Row],[c]])))/(2*INDEX(Overview[a],3))</f>
        <v>0.24081484446817167</v>
      </c>
      <c r="AD26" s="3">
        <f>(-INDEX(Overview[b],4)+SQRT(POWER(INDEX(Overview[b],4),2)-(4*INDEX(Overview[a],4)*st_c[[#This Row],[c]])))/(2*INDEX(Overview[a],4))</f>
        <v>0.18061113335112894</v>
      </c>
      <c r="AE26" s="3">
        <f>(-INDEX(Overview[b],5)+SQRT(POWER(INDEX(Overview[b],5),2)-(4*INDEX(Overview[a],5)*st_c[[#This Row],[c]])))/(2*INDEX(Overview[a],5))</f>
        <v>0.14448890668090306</v>
      </c>
      <c r="AF26" s="3">
        <f>(-INDEX(Overview[b],6)+SQRT(POWER(INDEX(Overview[b],6),2)-(4*INDEX(Overview[a],6)*st_c[[#This Row],[c]])))/(2*INDEX(Overview[a],6))</f>
        <v>0.12040742223408583</v>
      </c>
      <c r="AG26" s="3">
        <f>(-INDEX(Overview[b],7)+SQRT(POWER(INDEX(Overview[b],7),2)-(4*INDEX(Overview[a],7)*st_c[[#This Row],[c]])))/(2*INDEX(Overview[a],7))</f>
        <v>0.10320636191493079</v>
      </c>
      <c r="AH26" s="3">
        <f>(-INDEX(Overview[b],8)+SQRT(POWER(INDEX(Overview[b],8),2)-(4*INDEX(Overview[a],8)*st_c[[#This Row],[c]])))/(2*INDEX(Overview[a],8))</f>
        <v>9.0305566675564469E-2</v>
      </c>
      <c r="AI26" s="3">
        <f>(-INDEX(Overview[b],9)+SQRT(POWER(INDEX(Overview[b],9),2)-(4*INDEX(Overview[a],9)*st_c[[#This Row],[c]])))/(2*INDEX(Overview[a],9))</f>
        <v>8.0271614822723908E-2</v>
      </c>
      <c r="AJ26" s="19">
        <f>(-INDEX(Overview[b],10)+SQRT(POWER(INDEX(Overview[b],10),2)-(4*INDEX(Overview[a],10)*st_c[[#This Row],[c]])))/(2*INDEX(Overview[a],10))</f>
        <v>7.2244453340451528E-2</v>
      </c>
    </row>
    <row r="27" spans="1:36" x14ac:dyDescent="0.25">
      <c r="A27" s="2">
        <v>2.4000000000000003E-4</v>
      </c>
      <c r="B27" s="3" cm="1">
        <f t="array" ref="B27">SQRT((4*POWER(ttotal1,2)*st_a[[#This Row],[s(ta)]])/(9*s_t))</f>
        <v>0.1885618083164127</v>
      </c>
      <c r="C27" s="3" cm="1">
        <f t="array" ref="C27">SQRT((4*POWER(ttotal2,2)*st_a[[#This Row],[s(ta)]])/(9*s_t))</f>
        <v>9.428090415820635E-2</v>
      </c>
      <c r="D27" s="3" cm="1">
        <f t="array" ref="D27">SQRT((4*POWER(ttotal3,2)*st_a[[#This Row],[s(ta)]])/(9*s_t))</f>
        <v>6.2853936105470895E-2</v>
      </c>
      <c r="E27" s="3" cm="1">
        <f t="array" ref="E27">SQRT((4*POWER(ttotal4,2)*st_a[[#This Row],[s(ta)]])/(9*s_t))</f>
        <v>4.7140452079103175E-2</v>
      </c>
      <c r="F27" s="3" cm="1">
        <f t="array" ref="F27">SQRT((4*POWER(ttotal5,2)*st_a[[#This Row],[s(ta)]])/(9*s_t))</f>
        <v>3.771236166328254E-2</v>
      </c>
      <c r="G27" s="3" cm="1">
        <f t="array" ref="G27">SQRT((4*POWER(ttotal6,2)*st_a[[#This Row],[s(ta)]])/(9*s_t))</f>
        <v>3.1426968052735448E-2</v>
      </c>
      <c r="H27" s="3" cm="1">
        <f t="array" ref="H27">SQRT((4*POWER(ttotal7,2)*st_a[[#This Row],[s(ta)]])/(9*s_t))</f>
        <v>2.6937401188058954E-2</v>
      </c>
      <c r="I27" s="3" cm="1">
        <f t="array" ref="I27">SQRT((4*POWER(ttotal8,2)*st_a[[#This Row],[s(ta)]])/(9*s_t))</f>
        <v>2.3570226039551587E-2</v>
      </c>
      <c r="J27" s="3" cm="1">
        <f t="array" ref="J27">SQRT((4*POWER(ttotal9,2)*st_a[[#This Row],[s(ta)]])/(9*s_t))</f>
        <v>2.0951312035156964E-2</v>
      </c>
      <c r="K27" s="3" cm="1">
        <f t="array" ref="K27">SQRT((4*POWER(ttotal10,2)*st_a[[#This Row],[s(ta)]])/(9*s_t))</f>
        <v>1.885618083164127E-2</v>
      </c>
      <c r="M27" s="8">
        <v>9.8999999999999999E-4</v>
      </c>
      <c r="N27" s="3" cm="1">
        <f t="array" ref="N27">((2*ttotal1)/(3*s_t))*(st_b[[#This Row],[s(tb)]]+(s_t/4))</f>
        <v>0.3866666666666666</v>
      </c>
      <c r="O27" s="3" cm="1">
        <f t="array" ref="O27">((2*ttotal2)/(3*s_t))*(st_b[[#This Row],[s(tb)]]+(s_t/4))</f>
        <v>0.1933333333333333</v>
      </c>
      <c r="P27" s="3" cm="1">
        <f t="array" ref="P27">((2*ttotal3)/(3*s_t))*(st_b[[#This Row],[s(tb)]]+(s_t/4))</f>
        <v>0.12888888888888886</v>
      </c>
      <c r="Q27" s="3" cm="1">
        <f t="array" ref="Q27">((2*ttotal4)/(3*s_t))*(st_b[[#This Row],[s(tb)]]+(s_t/4))</f>
        <v>9.6666666666666651E-2</v>
      </c>
      <c r="R27" s="3" cm="1">
        <f t="array" ref="R27">((2*ttotal5)/(3*s_t))*(st_b[[#This Row],[s(tb)]]+(s_t/4))</f>
        <v>7.7333333333333337E-2</v>
      </c>
      <c r="S27" s="3" cm="1">
        <f t="array" ref="S27">((2*ttotal6)/(3*s_t))*(st_b[[#This Row],[s(tb)]]+(s_t/4))</f>
        <v>6.4444444444444429E-2</v>
      </c>
      <c r="T27" s="3" cm="1">
        <f t="array" ref="T27">((2*ttotal7)/(3*s_t))*(st_b[[#This Row],[s(tb)]]+(s_t/4))</f>
        <v>5.5238095238095225E-2</v>
      </c>
      <c r="U27" s="3" cm="1">
        <f t="array" ref="U27">((2*ttotal8)/(3*s_t))*(st_b[[#This Row],[s(tb)]]+(s_t/4))</f>
        <v>4.8333333333333325E-2</v>
      </c>
      <c r="V27" s="3" cm="1">
        <f t="array" ref="V27">((2*ttotal9)/(3*s_t))*(st_b[[#This Row],[s(tb)]]+(s_t/4))</f>
        <v>4.2962962962962953E-2</v>
      </c>
      <c r="W27" s="3" cm="1">
        <f t="array" ref="W27">((2*ttotal10)/(3*s_t))*(st_b[[#This Row],[s(tb)]]+(s_t/4))</f>
        <v>3.8666666666666669E-2</v>
      </c>
      <c r="Y27" s="8">
        <v>2.49E-3</v>
      </c>
      <c r="Z27" s="3" cm="1">
        <f t="array" ref="Z27">(-5*s_t/4)-Y27</f>
        <v>-6.2399999999999999E-3</v>
      </c>
      <c r="AA27" s="3">
        <f>(-INDEX(Overview[b],1)+SQRT(POWER(INDEX(Overview[b],1),2)-(4*INDEX(Overview[a],1)*st_c[[#This Row],[c]])))/(2*INDEX(Overview[a],1))</f>
        <v>0.72512629162548925</v>
      </c>
      <c r="AB27" s="3">
        <f>(-INDEX(Overview[b],2)+SQRT(POWER(INDEX(Overview[b],2),2)-(4*INDEX(Overview[a],2)*st_c[[#This Row],[c]])))/(2*INDEX(Overview[a],2))</f>
        <v>0.36256314581274462</v>
      </c>
      <c r="AC27" s="3">
        <f>(-INDEX(Overview[b],3)+SQRT(POWER(INDEX(Overview[b],3),2)-(4*INDEX(Overview[a],3)*st_c[[#This Row],[c]])))/(2*INDEX(Overview[a],3))</f>
        <v>0.24170876387516291</v>
      </c>
      <c r="AD27" s="3">
        <f>(-INDEX(Overview[b],4)+SQRT(POWER(INDEX(Overview[b],4),2)-(4*INDEX(Overview[a],4)*st_c[[#This Row],[c]])))/(2*INDEX(Overview[a],4))</f>
        <v>0.18128157290637231</v>
      </c>
      <c r="AE27" s="3">
        <f>(-INDEX(Overview[b],5)+SQRT(POWER(INDEX(Overview[b],5),2)-(4*INDEX(Overview[a],5)*st_c[[#This Row],[c]])))/(2*INDEX(Overview[a],5))</f>
        <v>0.14502525832509777</v>
      </c>
      <c r="AF27" s="3">
        <f>(-INDEX(Overview[b],6)+SQRT(POWER(INDEX(Overview[b],6),2)-(4*INDEX(Overview[a],6)*st_c[[#This Row],[c]])))/(2*INDEX(Overview[a],6))</f>
        <v>0.12085438193758145</v>
      </c>
      <c r="AG27" s="3">
        <f>(-INDEX(Overview[b],7)+SQRT(POWER(INDEX(Overview[b],7),2)-(4*INDEX(Overview[a],7)*st_c[[#This Row],[c]])))/(2*INDEX(Overview[a],7))</f>
        <v>0.10358947023221274</v>
      </c>
      <c r="AH27" s="3">
        <f>(-INDEX(Overview[b],8)+SQRT(POWER(INDEX(Overview[b],8),2)-(4*INDEX(Overview[a],8)*st_c[[#This Row],[c]])))/(2*INDEX(Overview[a],8))</f>
        <v>9.0640786453186156E-2</v>
      </c>
      <c r="AI27" s="3">
        <f>(-INDEX(Overview[b],9)+SQRT(POWER(INDEX(Overview[b],9),2)-(4*INDEX(Overview[a],9)*st_c[[#This Row],[c]])))/(2*INDEX(Overview[a],9))</f>
        <v>8.0569587958387687E-2</v>
      </c>
      <c r="AJ27" s="19">
        <f>(-INDEX(Overview[b],10)+SQRT(POWER(INDEX(Overview[b],10),2)-(4*INDEX(Overview[a],10)*st_c[[#This Row],[c]])))/(2*INDEX(Overview[a],10))</f>
        <v>7.2512629162548886E-2</v>
      </c>
    </row>
    <row r="28" spans="1:36" x14ac:dyDescent="0.25">
      <c r="A28" s="2">
        <v>2.5000000000000001E-4</v>
      </c>
      <c r="B28" s="3" cm="1">
        <f t="array" ref="B28">SQRT((4*POWER(ttotal1,2)*st_a[[#This Row],[s(ta)]])/(9*s_t))</f>
        <v>0.19245008972987526</v>
      </c>
      <c r="C28" s="3" cm="1">
        <f t="array" ref="C28">SQRT((4*POWER(ttotal2,2)*st_a[[#This Row],[s(ta)]])/(9*s_t))</f>
        <v>9.6225044864937631E-2</v>
      </c>
      <c r="D28" s="3" cm="1">
        <f t="array" ref="D28">SQRT((4*POWER(ttotal3,2)*st_a[[#This Row],[s(ta)]])/(9*s_t))</f>
        <v>6.4150029909958411E-2</v>
      </c>
      <c r="E28" s="3" cm="1">
        <f t="array" ref="E28">SQRT((4*POWER(ttotal4,2)*st_a[[#This Row],[s(ta)]])/(9*s_t))</f>
        <v>4.8112522432468816E-2</v>
      </c>
      <c r="F28" s="3" cm="1">
        <f t="array" ref="F28">SQRT((4*POWER(ttotal5,2)*st_a[[#This Row],[s(ta)]])/(9*s_t))</f>
        <v>3.8490017945975057E-2</v>
      </c>
      <c r="G28" s="3" cm="1">
        <f t="array" ref="G28">SQRT((4*POWER(ttotal6,2)*st_a[[#This Row],[s(ta)]])/(9*s_t))</f>
        <v>3.2075014954979206E-2</v>
      </c>
      <c r="H28" s="3" cm="1">
        <f t="array" ref="H28">SQRT((4*POWER(ttotal7,2)*st_a[[#This Row],[s(ta)]])/(9*s_t))</f>
        <v>2.7492869961410753E-2</v>
      </c>
      <c r="I28" s="3" cm="1">
        <f t="array" ref="I28">SQRT((4*POWER(ttotal8,2)*st_a[[#This Row],[s(ta)]])/(9*s_t))</f>
        <v>2.4056261216234408E-2</v>
      </c>
      <c r="J28" s="3" cm="1">
        <f t="array" ref="J28">SQRT((4*POWER(ttotal9,2)*st_a[[#This Row],[s(ta)]])/(9*s_t))</f>
        <v>2.1383343303319473E-2</v>
      </c>
      <c r="K28" s="3" cm="1">
        <f t="array" ref="K28">SQRT((4*POWER(ttotal10,2)*st_a[[#This Row],[s(ta)]])/(9*s_t))</f>
        <v>1.9245008972987528E-2</v>
      </c>
      <c r="M28" s="8">
        <v>1E-3</v>
      </c>
      <c r="N28" s="3" cm="1">
        <f t="array" ref="N28">((2*ttotal1)/(3*s_t))*(st_b[[#This Row],[s(tb)]]+(s_t/4))</f>
        <v>0.38888888888888884</v>
      </c>
      <c r="O28" s="3" cm="1">
        <f t="array" ref="O28">((2*ttotal2)/(3*s_t))*(st_b[[#This Row],[s(tb)]]+(s_t/4))</f>
        <v>0.19444444444444442</v>
      </c>
      <c r="P28" s="3" cm="1">
        <f t="array" ref="P28">((2*ttotal3)/(3*s_t))*(st_b[[#This Row],[s(tb)]]+(s_t/4))</f>
        <v>0.12962962962962962</v>
      </c>
      <c r="Q28" s="3" cm="1">
        <f t="array" ref="Q28">((2*ttotal4)/(3*s_t))*(st_b[[#This Row],[s(tb)]]+(s_t/4))</f>
        <v>9.722222222222221E-2</v>
      </c>
      <c r="R28" s="3" cm="1">
        <f t="array" ref="R28">((2*ttotal5)/(3*s_t))*(st_b[[#This Row],[s(tb)]]+(s_t/4))</f>
        <v>7.7777777777777779E-2</v>
      </c>
      <c r="S28" s="3" cm="1">
        <f t="array" ref="S28">((2*ttotal6)/(3*s_t))*(st_b[[#This Row],[s(tb)]]+(s_t/4))</f>
        <v>6.4814814814814811E-2</v>
      </c>
      <c r="T28" s="3" cm="1">
        <f t="array" ref="T28">((2*ttotal7)/(3*s_t))*(st_b[[#This Row],[s(tb)]]+(s_t/4))</f>
        <v>5.5555555555555546E-2</v>
      </c>
      <c r="U28" s="3" cm="1">
        <f t="array" ref="U28">((2*ttotal8)/(3*s_t))*(st_b[[#This Row],[s(tb)]]+(s_t/4))</f>
        <v>4.8611111111111105E-2</v>
      </c>
      <c r="V28" s="3" cm="1">
        <f t="array" ref="V28">((2*ttotal9)/(3*s_t))*(st_b[[#This Row],[s(tb)]]+(s_t/4))</f>
        <v>4.3209876543209867E-2</v>
      </c>
      <c r="W28" s="3" cm="1">
        <f t="array" ref="W28">((2*ttotal10)/(3*s_t))*(st_b[[#This Row],[s(tb)]]+(s_t/4))</f>
        <v>3.888888888888889E-2</v>
      </c>
      <c r="Y28" s="8">
        <v>2.5000000000000001E-3</v>
      </c>
      <c r="Z28" s="3" cm="1">
        <f t="array" ref="Z28">(-5*s_t/4)-Y28</f>
        <v>-6.2500000000000003E-3</v>
      </c>
      <c r="AA28" s="3">
        <f>(-INDEX(Overview[b],1)+SQRT(POWER(INDEX(Overview[b],1),2)-(4*INDEX(Overview[a],1)*st_c[[#This Row],[c]])))/(2*INDEX(Overview[a],1))</f>
        <v>0.72783447302409165</v>
      </c>
      <c r="AB28" s="3">
        <f>(-INDEX(Overview[b],2)+SQRT(POWER(INDEX(Overview[b],2),2)-(4*INDEX(Overview[a],2)*st_c[[#This Row],[c]])))/(2*INDEX(Overview[a],2))</f>
        <v>0.36391723651204583</v>
      </c>
      <c r="AC28" s="3">
        <f>(-INDEX(Overview[b],3)+SQRT(POWER(INDEX(Overview[b],3),2)-(4*INDEX(Overview[a],3)*st_c[[#This Row],[c]])))/(2*INDEX(Overview[a],3))</f>
        <v>0.24261149100803031</v>
      </c>
      <c r="AD28" s="3">
        <f>(-INDEX(Overview[b],4)+SQRT(POWER(INDEX(Overview[b],4),2)-(4*INDEX(Overview[a],4)*st_c[[#This Row],[c]])))/(2*INDEX(Overview[a],4))</f>
        <v>0.18195861825602291</v>
      </c>
      <c r="AE28" s="3">
        <f>(-INDEX(Overview[b],5)+SQRT(POWER(INDEX(Overview[b],5),2)-(4*INDEX(Overview[a],5)*st_c[[#This Row],[c]])))/(2*INDEX(Overview[a],5))</f>
        <v>0.14556689460481823</v>
      </c>
      <c r="AF28" s="3">
        <f>(-INDEX(Overview[b],6)+SQRT(POWER(INDEX(Overview[b],6),2)-(4*INDEX(Overview[a],6)*st_c[[#This Row],[c]])))/(2*INDEX(Overview[a],6))</f>
        <v>0.12130574550401516</v>
      </c>
      <c r="AG28" s="3">
        <f>(-INDEX(Overview[b],7)+SQRT(POWER(INDEX(Overview[b],7),2)-(4*INDEX(Overview[a],7)*st_c[[#This Row],[c]])))/(2*INDEX(Overview[a],7))</f>
        <v>0.10397635328915592</v>
      </c>
      <c r="AH28" s="3">
        <f>(-INDEX(Overview[b],8)+SQRT(POWER(INDEX(Overview[b],8),2)-(4*INDEX(Overview[a],8)*st_c[[#This Row],[c]])))/(2*INDEX(Overview[a],8))</f>
        <v>9.0979309128011457E-2</v>
      </c>
      <c r="AI28" s="3">
        <f>(-INDEX(Overview[b],9)+SQRT(POWER(INDEX(Overview[b],9),2)-(4*INDEX(Overview[a],9)*st_c[[#This Row],[c]])))/(2*INDEX(Overview[a],9))</f>
        <v>8.0870497002676803E-2</v>
      </c>
      <c r="AJ28" s="19">
        <f>(-INDEX(Overview[b],10)+SQRT(POWER(INDEX(Overview[b],10),2)-(4*INDEX(Overview[a],10)*st_c[[#This Row],[c]])))/(2*INDEX(Overview[a],10))</f>
        <v>7.2783447302409113E-2</v>
      </c>
    </row>
    <row r="29" spans="1:36" x14ac:dyDescent="0.25">
      <c r="A29" s="2">
        <v>2.6000000000000003E-4</v>
      </c>
      <c r="B29" s="3" cm="1">
        <f t="array" ref="B29">SQRT((4*POWER(ttotal1,2)*st_a[[#This Row],[s(ta)]])/(9*s_t))</f>
        <v>0.19626135258506328</v>
      </c>
      <c r="C29" s="3" cm="1">
        <f t="array" ref="C29">SQRT((4*POWER(ttotal2,2)*st_a[[#This Row],[s(ta)]])/(9*s_t))</f>
        <v>9.8130676292531638E-2</v>
      </c>
      <c r="D29" s="3" cm="1">
        <f t="array" ref="D29">SQRT((4*POWER(ttotal3,2)*st_a[[#This Row],[s(ta)]])/(9*s_t))</f>
        <v>6.5420450861687754E-2</v>
      </c>
      <c r="E29" s="3" cm="1">
        <f t="array" ref="E29">SQRT((4*POWER(ttotal4,2)*st_a[[#This Row],[s(ta)]])/(9*s_t))</f>
        <v>4.9065338146265819E-2</v>
      </c>
      <c r="F29" s="3" cm="1">
        <f t="array" ref="F29">SQRT((4*POWER(ttotal5,2)*st_a[[#This Row],[s(ta)]])/(9*s_t))</f>
        <v>3.9252270517012661E-2</v>
      </c>
      <c r="G29" s="3" cm="1">
        <f t="array" ref="G29">SQRT((4*POWER(ttotal6,2)*st_a[[#This Row],[s(ta)]])/(9*s_t))</f>
        <v>3.2710225430843877E-2</v>
      </c>
      <c r="H29" s="3" cm="1">
        <f t="array" ref="H29">SQRT((4*POWER(ttotal7,2)*st_a[[#This Row],[s(ta)]])/(9*s_t))</f>
        <v>2.8037336083580465E-2</v>
      </c>
      <c r="I29" s="3" cm="1">
        <f t="array" ref="I29">SQRT((4*POWER(ttotal8,2)*st_a[[#This Row],[s(ta)]])/(9*s_t))</f>
        <v>2.4532669073132909E-2</v>
      </c>
      <c r="J29" s="3" cm="1">
        <f t="array" ref="J29">SQRT((4*POWER(ttotal9,2)*st_a[[#This Row],[s(ta)]])/(9*s_t))</f>
        <v>2.180681695389592E-2</v>
      </c>
      <c r="K29" s="3" cm="1">
        <f t="array" ref="K29">SQRT((4*POWER(ttotal10,2)*st_a[[#This Row],[s(ta)]])/(9*s_t))</f>
        <v>1.962613525850633E-2</v>
      </c>
      <c r="M29" s="8">
        <v>1.01E-3</v>
      </c>
      <c r="N29" s="3" cm="1">
        <f t="array" ref="N29">((2*ttotal1)/(3*s_t))*(st_b[[#This Row],[s(tb)]]+(s_t/4))</f>
        <v>0.39111111111111108</v>
      </c>
      <c r="O29" s="3" cm="1">
        <f t="array" ref="O29">((2*ttotal2)/(3*s_t))*(st_b[[#This Row],[s(tb)]]+(s_t/4))</f>
        <v>0.19555555555555554</v>
      </c>
      <c r="P29" s="3" cm="1">
        <f t="array" ref="P29">((2*ttotal3)/(3*s_t))*(st_b[[#This Row],[s(tb)]]+(s_t/4))</f>
        <v>0.13037037037037036</v>
      </c>
      <c r="Q29" s="3" cm="1">
        <f t="array" ref="Q29">((2*ttotal4)/(3*s_t))*(st_b[[#This Row],[s(tb)]]+(s_t/4))</f>
        <v>9.7777777777777769E-2</v>
      </c>
      <c r="R29" s="3" cm="1">
        <f t="array" ref="R29">((2*ttotal5)/(3*s_t))*(st_b[[#This Row],[s(tb)]]+(s_t/4))</f>
        <v>7.8222222222222221E-2</v>
      </c>
      <c r="S29" s="3" cm="1">
        <f t="array" ref="S29">((2*ttotal6)/(3*s_t))*(st_b[[#This Row],[s(tb)]]+(s_t/4))</f>
        <v>6.5185185185185179E-2</v>
      </c>
      <c r="T29" s="3" cm="1">
        <f t="array" ref="T29">((2*ttotal7)/(3*s_t))*(st_b[[#This Row],[s(tb)]]+(s_t/4))</f>
        <v>5.5873015873015866E-2</v>
      </c>
      <c r="U29" s="3" cm="1">
        <f t="array" ref="U29">((2*ttotal8)/(3*s_t))*(st_b[[#This Row],[s(tb)]]+(s_t/4))</f>
        <v>4.8888888888888885E-2</v>
      </c>
      <c r="V29" s="3" cm="1">
        <f t="array" ref="V29">((2*ttotal9)/(3*s_t))*(st_b[[#This Row],[s(tb)]]+(s_t/4))</f>
        <v>4.3456790123456782E-2</v>
      </c>
      <c r="W29" s="3" cm="1">
        <f t="array" ref="W29">((2*ttotal10)/(3*s_t))*(st_b[[#This Row],[s(tb)]]+(s_t/4))</f>
        <v>3.911111111111111E-2</v>
      </c>
      <c r="Y29" s="8">
        <v>2.5100000000000001E-3</v>
      </c>
      <c r="Z29" s="3" cm="1">
        <f t="array" ref="Z29">(-5*s_t/4)-Y29</f>
        <v>-6.2599999999999999E-3</v>
      </c>
      <c r="AA29" s="3">
        <f>(-INDEX(Overview[b],1)+SQRT(POWER(INDEX(Overview[b],1),2)-(4*INDEX(Overview[a],1)*st_c[[#This Row],[c]])))/(2*INDEX(Overview[a],1))</f>
        <v>0.73056987437817489</v>
      </c>
      <c r="AB29" s="3">
        <f>(-INDEX(Overview[b],2)+SQRT(POWER(INDEX(Overview[b],2),2)-(4*INDEX(Overview[a],2)*st_c[[#This Row],[c]])))/(2*INDEX(Overview[a],2))</f>
        <v>0.36528493718908744</v>
      </c>
      <c r="AC29" s="3">
        <f>(-INDEX(Overview[b],3)+SQRT(POWER(INDEX(Overview[b],3),2)-(4*INDEX(Overview[a],3)*st_c[[#This Row],[c]])))/(2*INDEX(Overview[a],3))</f>
        <v>0.24352329145939136</v>
      </c>
      <c r="AD29" s="3">
        <f>(-INDEX(Overview[b],4)+SQRT(POWER(INDEX(Overview[b],4),2)-(4*INDEX(Overview[a],4)*st_c[[#This Row],[c]])))/(2*INDEX(Overview[a],4))</f>
        <v>0.18264246859454372</v>
      </c>
      <c r="AE29" s="3">
        <f>(-INDEX(Overview[b],5)+SQRT(POWER(INDEX(Overview[b],5),2)-(4*INDEX(Overview[a],5)*st_c[[#This Row],[c]])))/(2*INDEX(Overview[a],5))</f>
        <v>0.14611397487563488</v>
      </c>
      <c r="AF29" s="3">
        <f>(-INDEX(Overview[b],6)+SQRT(POWER(INDEX(Overview[b],6),2)-(4*INDEX(Overview[a],6)*st_c[[#This Row],[c]])))/(2*INDEX(Overview[a],6))</f>
        <v>0.12176164572969568</v>
      </c>
      <c r="AG29" s="3">
        <f>(-INDEX(Overview[b],7)+SQRT(POWER(INDEX(Overview[b],7),2)-(4*INDEX(Overview[a],7)*st_c[[#This Row],[c]])))/(2*INDEX(Overview[a],7))</f>
        <v>0.10436712491116781</v>
      </c>
      <c r="AH29" s="3">
        <f>(-INDEX(Overview[b],8)+SQRT(POWER(INDEX(Overview[b],8),2)-(4*INDEX(Overview[a],8)*st_c[[#This Row],[c]])))/(2*INDEX(Overview[a],8))</f>
        <v>9.1321234297271861E-2</v>
      </c>
      <c r="AI29" s="3">
        <f>(-INDEX(Overview[b],9)+SQRT(POWER(INDEX(Overview[b],9),2)-(4*INDEX(Overview[a],9)*st_c[[#This Row],[c]])))/(2*INDEX(Overview[a],9))</f>
        <v>8.1174430486463833E-2</v>
      </c>
      <c r="AJ29" s="19">
        <f>(-INDEX(Overview[b],10)+SQRT(POWER(INDEX(Overview[b],10),2)-(4*INDEX(Overview[a],10)*st_c[[#This Row],[c]])))/(2*INDEX(Overview[a],10))</f>
        <v>7.3056987437817439E-2</v>
      </c>
    </row>
    <row r="30" spans="1:36" x14ac:dyDescent="0.25">
      <c r="A30" s="2">
        <v>2.7E-4</v>
      </c>
      <c r="B30" s="3" cm="1">
        <f t="array" ref="B30">SQRT((4*POWER(ttotal1,2)*st_a[[#This Row],[s(ta)]])/(9*s_t))</f>
        <v>0.2</v>
      </c>
      <c r="C30" s="3" cm="1">
        <f t="array" ref="C30">SQRT((4*POWER(ttotal2,2)*st_a[[#This Row],[s(ta)]])/(9*s_t))</f>
        <v>0.1</v>
      </c>
      <c r="D30" s="3" cm="1">
        <f t="array" ref="D30">SQRT((4*POWER(ttotal3,2)*st_a[[#This Row],[s(ta)]])/(9*s_t))</f>
        <v>6.6666666666666666E-2</v>
      </c>
      <c r="E30" s="3" cm="1">
        <f t="array" ref="E30">SQRT((4*POWER(ttotal4,2)*st_a[[#This Row],[s(ta)]])/(9*s_t))</f>
        <v>0.05</v>
      </c>
      <c r="F30" s="3" cm="1">
        <f t="array" ref="F30">SQRT((4*POWER(ttotal5,2)*st_a[[#This Row],[s(ta)]])/(9*s_t))</f>
        <v>0.04</v>
      </c>
      <c r="G30" s="3" cm="1">
        <f t="array" ref="G30">SQRT((4*POWER(ttotal6,2)*st_a[[#This Row],[s(ta)]])/(9*s_t))</f>
        <v>3.3333333333333333E-2</v>
      </c>
      <c r="H30" s="3" cm="1">
        <f t="array" ref="H30">SQRT((4*POWER(ttotal7,2)*st_a[[#This Row],[s(ta)]])/(9*s_t))</f>
        <v>2.8571428571428571E-2</v>
      </c>
      <c r="I30" s="3" cm="1">
        <f t="array" ref="I30">SQRT((4*POWER(ttotal8,2)*st_a[[#This Row],[s(ta)]])/(9*s_t))</f>
        <v>2.5000000000000001E-2</v>
      </c>
      <c r="J30" s="3" cm="1">
        <f t="array" ref="J30">SQRT((4*POWER(ttotal9,2)*st_a[[#This Row],[s(ta)]])/(9*s_t))</f>
        <v>2.2222222222222223E-2</v>
      </c>
      <c r="K30" s="3" cm="1">
        <f t="array" ref="K30">SQRT((4*POWER(ttotal10,2)*st_a[[#This Row],[s(ta)]])/(9*s_t))</f>
        <v>0.02</v>
      </c>
      <c r="M30" s="8">
        <v>1.0200000000000001E-3</v>
      </c>
      <c r="N30" s="3" cm="1">
        <f t="array" ref="N30">((2*ttotal1)/(3*s_t))*(st_b[[#This Row],[s(tb)]]+(s_t/4))</f>
        <v>0.39333333333333331</v>
      </c>
      <c r="O30" s="3" cm="1">
        <f t="array" ref="O30">((2*ttotal2)/(3*s_t))*(st_b[[#This Row],[s(tb)]]+(s_t/4))</f>
        <v>0.19666666666666666</v>
      </c>
      <c r="P30" s="3" cm="1">
        <f t="array" ref="P30">((2*ttotal3)/(3*s_t))*(st_b[[#This Row],[s(tb)]]+(s_t/4))</f>
        <v>0.13111111111111109</v>
      </c>
      <c r="Q30" s="3" cm="1">
        <f t="array" ref="Q30">((2*ttotal4)/(3*s_t))*(st_b[[#This Row],[s(tb)]]+(s_t/4))</f>
        <v>9.8333333333333328E-2</v>
      </c>
      <c r="R30" s="3" cm="1">
        <f t="array" ref="R30">((2*ttotal5)/(3*s_t))*(st_b[[#This Row],[s(tb)]]+(s_t/4))</f>
        <v>7.8666666666666663E-2</v>
      </c>
      <c r="S30" s="3" cm="1">
        <f t="array" ref="S30">((2*ttotal6)/(3*s_t))*(st_b[[#This Row],[s(tb)]]+(s_t/4))</f>
        <v>6.5555555555555547E-2</v>
      </c>
      <c r="T30" s="3" cm="1">
        <f t="array" ref="T30">((2*ttotal7)/(3*s_t))*(st_b[[#This Row],[s(tb)]]+(s_t/4))</f>
        <v>5.619047619047618E-2</v>
      </c>
      <c r="U30" s="3" cm="1">
        <f t="array" ref="U30">((2*ttotal8)/(3*s_t))*(st_b[[#This Row],[s(tb)]]+(s_t/4))</f>
        <v>4.9166666666666664E-2</v>
      </c>
      <c r="V30" s="3" cm="1">
        <f t="array" ref="V30">((2*ttotal9)/(3*s_t))*(st_b[[#This Row],[s(tb)]]+(s_t/4))</f>
        <v>4.3703703703703696E-2</v>
      </c>
      <c r="W30" s="3" cm="1">
        <f t="array" ref="W30">((2*ttotal10)/(3*s_t))*(st_b[[#This Row],[s(tb)]]+(s_t/4))</f>
        <v>3.9333333333333331E-2</v>
      </c>
      <c r="Y30" s="8">
        <v>2.5200000000000001E-3</v>
      </c>
      <c r="Z30" s="3" cm="1">
        <f t="array" ref="Z30">(-5*s_t/4)-Y30</f>
        <v>-6.2699999999999995E-3</v>
      </c>
      <c r="AA30" s="3">
        <f>(-INDEX(Overview[b],1)+SQRT(POWER(INDEX(Overview[b],1),2)-(4*INDEX(Overview[a],1)*st_c[[#This Row],[c]])))/(2*INDEX(Overview[a],1))</f>
        <v>0.73333333333333328</v>
      </c>
      <c r="AB30" s="3">
        <f>(-INDEX(Overview[b],2)+SQRT(POWER(INDEX(Overview[b],2),2)-(4*INDEX(Overview[a],2)*st_c[[#This Row],[c]])))/(2*INDEX(Overview[a],2))</f>
        <v>0.36666666666666664</v>
      </c>
      <c r="AC30" s="3">
        <f>(-INDEX(Overview[b],3)+SQRT(POWER(INDEX(Overview[b],3),2)-(4*INDEX(Overview[a],3)*st_c[[#This Row],[c]])))/(2*INDEX(Overview[a],3))</f>
        <v>0.2444444444444443</v>
      </c>
      <c r="AD30" s="3">
        <f>(-INDEX(Overview[b],4)+SQRT(POWER(INDEX(Overview[b],4),2)-(4*INDEX(Overview[a],4)*st_c[[#This Row],[c]])))/(2*INDEX(Overview[a],4))</f>
        <v>0.18333333333333332</v>
      </c>
      <c r="AE30" s="3">
        <f>(-INDEX(Overview[b],5)+SQRT(POWER(INDEX(Overview[b],5),2)-(4*INDEX(Overview[a],5)*st_c[[#This Row],[c]])))/(2*INDEX(Overview[a],5))</f>
        <v>0.14666666666666656</v>
      </c>
      <c r="AF30" s="3">
        <f>(-INDEX(Overview[b],6)+SQRT(POWER(INDEX(Overview[b],6),2)-(4*INDEX(Overview[a],6)*st_c[[#This Row],[c]])))/(2*INDEX(Overview[a],6))</f>
        <v>0.12222222222222215</v>
      </c>
      <c r="AG30" s="3">
        <f>(-INDEX(Overview[b],7)+SQRT(POWER(INDEX(Overview[b],7),2)-(4*INDEX(Overview[a],7)*st_c[[#This Row],[c]])))/(2*INDEX(Overview[a],7))</f>
        <v>0.10476190476190475</v>
      </c>
      <c r="AH30" s="3">
        <f>(-INDEX(Overview[b],8)+SQRT(POWER(INDEX(Overview[b],8),2)-(4*INDEX(Overview[a],8)*st_c[[#This Row],[c]])))/(2*INDEX(Overview[a],8))</f>
        <v>9.166666666666666E-2</v>
      </c>
      <c r="AI30" s="3">
        <f>(-INDEX(Overview[b],9)+SQRT(POWER(INDEX(Overview[b],9),2)-(4*INDEX(Overview[a],9)*st_c[[#This Row],[c]])))/(2*INDEX(Overview[a],9))</f>
        <v>8.148148148148146E-2</v>
      </c>
      <c r="AJ30" s="19">
        <f>(-INDEX(Overview[b],10)+SQRT(POWER(INDEX(Overview[b],10),2)-(4*INDEX(Overview[a],10)*st_c[[#This Row],[c]])))/(2*INDEX(Overview[a],10))</f>
        <v>7.3333333333333278E-2</v>
      </c>
    </row>
    <row r="31" spans="1:36" x14ac:dyDescent="0.25">
      <c r="A31" s="2">
        <v>2.8000000000000003E-4</v>
      </c>
      <c r="B31" s="3" cm="1">
        <f t="array" ref="B31">SQRT((4*POWER(ttotal1,2)*st_a[[#This Row],[s(ta)]])/(9*s_t))</f>
        <v>0.20367003088692623</v>
      </c>
      <c r="C31" s="3" cm="1">
        <f t="array" ref="C31">SQRT((4*POWER(ttotal2,2)*st_a[[#This Row],[s(ta)]])/(9*s_t))</f>
        <v>0.10183501544346311</v>
      </c>
      <c r="D31" s="3" cm="1">
        <f t="array" ref="D31">SQRT((4*POWER(ttotal3,2)*st_a[[#This Row],[s(ta)]])/(9*s_t))</f>
        <v>6.7890010295642081E-2</v>
      </c>
      <c r="E31" s="3" cm="1">
        <f t="array" ref="E31">SQRT((4*POWER(ttotal4,2)*st_a[[#This Row],[s(ta)]])/(9*s_t))</f>
        <v>5.0917507721731557E-2</v>
      </c>
      <c r="F31" s="3" cm="1">
        <f t="array" ref="F31">SQRT((4*POWER(ttotal5,2)*st_a[[#This Row],[s(ta)]])/(9*s_t))</f>
        <v>4.0734006177385249E-2</v>
      </c>
      <c r="G31" s="3" cm="1">
        <f t="array" ref="G31">SQRT((4*POWER(ttotal6,2)*st_a[[#This Row],[s(ta)]])/(9*s_t))</f>
        <v>3.394500514782104E-2</v>
      </c>
      <c r="H31" s="3" cm="1">
        <f t="array" ref="H31">SQRT((4*POWER(ttotal7,2)*st_a[[#This Row],[s(ta)]])/(9*s_t))</f>
        <v>2.9095718698132319E-2</v>
      </c>
      <c r="I31" s="3" cm="1">
        <f t="array" ref="I31">SQRT((4*POWER(ttotal8,2)*st_a[[#This Row],[s(ta)]])/(9*s_t))</f>
        <v>2.5458753860865779E-2</v>
      </c>
      <c r="J31" s="3" cm="1">
        <f t="array" ref="J31">SQRT((4*POWER(ttotal9,2)*st_a[[#This Row],[s(ta)]])/(9*s_t))</f>
        <v>2.2630003431880694E-2</v>
      </c>
      <c r="K31" s="3" cm="1">
        <f t="array" ref="K31">SQRT((4*POWER(ttotal10,2)*st_a[[#This Row],[s(ta)]])/(9*s_t))</f>
        <v>2.0367003088692624E-2</v>
      </c>
      <c r="M31" s="8">
        <v>1.0300000000000001E-3</v>
      </c>
      <c r="N31" s="3" cm="1">
        <f t="array" ref="N31">((2*ttotal1)/(3*s_t))*(st_b[[#This Row],[s(tb)]]+(s_t/4))</f>
        <v>0.39555555555555555</v>
      </c>
      <c r="O31" s="3" cm="1">
        <f t="array" ref="O31">((2*ttotal2)/(3*s_t))*(st_b[[#This Row],[s(tb)]]+(s_t/4))</f>
        <v>0.19777777777777777</v>
      </c>
      <c r="P31" s="3" cm="1">
        <f t="array" ref="P31">((2*ttotal3)/(3*s_t))*(st_b[[#This Row],[s(tb)]]+(s_t/4))</f>
        <v>0.13185185185185183</v>
      </c>
      <c r="Q31" s="3" cm="1">
        <f t="array" ref="Q31">((2*ttotal4)/(3*s_t))*(st_b[[#This Row],[s(tb)]]+(s_t/4))</f>
        <v>9.8888888888888887E-2</v>
      </c>
      <c r="R31" s="3" cm="1">
        <f t="array" ref="R31">((2*ttotal5)/(3*s_t))*(st_b[[#This Row],[s(tb)]]+(s_t/4))</f>
        <v>7.9111111111111118E-2</v>
      </c>
      <c r="S31" s="3" cm="1">
        <f t="array" ref="S31">((2*ttotal6)/(3*s_t))*(st_b[[#This Row],[s(tb)]]+(s_t/4))</f>
        <v>6.5925925925925916E-2</v>
      </c>
      <c r="T31" s="3" cm="1">
        <f t="array" ref="T31">((2*ttotal7)/(3*s_t))*(st_b[[#This Row],[s(tb)]]+(s_t/4))</f>
        <v>5.65079365079365E-2</v>
      </c>
      <c r="U31" s="3" cm="1">
        <f t="array" ref="U31">((2*ttotal8)/(3*s_t))*(st_b[[#This Row],[s(tb)]]+(s_t/4))</f>
        <v>4.9444444444444444E-2</v>
      </c>
      <c r="V31" s="3" cm="1">
        <f t="array" ref="V31">((2*ttotal9)/(3*s_t))*(st_b[[#This Row],[s(tb)]]+(s_t/4))</f>
        <v>4.395061728395061E-2</v>
      </c>
      <c r="W31" s="3" cm="1">
        <f t="array" ref="W31">((2*ttotal10)/(3*s_t))*(st_b[[#This Row],[s(tb)]]+(s_t/4))</f>
        <v>3.9555555555555559E-2</v>
      </c>
      <c r="Y31" s="8">
        <v>2.5300000000000001E-3</v>
      </c>
      <c r="Z31" s="3" cm="1">
        <f t="array" ref="Z31">(-5*s_t/4)-Y31</f>
        <v>-6.28E-3</v>
      </c>
      <c r="AA31" s="3">
        <f>(-INDEX(Overview[b],1)+SQRT(POWER(INDEX(Overview[b],1),2)-(4*INDEX(Overview[a],1)*st_c[[#This Row],[c]])))/(2*INDEX(Overview[a],1))</f>
        <v>0.7361257313991576</v>
      </c>
      <c r="AB31" s="3">
        <f>(-INDEX(Overview[b],2)+SQRT(POWER(INDEX(Overview[b],2),2)-(4*INDEX(Overview[a],2)*st_c[[#This Row],[c]])))/(2*INDEX(Overview[a],2))</f>
        <v>0.3680628656995788</v>
      </c>
      <c r="AC31" s="3">
        <f>(-INDEX(Overview[b],3)+SQRT(POWER(INDEX(Overview[b],3),2)-(4*INDEX(Overview[a],3)*st_c[[#This Row],[c]])))/(2*INDEX(Overview[a],3))</f>
        <v>0.24537524379971903</v>
      </c>
      <c r="AD31" s="3">
        <f>(-INDEX(Overview[b],4)+SQRT(POWER(INDEX(Overview[b],4),2)-(4*INDEX(Overview[a],4)*st_c[[#This Row],[c]])))/(2*INDEX(Overview[a],4))</f>
        <v>0.1840314328497894</v>
      </c>
      <c r="AE31" s="3">
        <f>(-INDEX(Overview[b],5)+SQRT(POWER(INDEX(Overview[b],5),2)-(4*INDEX(Overview[a],5)*st_c[[#This Row],[c]])))/(2*INDEX(Overview[a],5))</f>
        <v>0.14722514627983141</v>
      </c>
      <c r="AF31" s="3">
        <f>(-INDEX(Overview[b],6)+SQRT(POWER(INDEX(Overview[b],6),2)-(4*INDEX(Overview[a],6)*st_c[[#This Row],[c]])))/(2*INDEX(Overview[a],6))</f>
        <v>0.12268762189985952</v>
      </c>
      <c r="AG31" s="3">
        <f>(-INDEX(Overview[b],7)+SQRT(POWER(INDEX(Overview[b],7),2)-(4*INDEX(Overview[a],7)*st_c[[#This Row],[c]])))/(2*INDEX(Overview[a],7))</f>
        <v>0.10516081877130817</v>
      </c>
      <c r="AH31" s="3">
        <f>(-INDEX(Overview[b],8)+SQRT(POWER(INDEX(Overview[b],8),2)-(4*INDEX(Overview[a],8)*st_c[[#This Row],[c]])))/(2*INDEX(Overview[a],8))</f>
        <v>9.20157164248947E-2</v>
      </c>
      <c r="AI31" s="3">
        <f>(-INDEX(Overview[b],9)+SQRT(POWER(INDEX(Overview[b],9),2)-(4*INDEX(Overview[a],9)*st_c[[#This Row],[c]])))/(2*INDEX(Overview[a],9))</f>
        <v>8.1791747933239678E-2</v>
      </c>
      <c r="AJ31" s="19">
        <f>(-INDEX(Overview[b],10)+SQRT(POWER(INDEX(Overview[b],10),2)-(4*INDEX(Overview[a],10)*st_c[[#This Row],[c]])))/(2*INDEX(Overview[a],10))</f>
        <v>7.3612573139915705E-2</v>
      </c>
    </row>
    <row r="32" spans="1:36" x14ac:dyDescent="0.25">
      <c r="A32" s="2">
        <v>2.9E-4</v>
      </c>
      <c r="B32" s="3" cm="1">
        <f t="array" ref="B32">SQRT((4*POWER(ttotal1,2)*st_a[[#This Row],[s(ta)]])/(9*s_t))</f>
        <v>0.20727509006864034</v>
      </c>
      <c r="C32" s="3" cm="1">
        <f t="array" ref="C32">SQRT((4*POWER(ttotal2,2)*st_a[[#This Row],[s(ta)]])/(9*s_t))</f>
        <v>0.10363754503432017</v>
      </c>
      <c r="D32" s="3" cm="1">
        <f t="array" ref="D32">SQRT((4*POWER(ttotal3,2)*st_a[[#This Row],[s(ta)]])/(9*s_t))</f>
        <v>6.9091696689546775E-2</v>
      </c>
      <c r="E32" s="3" cm="1">
        <f t="array" ref="E32">SQRT((4*POWER(ttotal4,2)*st_a[[#This Row],[s(ta)]])/(9*s_t))</f>
        <v>5.1818772517160085E-2</v>
      </c>
      <c r="F32" s="3" cm="1">
        <f t="array" ref="F32">SQRT((4*POWER(ttotal5,2)*st_a[[#This Row],[s(ta)]])/(9*s_t))</f>
        <v>4.145501801372807E-2</v>
      </c>
      <c r="G32" s="3" cm="1">
        <f t="array" ref="G32">SQRT((4*POWER(ttotal6,2)*st_a[[#This Row],[s(ta)]])/(9*s_t))</f>
        <v>3.4545848344773387E-2</v>
      </c>
      <c r="H32" s="3" cm="1">
        <f t="array" ref="H32">SQRT((4*POWER(ttotal7,2)*st_a[[#This Row],[s(ta)]])/(9*s_t))</f>
        <v>2.9610727152662903E-2</v>
      </c>
      <c r="I32" s="3" cm="1">
        <f t="array" ref="I32">SQRT((4*POWER(ttotal8,2)*st_a[[#This Row],[s(ta)]])/(9*s_t))</f>
        <v>2.5909386258580042E-2</v>
      </c>
      <c r="J32" s="3" cm="1">
        <f t="array" ref="J32">SQRT((4*POWER(ttotal9,2)*st_a[[#This Row],[s(ta)]])/(9*s_t))</f>
        <v>2.3030565563182261E-2</v>
      </c>
      <c r="K32" s="3" cm="1">
        <f t="array" ref="K32">SQRT((4*POWER(ttotal10,2)*st_a[[#This Row],[s(ta)]])/(9*s_t))</f>
        <v>2.0727509006864035E-2</v>
      </c>
      <c r="M32" s="8">
        <v>1.0400000000000001E-3</v>
      </c>
      <c r="N32" s="3" cm="1">
        <f t="array" ref="N32">((2*ttotal1)/(3*s_t))*(st_b[[#This Row],[s(tb)]]+(s_t/4))</f>
        <v>0.39777777777777779</v>
      </c>
      <c r="O32" s="3" cm="1">
        <f t="array" ref="O32">((2*ttotal2)/(3*s_t))*(st_b[[#This Row],[s(tb)]]+(s_t/4))</f>
        <v>0.19888888888888889</v>
      </c>
      <c r="P32" s="3" cm="1">
        <f t="array" ref="P32">((2*ttotal3)/(3*s_t))*(st_b[[#This Row],[s(tb)]]+(s_t/4))</f>
        <v>0.1325925925925926</v>
      </c>
      <c r="Q32" s="3" cm="1">
        <f t="array" ref="Q32">((2*ttotal4)/(3*s_t))*(st_b[[#This Row],[s(tb)]]+(s_t/4))</f>
        <v>9.9444444444444446E-2</v>
      </c>
      <c r="R32" s="3" cm="1">
        <f t="array" ref="R32">((2*ttotal5)/(3*s_t))*(st_b[[#This Row],[s(tb)]]+(s_t/4))</f>
        <v>7.955555555555556E-2</v>
      </c>
      <c r="S32" s="3" cm="1">
        <f t="array" ref="S32">((2*ttotal6)/(3*s_t))*(st_b[[#This Row],[s(tb)]]+(s_t/4))</f>
        <v>6.6296296296296298E-2</v>
      </c>
      <c r="T32" s="3" cm="1">
        <f t="array" ref="T32">((2*ttotal7)/(3*s_t))*(st_b[[#This Row],[s(tb)]]+(s_t/4))</f>
        <v>5.6825396825396821E-2</v>
      </c>
      <c r="U32" s="3" cm="1">
        <f t="array" ref="U32">((2*ttotal8)/(3*s_t))*(st_b[[#This Row],[s(tb)]]+(s_t/4))</f>
        <v>4.9722222222222223E-2</v>
      </c>
      <c r="V32" s="3" cm="1">
        <f t="array" ref="V32">((2*ttotal9)/(3*s_t))*(st_b[[#This Row],[s(tb)]]+(s_t/4))</f>
        <v>4.4197530864197525E-2</v>
      </c>
      <c r="W32" s="3" cm="1">
        <f t="array" ref="W32">((2*ttotal10)/(3*s_t))*(st_b[[#This Row],[s(tb)]]+(s_t/4))</f>
        <v>3.977777777777778E-2</v>
      </c>
      <c r="Y32" s="8">
        <v>2.5400000000000002E-3</v>
      </c>
      <c r="Z32" s="3" cm="1">
        <f t="array" ref="Z32">(-5*s_t/4)-Y32</f>
        <v>-6.2900000000000005E-3</v>
      </c>
      <c r="AA32" s="3">
        <f>(-INDEX(Overview[b],1)+SQRT(POWER(INDEX(Overview[b],1),2)-(4*INDEX(Overview[a],1)*st_c[[#This Row],[c]])))/(2*INDEX(Overview[a],1))</f>
        <v>0.73894799723398419</v>
      </c>
      <c r="AB32" s="3">
        <f>(-INDEX(Overview[b],2)+SQRT(POWER(INDEX(Overview[b],2),2)-(4*INDEX(Overview[a],2)*st_c[[#This Row],[c]])))/(2*INDEX(Overview[a],2))</f>
        <v>0.36947399861699209</v>
      </c>
      <c r="AC32" s="3">
        <f>(-INDEX(Overview[b],3)+SQRT(POWER(INDEX(Overview[b],3),2)-(4*INDEX(Overview[a],3)*st_c[[#This Row],[c]])))/(2*INDEX(Overview[a],3))</f>
        <v>0.24631599907799451</v>
      </c>
      <c r="AD32" s="3">
        <f>(-INDEX(Overview[b],4)+SQRT(POWER(INDEX(Overview[b],4),2)-(4*INDEX(Overview[a],4)*st_c[[#This Row],[c]])))/(2*INDEX(Overview[a],4))</f>
        <v>0.18473699930849605</v>
      </c>
      <c r="AE32" s="3">
        <f>(-INDEX(Overview[b],5)+SQRT(POWER(INDEX(Overview[b],5),2)-(4*INDEX(Overview[a],5)*st_c[[#This Row],[c]])))/(2*INDEX(Overview[a],5))</f>
        <v>0.14778959944679673</v>
      </c>
      <c r="AF32" s="3">
        <f>(-INDEX(Overview[b],6)+SQRT(POWER(INDEX(Overview[b],6),2)-(4*INDEX(Overview[a],6)*st_c[[#This Row],[c]])))/(2*INDEX(Overview[a],6))</f>
        <v>0.12315799953899725</v>
      </c>
      <c r="AG32" s="3">
        <f>(-INDEX(Overview[b],7)+SQRT(POWER(INDEX(Overview[b],7),2)-(4*INDEX(Overview[a],7)*st_c[[#This Row],[c]])))/(2*INDEX(Overview[a],7))</f>
        <v>0.10556399960485482</v>
      </c>
      <c r="AH32" s="3">
        <f>(-INDEX(Overview[b],8)+SQRT(POWER(INDEX(Overview[b],8),2)-(4*INDEX(Overview[a],8)*st_c[[#This Row],[c]])))/(2*INDEX(Overview[a],8))</f>
        <v>9.2368499654248024E-2</v>
      </c>
      <c r="AI32" s="3">
        <f>(-INDEX(Overview[b],9)+SQRT(POWER(INDEX(Overview[b],9),2)-(4*INDEX(Overview[a],9)*st_c[[#This Row],[c]])))/(2*INDEX(Overview[a],9))</f>
        <v>8.2105333025998192E-2</v>
      </c>
      <c r="AJ32" s="19">
        <f>(-INDEX(Overview[b],10)+SQRT(POWER(INDEX(Overview[b],10),2)-(4*INDEX(Overview[a],10)*st_c[[#This Row],[c]])))/(2*INDEX(Overview[a],10))</f>
        <v>7.3894799723398366E-2</v>
      </c>
    </row>
    <row r="33" spans="1:36" x14ac:dyDescent="0.25">
      <c r="A33" s="2">
        <v>3.0000000000000003E-4</v>
      </c>
      <c r="B33" s="3" cm="1">
        <f t="array" ref="B33">SQRT((4*POWER(ttotal1,2)*st_a[[#This Row],[s(ta)]])/(9*s_t))</f>
        <v>0.21081851067789195</v>
      </c>
      <c r="C33" s="3" cm="1">
        <f t="array" ref="C33">SQRT((4*POWER(ttotal2,2)*st_a[[#This Row],[s(ta)]])/(9*s_t))</f>
        <v>0.10540925533894598</v>
      </c>
      <c r="D33" s="3" cm="1">
        <f t="array" ref="D33">SQRT((4*POWER(ttotal3,2)*st_a[[#This Row],[s(ta)]])/(9*s_t))</f>
        <v>7.0272836892630655E-2</v>
      </c>
      <c r="E33" s="3" cm="1">
        <f t="array" ref="E33">SQRT((4*POWER(ttotal4,2)*st_a[[#This Row],[s(ta)]])/(9*s_t))</f>
        <v>5.2704627669472988E-2</v>
      </c>
      <c r="F33" s="3" cm="1">
        <f t="array" ref="F33">SQRT((4*POWER(ttotal5,2)*st_a[[#This Row],[s(ta)]])/(9*s_t))</f>
        <v>4.21637021355784E-2</v>
      </c>
      <c r="G33" s="3" cm="1">
        <f t="array" ref="G33">SQRT((4*POWER(ttotal6,2)*st_a[[#This Row],[s(ta)]])/(9*s_t))</f>
        <v>3.5136418446315328E-2</v>
      </c>
      <c r="H33" s="3" cm="1">
        <f t="array" ref="H33">SQRT((4*POWER(ttotal7,2)*st_a[[#This Row],[s(ta)]])/(9*s_t))</f>
        <v>3.0116930096841708E-2</v>
      </c>
      <c r="I33" s="3" cm="1">
        <f t="array" ref="I33">SQRT((4*POWER(ttotal8,2)*st_a[[#This Row],[s(ta)]])/(9*s_t))</f>
        <v>2.6352313834736494E-2</v>
      </c>
      <c r="J33" s="3" cm="1">
        <f t="array" ref="J33">SQRT((4*POWER(ttotal9,2)*st_a[[#This Row],[s(ta)]])/(9*s_t))</f>
        <v>2.3424278964210218E-2</v>
      </c>
      <c r="K33" s="3" cm="1">
        <f t="array" ref="K33">SQRT((4*POWER(ttotal10,2)*st_a[[#This Row],[s(ta)]])/(9*s_t))</f>
        <v>2.10818510677892E-2</v>
      </c>
      <c r="M33" s="8">
        <v>1.0500000000000002E-3</v>
      </c>
      <c r="N33" s="3" cm="1">
        <f t="array" ref="N33">((2*ttotal1)/(3*s_t))*(st_b[[#This Row],[s(tb)]]+(s_t/4))</f>
        <v>0.4</v>
      </c>
      <c r="O33" s="3" cm="1">
        <f t="array" ref="O33">((2*ttotal2)/(3*s_t))*(st_b[[#This Row],[s(tb)]]+(s_t/4))</f>
        <v>0.2</v>
      </c>
      <c r="P33" s="3" cm="1">
        <f t="array" ref="P33">((2*ttotal3)/(3*s_t))*(st_b[[#This Row],[s(tb)]]+(s_t/4))</f>
        <v>0.13333333333333333</v>
      </c>
      <c r="Q33" s="3" cm="1">
        <f t="array" ref="Q33">((2*ttotal4)/(3*s_t))*(st_b[[#This Row],[s(tb)]]+(s_t/4))</f>
        <v>0.1</v>
      </c>
      <c r="R33" s="3" cm="1">
        <f t="array" ref="R33">((2*ttotal5)/(3*s_t))*(st_b[[#This Row],[s(tb)]]+(s_t/4))</f>
        <v>0.08</v>
      </c>
      <c r="S33" s="3" cm="1">
        <f t="array" ref="S33">((2*ttotal6)/(3*s_t))*(st_b[[#This Row],[s(tb)]]+(s_t/4))</f>
        <v>6.6666666666666666E-2</v>
      </c>
      <c r="T33" s="3" cm="1">
        <f t="array" ref="T33">((2*ttotal7)/(3*s_t))*(st_b[[#This Row],[s(tb)]]+(s_t/4))</f>
        <v>5.7142857142857134E-2</v>
      </c>
      <c r="U33" s="3" cm="1">
        <f t="array" ref="U33">((2*ttotal8)/(3*s_t))*(st_b[[#This Row],[s(tb)]]+(s_t/4))</f>
        <v>0.05</v>
      </c>
      <c r="V33" s="3" cm="1">
        <f t="array" ref="V33">((2*ttotal9)/(3*s_t))*(st_b[[#This Row],[s(tb)]]+(s_t/4))</f>
        <v>4.4444444444444439E-2</v>
      </c>
      <c r="W33" s="3" cm="1">
        <f t="array" ref="W33">((2*ttotal10)/(3*s_t))*(st_b[[#This Row],[s(tb)]]+(s_t/4))</f>
        <v>0.04</v>
      </c>
      <c r="Y33" s="8">
        <v>2.5500000000000002E-3</v>
      </c>
      <c r="Z33" s="3" cm="1">
        <f t="array" ref="Z33">(-5*s_t/4)-Y33</f>
        <v>-6.3E-3</v>
      </c>
      <c r="AA33" s="3">
        <f>(-INDEX(Overview[b],1)+SQRT(POWER(INDEX(Overview[b],1),2)-(4*INDEX(Overview[a],1)*st_c[[#This Row],[c]])))/(2*INDEX(Overview[a],1))</f>
        <v>0.7418011102528389</v>
      </c>
      <c r="AB33" s="3">
        <f>(-INDEX(Overview[b],2)+SQRT(POWER(INDEX(Overview[b],2),2)-(4*INDEX(Overview[a],2)*st_c[[#This Row],[c]])))/(2*INDEX(Overview[a],2))</f>
        <v>0.37090055512641945</v>
      </c>
      <c r="AC33" s="3">
        <f>(-INDEX(Overview[b],3)+SQRT(POWER(INDEX(Overview[b],3),2)-(4*INDEX(Overview[a],3)*st_c[[#This Row],[c]])))/(2*INDEX(Overview[a],3))</f>
        <v>0.24726703675094613</v>
      </c>
      <c r="AD33" s="3">
        <f>(-INDEX(Overview[b],4)+SQRT(POWER(INDEX(Overview[b],4),2)-(4*INDEX(Overview[a],4)*st_c[[#This Row],[c]])))/(2*INDEX(Overview[a],4))</f>
        <v>0.18545027756320973</v>
      </c>
      <c r="AE33" s="3">
        <f>(-INDEX(Overview[b],5)+SQRT(POWER(INDEX(Overview[b],5),2)-(4*INDEX(Overview[a],5)*st_c[[#This Row],[c]])))/(2*INDEX(Overview[a],5))</f>
        <v>0.14836022205056773</v>
      </c>
      <c r="AF33" s="3">
        <f>(-INDEX(Overview[b],6)+SQRT(POWER(INDEX(Overview[b],6),2)-(4*INDEX(Overview[a],6)*st_c[[#This Row],[c]])))/(2*INDEX(Overview[a],6))</f>
        <v>0.12363351837547307</v>
      </c>
      <c r="AG33" s="3">
        <f>(-INDEX(Overview[b],7)+SQRT(POWER(INDEX(Overview[b],7),2)-(4*INDEX(Overview[a],7)*st_c[[#This Row],[c]])))/(2*INDEX(Overview[a],7))</f>
        <v>0.10597158717897698</v>
      </c>
      <c r="AH33" s="3">
        <f>(-INDEX(Overview[b],8)+SQRT(POWER(INDEX(Overview[b],8),2)-(4*INDEX(Overview[a],8)*st_c[[#This Row],[c]])))/(2*INDEX(Overview[a],8))</f>
        <v>9.2725138781604863E-2</v>
      </c>
      <c r="AI33" s="3">
        <f>(-INDEX(Overview[b],9)+SQRT(POWER(INDEX(Overview[b],9),2)-(4*INDEX(Overview[a],9)*st_c[[#This Row],[c]])))/(2*INDEX(Overview[a],9))</f>
        <v>8.2422345583648735E-2</v>
      </c>
      <c r="AJ33" s="19">
        <f>(-INDEX(Overview[b],10)+SQRT(POWER(INDEX(Overview[b],10),2)-(4*INDEX(Overview[a],10)*st_c[[#This Row],[c]])))/(2*INDEX(Overview[a],10))</f>
        <v>7.4180111025283865E-2</v>
      </c>
    </row>
    <row r="34" spans="1:36" x14ac:dyDescent="0.25">
      <c r="A34" s="2">
        <v>3.1E-4</v>
      </c>
      <c r="B34" s="3" cm="1">
        <f t="array" ref="B34">SQRT((4*POWER(ttotal1,2)*st_a[[#This Row],[s(ta)]])/(9*s_t))</f>
        <v>0.2143033502442879</v>
      </c>
      <c r="C34" s="3" cm="1">
        <f t="array" ref="C34">SQRT((4*POWER(ttotal2,2)*st_a[[#This Row],[s(ta)]])/(9*s_t))</f>
        <v>0.10715167512214395</v>
      </c>
      <c r="D34" s="3" cm="1">
        <f t="array" ref="D34">SQRT((4*POWER(ttotal3,2)*st_a[[#This Row],[s(ta)]])/(9*s_t))</f>
        <v>7.143445008142929E-2</v>
      </c>
      <c r="E34" s="3" cm="1">
        <f t="array" ref="E34">SQRT((4*POWER(ttotal4,2)*st_a[[#This Row],[s(ta)]])/(9*s_t))</f>
        <v>5.3575837561071975E-2</v>
      </c>
      <c r="F34" s="3" cm="1">
        <f t="array" ref="F34">SQRT((4*POWER(ttotal5,2)*st_a[[#This Row],[s(ta)]])/(9*s_t))</f>
        <v>4.2860670048857588E-2</v>
      </c>
      <c r="G34" s="3" cm="1">
        <f t="array" ref="G34">SQRT((4*POWER(ttotal6,2)*st_a[[#This Row],[s(ta)]])/(9*s_t))</f>
        <v>3.5717225040714645E-2</v>
      </c>
      <c r="H34" s="3" cm="1">
        <f t="array" ref="H34">SQRT((4*POWER(ttotal7,2)*st_a[[#This Row],[s(ta)]])/(9*s_t))</f>
        <v>3.0614764320612553E-2</v>
      </c>
      <c r="I34" s="3" cm="1">
        <f t="array" ref="I34">SQRT((4*POWER(ttotal8,2)*st_a[[#This Row],[s(ta)]])/(9*s_t))</f>
        <v>2.6787918780535987E-2</v>
      </c>
      <c r="J34" s="3" cm="1">
        <f t="array" ref="J34">SQRT((4*POWER(ttotal9,2)*st_a[[#This Row],[s(ta)]])/(9*s_t))</f>
        <v>2.3811483360476431E-2</v>
      </c>
      <c r="K34" s="3" cm="1">
        <f t="array" ref="K34">SQRT((4*POWER(ttotal10,2)*st_a[[#This Row],[s(ta)]])/(9*s_t))</f>
        <v>2.1430335024428794E-2</v>
      </c>
      <c r="M34" s="8">
        <v>1.0600000000000002E-3</v>
      </c>
      <c r="N34" s="3" cm="1">
        <f t="array" ref="N34">((2*ttotal1)/(3*s_t))*(st_b[[#This Row],[s(tb)]]+(s_t/4))</f>
        <v>0.4022222222222222</v>
      </c>
      <c r="O34" s="3" cm="1">
        <f t="array" ref="O34">((2*ttotal2)/(3*s_t))*(st_b[[#This Row],[s(tb)]]+(s_t/4))</f>
        <v>0.2011111111111111</v>
      </c>
      <c r="P34" s="3" cm="1">
        <f t="array" ref="P34">((2*ttotal3)/(3*s_t))*(st_b[[#This Row],[s(tb)]]+(s_t/4))</f>
        <v>0.13407407407407407</v>
      </c>
      <c r="Q34" s="3" cm="1">
        <f t="array" ref="Q34">((2*ttotal4)/(3*s_t))*(st_b[[#This Row],[s(tb)]]+(s_t/4))</f>
        <v>0.10055555555555555</v>
      </c>
      <c r="R34" s="3" cm="1">
        <f t="array" ref="R34">((2*ttotal5)/(3*s_t))*(st_b[[#This Row],[s(tb)]]+(s_t/4))</f>
        <v>8.0444444444444443E-2</v>
      </c>
      <c r="S34" s="3" cm="1">
        <f t="array" ref="S34">((2*ttotal6)/(3*s_t))*(st_b[[#This Row],[s(tb)]]+(s_t/4))</f>
        <v>6.7037037037037034E-2</v>
      </c>
      <c r="T34" s="3" cm="1">
        <f t="array" ref="T34">((2*ttotal7)/(3*s_t))*(st_b[[#This Row],[s(tb)]]+(s_t/4))</f>
        <v>5.7460317460317455E-2</v>
      </c>
      <c r="U34" s="3" cm="1">
        <f t="array" ref="U34">((2*ttotal8)/(3*s_t))*(st_b[[#This Row],[s(tb)]]+(s_t/4))</f>
        <v>5.0277777777777775E-2</v>
      </c>
      <c r="V34" s="3" cm="1">
        <f t="array" ref="V34">((2*ttotal9)/(3*s_t))*(st_b[[#This Row],[s(tb)]]+(s_t/4))</f>
        <v>4.4691358024691354E-2</v>
      </c>
      <c r="W34" s="3" cm="1">
        <f t="array" ref="W34">((2*ttotal10)/(3*s_t))*(st_b[[#This Row],[s(tb)]]+(s_t/4))</f>
        <v>4.0222222222222222E-2</v>
      </c>
      <c r="Y34" s="8">
        <v>2.5600000000000002E-3</v>
      </c>
      <c r="Z34" s="3" cm="1">
        <f t="array" ref="Z34">(-5*s_t/4)-Y34</f>
        <v>-6.3099999999999996E-3</v>
      </c>
      <c r="AA34" s="3">
        <f>(-INDEX(Overview[b],1)+SQRT(POWER(INDEX(Overview[b],1),2)-(4*INDEX(Overview[a],1)*st_c[[#This Row],[c]])))/(2*INDEX(Overview[a],1))</f>
        <v>0.74468610459830975</v>
      </c>
      <c r="AB34" s="3">
        <f>(-INDEX(Overview[b],2)+SQRT(POWER(INDEX(Overview[b],2),2)-(4*INDEX(Overview[a],2)*st_c[[#This Row],[c]])))/(2*INDEX(Overview[a],2))</f>
        <v>0.37234305229915488</v>
      </c>
      <c r="AC34" s="3">
        <f>(-INDEX(Overview[b],3)+SQRT(POWER(INDEX(Overview[b],3),2)-(4*INDEX(Overview[a],3)*st_c[[#This Row],[c]])))/(2*INDEX(Overview[a],3))</f>
        <v>0.24822870153276974</v>
      </c>
      <c r="AD34" s="3">
        <f>(-INDEX(Overview[b],4)+SQRT(POWER(INDEX(Overview[b],4),2)-(4*INDEX(Overview[a],4)*st_c[[#This Row],[c]])))/(2*INDEX(Overview[a],4))</f>
        <v>0.18617152614957744</v>
      </c>
      <c r="AE34" s="3">
        <f>(-INDEX(Overview[b],5)+SQRT(POWER(INDEX(Overview[b],5),2)-(4*INDEX(Overview[a],5)*st_c[[#This Row],[c]])))/(2*INDEX(Overview[a],5))</f>
        <v>0.14893722091966183</v>
      </c>
      <c r="AF34" s="3">
        <f>(-INDEX(Overview[b],6)+SQRT(POWER(INDEX(Overview[b],6),2)-(4*INDEX(Overview[a],6)*st_c[[#This Row],[c]])))/(2*INDEX(Overview[a],6))</f>
        <v>0.12411435076638487</v>
      </c>
      <c r="AG34" s="3">
        <f>(-INDEX(Overview[b],7)+SQRT(POWER(INDEX(Overview[b],7),2)-(4*INDEX(Overview[a],7)*st_c[[#This Row],[c]])))/(2*INDEX(Overview[a],7))</f>
        <v>0.10638372922832995</v>
      </c>
      <c r="AH34" s="3">
        <f>(-INDEX(Overview[b],8)+SQRT(POWER(INDEX(Overview[b],8),2)-(4*INDEX(Overview[a],8)*st_c[[#This Row],[c]])))/(2*INDEX(Overview[a],8))</f>
        <v>9.3085763074788719E-2</v>
      </c>
      <c r="AI34" s="3">
        <f>(-INDEX(Overview[b],9)+SQRT(POWER(INDEX(Overview[b],9),2)-(4*INDEX(Overview[a],9)*st_c[[#This Row],[c]])))/(2*INDEX(Overview[a],9))</f>
        <v>8.2742900510923298E-2</v>
      </c>
      <c r="AJ34" s="19">
        <f>(-INDEX(Overview[b],10)+SQRT(POWER(INDEX(Overview[b],10),2)-(4*INDEX(Overview[a],10)*st_c[[#This Row],[c]])))/(2*INDEX(Overview[a],10))</f>
        <v>7.4468610459830914E-2</v>
      </c>
    </row>
    <row r="35" spans="1:36" x14ac:dyDescent="0.25">
      <c r="A35" s="2">
        <v>3.2000000000000003E-4</v>
      </c>
      <c r="B35" s="3" cm="1">
        <f t="array" ref="B35">SQRT((4*POWER(ttotal1,2)*st_a[[#This Row],[s(ta)]])/(9*s_t))</f>
        <v>0.21773242158072695</v>
      </c>
      <c r="C35" s="3" cm="1">
        <f t="array" ref="C35">SQRT((4*POWER(ttotal2,2)*st_a[[#This Row],[s(ta)]])/(9*s_t))</f>
        <v>0.10886621079036347</v>
      </c>
      <c r="D35" s="3" cm="1">
        <f t="array" ref="D35">SQRT((4*POWER(ttotal3,2)*st_a[[#This Row],[s(ta)]])/(9*s_t))</f>
        <v>7.2577473860242311E-2</v>
      </c>
      <c r="E35" s="3" cm="1">
        <f t="array" ref="E35">SQRT((4*POWER(ttotal4,2)*st_a[[#This Row],[s(ta)]])/(9*s_t))</f>
        <v>5.4433105395181737E-2</v>
      </c>
      <c r="F35" s="3" cm="1">
        <f t="array" ref="F35">SQRT((4*POWER(ttotal5,2)*st_a[[#This Row],[s(ta)]])/(9*s_t))</f>
        <v>4.3546484316145391E-2</v>
      </c>
      <c r="G35" s="3" cm="1">
        <f t="array" ref="G35">SQRT((4*POWER(ttotal6,2)*st_a[[#This Row],[s(ta)]])/(9*s_t))</f>
        <v>3.6288736930121156E-2</v>
      </c>
      <c r="H35" s="3" cm="1">
        <f t="array" ref="H35">SQRT((4*POWER(ttotal7,2)*st_a[[#This Row],[s(ta)]])/(9*s_t))</f>
        <v>3.1104631654389564E-2</v>
      </c>
      <c r="I35" s="3" cm="1">
        <f t="array" ref="I35">SQRT((4*POWER(ttotal8,2)*st_a[[#This Row],[s(ta)]])/(9*s_t))</f>
        <v>2.7216552697590869E-2</v>
      </c>
      <c r="J35" s="3" cm="1">
        <f t="array" ref="J35">SQRT((4*POWER(ttotal9,2)*st_a[[#This Row],[s(ta)]])/(9*s_t))</f>
        <v>2.4192491286747438E-2</v>
      </c>
      <c r="K35" s="3" cm="1">
        <f t="array" ref="K35">SQRT((4*POWER(ttotal10,2)*st_a[[#This Row],[s(ta)]])/(9*s_t))</f>
        <v>2.1773242158072696E-2</v>
      </c>
      <c r="M35" s="8">
        <v>1.07E-3</v>
      </c>
      <c r="N35" s="3" cm="1">
        <f t="array" ref="N35">((2*ttotal1)/(3*s_t))*(st_b[[#This Row],[s(tb)]]+(s_t/4))</f>
        <v>0.40444444444444438</v>
      </c>
      <c r="O35" s="3" cm="1">
        <f t="array" ref="O35">((2*ttotal2)/(3*s_t))*(st_b[[#This Row],[s(tb)]]+(s_t/4))</f>
        <v>0.20222222222222219</v>
      </c>
      <c r="P35" s="3" cm="1">
        <f t="array" ref="P35">((2*ttotal3)/(3*s_t))*(st_b[[#This Row],[s(tb)]]+(s_t/4))</f>
        <v>0.1348148148148148</v>
      </c>
      <c r="Q35" s="3" cm="1">
        <f t="array" ref="Q35">((2*ttotal4)/(3*s_t))*(st_b[[#This Row],[s(tb)]]+(s_t/4))</f>
        <v>0.1011111111111111</v>
      </c>
      <c r="R35" s="3" cm="1">
        <f t="array" ref="R35">((2*ttotal5)/(3*s_t))*(st_b[[#This Row],[s(tb)]]+(s_t/4))</f>
        <v>8.0888888888888885E-2</v>
      </c>
      <c r="S35" s="3" cm="1">
        <f t="array" ref="S35">((2*ttotal6)/(3*s_t))*(st_b[[#This Row],[s(tb)]]+(s_t/4))</f>
        <v>6.7407407407407402E-2</v>
      </c>
      <c r="T35" s="3" cm="1">
        <f t="array" ref="T35">((2*ttotal7)/(3*s_t))*(st_b[[#This Row],[s(tb)]]+(s_t/4))</f>
        <v>5.7777777777777768E-2</v>
      </c>
      <c r="U35" s="3" cm="1">
        <f t="array" ref="U35">((2*ttotal8)/(3*s_t))*(st_b[[#This Row],[s(tb)]]+(s_t/4))</f>
        <v>5.0555555555555548E-2</v>
      </c>
      <c r="V35" s="3" cm="1">
        <f t="array" ref="V35">((2*ttotal9)/(3*s_t))*(st_b[[#This Row],[s(tb)]]+(s_t/4))</f>
        <v>4.4938271604938261E-2</v>
      </c>
      <c r="W35" s="3" cm="1">
        <f t="array" ref="W35">((2*ttotal10)/(3*s_t))*(st_b[[#This Row],[s(tb)]]+(s_t/4))</f>
        <v>4.0444444444444443E-2</v>
      </c>
      <c r="Y35" s="8">
        <v>2.5700000000000002E-3</v>
      </c>
      <c r="Z35" s="3" cm="1">
        <f t="array" ref="Z35">(-5*s_t/4)-Y35</f>
        <v>-6.3200000000000001E-3</v>
      </c>
      <c r="AA35" s="3">
        <f>(-INDEX(Overview[b],1)+SQRT(POWER(INDEX(Overview[b],1),2)-(4*INDEX(Overview[a],1)*st_c[[#This Row],[c]])))/(2*INDEX(Overview[a],1))</f>
        <v>0.74760407351998803</v>
      </c>
      <c r="AB35" s="3">
        <f>(-INDEX(Overview[b],2)+SQRT(POWER(INDEX(Overview[b],2),2)-(4*INDEX(Overview[a],2)*st_c[[#This Row],[c]])))/(2*INDEX(Overview[a],2))</f>
        <v>0.37380203675999402</v>
      </c>
      <c r="AC35" s="3">
        <f>(-INDEX(Overview[b],3)+SQRT(POWER(INDEX(Overview[b],3),2)-(4*INDEX(Overview[a],3)*st_c[[#This Row],[c]])))/(2*INDEX(Overview[a],3))</f>
        <v>0.24920135783999581</v>
      </c>
      <c r="AD35" s="3">
        <f>(-INDEX(Overview[b],4)+SQRT(POWER(INDEX(Overview[b],4),2)-(4*INDEX(Overview[a],4)*st_c[[#This Row],[c]])))/(2*INDEX(Overview[a],4))</f>
        <v>0.18690101837999701</v>
      </c>
      <c r="AE35" s="3">
        <f>(-INDEX(Overview[b],5)+SQRT(POWER(INDEX(Overview[b],5),2)-(4*INDEX(Overview[a],5)*st_c[[#This Row],[c]])))/(2*INDEX(Overview[a],5))</f>
        <v>0.1495208147039975</v>
      </c>
      <c r="AF35" s="3">
        <f>(-INDEX(Overview[b],6)+SQRT(POWER(INDEX(Overview[b],6),2)-(4*INDEX(Overview[a],6)*st_c[[#This Row],[c]])))/(2*INDEX(Overview[a],6))</f>
        <v>0.1246006789199979</v>
      </c>
      <c r="AG35" s="3">
        <f>(-INDEX(Overview[b],7)+SQRT(POWER(INDEX(Overview[b],7),2)-(4*INDEX(Overview[a],7)*st_c[[#This Row],[c]])))/(2*INDEX(Overview[a],7))</f>
        <v>0.10680058193142684</v>
      </c>
      <c r="AH35" s="3">
        <f>(-INDEX(Overview[b],8)+SQRT(POWER(INDEX(Overview[b],8),2)-(4*INDEX(Overview[a],8)*st_c[[#This Row],[c]])))/(2*INDEX(Overview[a],8))</f>
        <v>9.3450509189998504E-2</v>
      </c>
      <c r="AI35" s="3">
        <f>(-INDEX(Overview[b],9)+SQRT(POWER(INDEX(Overview[b],9),2)-(4*INDEX(Overview[a],9)*st_c[[#This Row],[c]])))/(2*INDEX(Overview[a],9))</f>
        <v>8.306711927999863E-2</v>
      </c>
      <c r="AJ35" s="19">
        <f>(-INDEX(Overview[b],10)+SQRT(POWER(INDEX(Overview[b],10),2)-(4*INDEX(Overview[a],10)*st_c[[#This Row],[c]])))/(2*INDEX(Overview[a],10))</f>
        <v>7.4760407351998751E-2</v>
      </c>
    </row>
    <row r="36" spans="1:36" x14ac:dyDescent="0.25">
      <c r="A36" s="2">
        <v>3.3000000000000005E-4</v>
      </c>
      <c r="B36" s="3" cm="1">
        <f t="array" ref="B36">SQRT((4*POWER(ttotal1,2)*st_a[[#This Row],[s(ta)]])/(9*s_t))</f>
        <v>0.22110831935702668</v>
      </c>
      <c r="C36" s="3" cm="1">
        <f t="array" ref="C36">SQRT((4*POWER(ttotal2,2)*st_a[[#This Row],[s(ta)]])/(9*s_t))</f>
        <v>0.11055415967851334</v>
      </c>
      <c r="D36" s="3" cm="1">
        <f t="array" ref="D36">SQRT((4*POWER(ttotal3,2)*st_a[[#This Row],[s(ta)]])/(9*s_t))</f>
        <v>7.3702773119008885E-2</v>
      </c>
      <c r="E36" s="3" cm="1">
        <f t="array" ref="E36">SQRT((4*POWER(ttotal4,2)*st_a[[#This Row],[s(ta)]])/(9*s_t))</f>
        <v>5.5277079839256671E-2</v>
      </c>
      <c r="F36" s="3" cm="1">
        <f t="array" ref="F36">SQRT((4*POWER(ttotal5,2)*st_a[[#This Row],[s(ta)]])/(9*s_t))</f>
        <v>4.4221663871405338E-2</v>
      </c>
      <c r="G36" s="3" cm="1">
        <f t="array" ref="G36">SQRT((4*POWER(ttotal6,2)*st_a[[#This Row],[s(ta)]])/(9*s_t))</f>
        <v>3.6851386559504443E-2</v>
      </c>
      <c r="H36" s="3" cm="1">
        <f t="array" ref="H36">SQRT((4*POWER(ttotal7,2)*st_a[[#This Row],[s(ta)]])/(9*s_t))</f>
        <v>3.1586902765289526E-2</v>
      </c>
      <c r="I36" s="3" cm="1">
        <f t="array" ref="I36">SQRT((4*POWER(ttotal8,2)*st_a[[#This Row],[s(ta)]])/(9*s_t))</f>
        <v>2.7638539919628335E-2</v>
      </c>
      <c r="J36" s="3" cm="1">
        <f t="array" ref="J36">SQRT((4*POWER(ttotal9,2)*st_a[[#This Row],[s(ta)]])/(9*s_t))</f>
        <v>2.4567591039669628E-2</v>
      </c>
      <c r="K36" s="3" cm="1">
        <f t="array" ref="K36">SQRT((4*POWER(ttotal10,2)*st_a[[#This Row],[s(ta)]])/(9*s_t))</f>
        <v>2.2110831935702669E-2</v>
      </c>
      <c r="M36" s="8">
        <v>1.08E-3</v>
      </c>
      <c r="N36" s="3" cm="1">
        <f t="array" ref="N36">((2*ttotal1)/(3*s_t))*(st_b[[#This Row],[s(tb)]]+(s_t/4))</f>
        <v>0.40666666666666662</v>
      </c>
      <c r="O36" s="3" cm="1">
        <f t="array" ref="O36">((2*ttotal2)/(3*s_t))*(st_b[[#This Row],[s(tb)]]+(s_t/4))</f>
        <v>0.20333333333333331</v>
      </c>
      <c r="P36" s="3" cm="1">
        <f t="array" ref="P36">((2*ttotal3)/(3*s_t))*(st_b[[#This Row],[s(tb)]]+(s_t/4))</f>
        <v>0.13555555555555554</v>
      </c>
      <c r="Q36" s="3" cm="1">
        <f t="array" ref="Q36">((2*ttotal4)/(3*s_t))*(st_b[[#This Row],[s(tb)]]+(s_t/4))</f>
        <v>0.10166666666666666</v>
      </c>
      <c r="R36" s="3" cm="1">
        <f t="array" ref="R36">((2*ttotal5)/(3*s_t))*(st_b[[#This Row],[s(tb)]]+(s_t/4))</f>
        <v>8.1333333333333327E-2</v>
      </c>
      <c r="S36" s="3" cm="1">
        <f t="array" ref="S36">((2*ttotal6)/(3*s_t))*(st_b[[#This Row],[s(tb)]]+(s_t/4))</f>
        <v>6.777777777777777E-2</v>
      </c>
      <c r="T36" s="3" cm="1">
        <f t="array" ref="T36">((2*ttotal7)/(3*s_t))*(st_b[[#This Row],[s(tb)]]+(s_t/4))</f>
        <v>5.8095238095238082E-2</v>
      </c>
      <c r="U36" s="3" cm="1">
        <f t="array" ref="U36">((2*ttotal8)/(3*s_t))*(st_b[[#This Row],[s(tb)]]+(s_t/4))</f>
        <v>5.0833333333333328E-2</v>
      </c>
      <c r="V36" s="3" cm="1">
        <f t="array" ref="V36">((2*ttotal9)/(3*s_t))*(st_b[[#This Row],[s(tb)]]+(s_t/4))</f>
        <v>4.5185185185185175E-2</v>
      </c>
      <c r="W36" s="3" cm="1">
        <f t="array" ref="W36">((2*ttotal10)/(3*s_t))*(st_b[[#This Row],[s(tb)]]+(s_t/4))</f>
        <v>4.0666666666666663E-2</v>
      </c>
      <c r="Y36" s="8">
        <v>2.5800000000000003E-3</v>
      </c>
      <c r="Z36" s="3" cm="1">
        <f t="array" ref="Z36">(-5*s_t/4)-Y36</f>
        <v>-6.3300000000000006E-3</v>
      </c>
      <c r="AA36" s="3">
        <f>(-INDEX(Overview[b],1)+SQRT(POWER(INDEX(Overview[b],1),2)-(4*INDEX(Overview[a],1)*st_c[[#This Row],[c]])))/(2*INDEX(Overview[a],1))</f>
        <v>0.75055617421507081</v>
      </c>
      <c r="AB36" s="3">
        <f>(-INDEX(Overview[b],2)+SQRT(POWER(INDEX(Overview[b],2),2)-(4*INDEX(Overview[a],2)*st_c[[#This Row],[c]])))/(2*INDEX(Overview[a],2))</f>
        <v>0.37527808710753541</v>
      </c>
      <c r="AC36" s="3">
        <f>(-INDEX(Overview[b],3)+SQRT(POWER(INDEX(Overview[b],3),2)-(4*INDEX(Overview[a],3)*st_c[[#This Row],[c]])))/(2*INDEX(Overview[a],3))</f>
        <v>0.25018539140502344</v>
      </c>
      <c r="AD36" s="3">
        <f>(-INDEX(Overview[b],4)+SQRT(POWER(INDEX(Overview[b],4),2)-(4*INDEX(Overview[a],4)*st_c[[#This Row],[c]])))/(2*INDEX(Overview[a],4))</f>
        <v>0.1876390435537677</v>
      </c>
      <c r="AE36" s="3">
        <f>(-INDEX(Overview[b],5)+SQRT(POWER(INDEX(Overview[b],5),2)-(4*INDEX(Overview[a],5)*st_c[[#This Row],[c]])))/(2*INDEX(Overview[a],5))</f>
        <v>0.15011123484301411</v>
      </c>
      <c r="AF36" s="3">
        <f>(-INDEX(Overview[b],6)+SQRT(POWER(INDEX(Overview[b],6),2)-(4*INDEX(Overview[a],6)*st_c[[#This Row],[c]])))/(2*INDEX(Overview[a],6))</f>
        <v>0.12509269570251172</v>
      </c>
      <c r="AG36" s="3">
        <f>(-INDEX(Overview[b],7)+SQRT(POWER(INDEX(Overview[b],7),2)-(4*INDEX(Overview[a],7)*st_c[[#This Row],[c]])))/(2*INDEX(Overview[a],7))</f>
        <v>0.10722231060215295</v>
      </c>
      <c r="AH36" s="3">
        <f>(-INDEX(Overview[b],8)+SQRT(POWER(INDEX(Overview[b],8),2)-(4*INDEX(Overview[a],8)*st_c[[#This Row],[c]])))/(2*INDEX(Overview[a],8))</f>
        <v>9.3819521776883852E-2</v>
      </c>
      <c r="AI36" s="3">
        <f>(-INDEX(Overview[b],9)+SQRT(POWER(INDEX(Overview[b],9),2)-(4*INDEX(Overview[a],9)*st_c[[#This Row],[c]])))/(2*INDEX(Overview[a],9))</f>
        <v>8.3395130468341155E-2</v>
      </c>
      <c r="AJ36" s="19">
        <f>(-INDEX(Overview[b],10)+SQRT(POWER(INDEX(Overview[b],10),2)-(4*INDEX(Overview[a],10)*st_c[[#This Row],[c]])))/(2*INDEX(Overview[a],10))</f>
        <v>7.5055617421507057E-2</v>
      </c>
    </row>
    <row r="37" spans="1:36" x14ac:dyDescent="0.25">
      <c r="A37" s="2">
        <v>3.4000000000000002E-4</v>
      </c>
      <c r="B37" s="3" cm="1">
        <f t="array" ref="B37">SQRT((4*POWER(ttotal1,2)*st_a[[#This Row],[s(ta)]])/(9*s_t))</f>
        <v>0.22443344307471286</v>
      </c>
      <c r="C37" s="3" cm="1">
        <f t="array" ref="C37">SQRT((4*POWER(ttotal2,2)*st_a[[#This Row],[s(ta)]])/(9*s_t))</f>
        <v>0.11221672153735643</v>
      </c>
      <c r="D37" s="3" cm="1">
        <f t="array" ref="D37">SQRT((4*POWER(ttotal3,2)*st_a[[#This Row],[s(ta)]])/(9*s_t))</f>
        <v>7.4811147691570948E-2</v>
      </c>
      <c r="E37" s="3" cm="1">
        <f t="array" ref="E37">SQRT((4*POWER(ttotal4,2)*st_a[[#This Row],[s(ta)]])/(9*s_t))</f>
        <v>5.6108360768678214E-2</v>
      </c>
      <c r="F37" s="3" cm="1">
        <f t="array" ref="F37">SQRT((4*POWER(ttotal5,2)*st_a[[#This Row],[s(ta)]])/(9*s_t))</f>
        <v>4.488668861494257E-2</v>
      </c>
      <c r="G37" s="3" cm="1">
        <f t="array" ref="G37">SQRT((4*POWER(ttotal6,2)*st_a[[#This Row],[s(ta)]])/(9*s_t))</f>
        <v>3.7405573845785474E-2</v>
      </c>
      <c r="H37" s="3" cm="1">
        <f t="array" ref="H37">SQRT((4*POWER(ttotal7,2)*st_a[[#This Row],[s(ta)]])/(9*s_t))</f>
        <v>3.206192043924469E-2</v>
      </c>
      <c r="I37" s="3" cm="1">
        <f t="array" ref="I37">SQRT((4*POWER(ttotal8,2)*st_a[[#This Row],[s(ta)]])/(9*s_t))</f>
        <v>2.8054180384339107E-2</v>
      </c>
      <c r="J37" s="3" cm="1">
        <f t="array" ref="J37">SQRT((4*POWER(ttotal9,2)*st_a[[#This Row],[s(ta)]])/(9*s_t))</f>
        <v>2.4937049230523648E-2</v>
      </c>
      <c r="K37" s="3" cm="1">
        <f t="array" ref="K37">SQRT((4*POWER(ttotal10,2)*st_a[[#This Row],[s(ta)]])/(9*s_t))</f>
        <v>2.2443344307471285E-2</v>
      </c>
      <c r="M37" s="8">
        <v>1.09E-3</v>
      </c>
      <c r="N37" s="3" cm="1">
        <f t="array" ref="N37">((2*ttotal1)/(3*s_t))*(st_b[[#This Row],[s(tb)]]+(s_t/4))</f>
        <v>0.40888888888888886</v>
      </c>
      <c r="O37" s="3" cm="1">
        <f t="array" ref="O37">((2*ttotal2)/(3*s_t))*(st_b[[#This Row],[s(tb)]]+(s_t/4))</f>
        <v>0.20444444444444443</v>
      </c>
      <c r="P37" s="3" cm="1">
        <f t="array" ref="P37">((2*ttotal3)/(3*s_t))*(st_b[[#This Row],[s(tb)]]+(s_t/4))</f>
        <v>0.13629629629629628</v>
      </c>
      <c r="Q37" s="3" cm="1">
        <f t="array" ref="Q37">((2*ttotal4)/(3*s_t))*(st_b[[#This Row],[s(tb)]]+(s_t/4))</f>
        <v>0.10222222222222221</v>
      </c>
      <c r="R37" s="3" cm="1">
        <f t="array" ref="R37">((2*ttotal5)/(3*s_t))*(st_b[[#This Row],[s(tb)]]+(s_t/4))</f>
        <v>8.1777777777777783E-2</v>
      </c>
      <c r="S37" s="3" cm="1">
        <f t="array" ref="S37">((2*ttotal6)/(3*s_t))*(st_b[[#This Row],[s(tb)]]+(s_t/4))</f>
        <v>6.8148148148148138E-2</v>
      </c>
      <c r="T37" s="3" cm="1">
        <f t="array" ref="T37">((2*ttotal7)/(3*s_t))*(st_b[[#This Row],[s(tb)]]+(s_t/4))</f>
        <v>5.8412698412698402E-2</v>
      </c>
      <c r="U37" s="3" cm="1">
        <f t="array" ref="U37">((2*ttotal8)/(3*s_t))*(st_b[[#This Row],[s(tb)]]+(s_t/4))</f>
        <v>5.1111111111111107E-2</v>
      </c>
      <c r="V37" s="3" cm="1">
        <f t="array" ref="V37">((2*ttotal9)/(3*s_t))*(st_b[[#This Row],[s(tb)]]+(s_t/4))</f>
        <v>4.543209876543209E-2</v>
      </c>
      <c r="W37" s="3" cm="1">
        <f t="array" ref="W37">((2*ttotal10)/(3*s_t))*(st_b[[#This Row],[s(tb)]]+(s_t/4))</f>
        <v>4.0888888888888891E-2</v>
      </c>
      <c r="Y37" s="8">
        <v>2.5900000000000003E-3</v>
      </c>
      <c r="Z37" s="3" cm="1">
        <f t="array" ref="Z37">(-5*s_t/4)-Y37</f>
        <v>-6.3400000000000001E-3</v>
      </c>
      <c r="AA37" s="3">
        <f>(-INDEX(Overview[b],1)+SQRT(POWER(INDEX(Overview[b],1),2)-(4*INDEX(Overview[a],1)*st_c[[#This Row],[c]])))/(2*INDEX(Overview[a],1))</f>
        <v>0.75354363319090201</v>
      </c>
      <c r="AB37" s="3">
        <f>(-INDEX(Overview[b],2)+SQRT(POWER(INDEX(Overview[b],2),2)-(4*INDEX(Overview[a],2)*st_c[[#This Row],[c]])))/(2*INDEX(Overview[a],2))</f>
        <v>0.376771816595451</v>
      </c>
      <c r="AC37" s="3">
        <f>(-INDEX(Overview[b],3)+SQRT(POWER(INDEX(Overview[b],3),2)-(4*INDEX(Overview[a],3)*st_c[[#This Row],[c]])))/(2*INDEX(Overview[a],3))</f>
        <v>0.25118121106363378</v>
      </c>
      <c r="AD37" s="3">
        <f>(-INDEX(Overview[b],4)+SQRT(POWER(INDEX(Overview[b],4),2)-(4*INDEX(Overview[a],4)*st_c[[#This Row],[c]])))/(2*INDEX(Overview[a],4))</f>
        <v>0.1883859082977255</v>
      </c>
      <c r="AE37" s="3">
        <f>(-INDEX(Overview[b],5)+SQRT(POWER(INDEX(Overview[b],5),2)-(4*INDEX(Overview[a],5)*st_c[[#This Row],[c]])))/(2*INDEX(Overview[a],5))</f>
        <v>0.15070872663818025</v>
      </c>
      <c r="AF37" s="3">
        <f>(-INDEX(Overview[b],6)+SQRT(POWER(INDEX(Overview[b],6),2)-(4*INDEX(Overview[a],6)*st_c[[#This Row],[c]])))/(2*INDEX(Overview[a],6))</f>
        <v>0.12559060553181689</v>
      </c>
      <c r="AG37" s="3">
        <f>(-INDEX(Overview[b],7)+SQRT(POWER(INDEX(Overview[b],7),2)-(4*INDEX(Overview[a],7)*st_c[[#This Row],[c]])))/(2*INDEX(Overview[a],7))</f>
        <v>0.1076490904558431</v>
      </c>
      <c r="AH37" s="3">
        <f>(-INDEX(Overview[b],8)+SQRT(POWER(INDEX(Overview[b],8),2)-(4*INDEX(Overview[a],8)*st_c[[#This Row],[c]])))/(2*INDEX(Overview[a],8))</f>
        <v>9.4192954148862751E-2</v>
      </c>
      <c r="AI37" s="3">
        <f>(-INDEX(Overview[b],9)+SQRT(POWER(INDEX(Overview[b],9),2)-(4*INDEX(Overview[a],9)*st_c[[#This Row],[c]])))/(2*INDEX(Overview[a],9))</f>
        <v>8.3727070354544644E-2</v>
      </c>
      <c r="AJ37" s="19">
        <f>(-INDEX(Overview[b],10)+SQRT(POWER(INDEX(Overview[b],10),2)-(4*INDEX(Overview[a],10)*st_c[[#This Row],[c]])))/(2*INDEX(Overview[a],10))</f>
        <v>7.5354363319090123E-2</v>
      </c>
    </row>
    <row r="38" spans="1:36" x14ac:dyDescent="0.25">
      <c r="A38" s="2">
        <v>3.5000000000000005E-4</v>
      </c>
      <c r="B38" s="3" cm="1">
        <f t="array" ref="B38">SQRT((4*POWER(ttotal1,2)*st_a[[#This Row],[s(ta)]])/(9*s_t))</f>
        <v>0.22771001702132443</v>
      </c>
      <c r="C38" s="3" cm="1">
        <f t="array" ref="C38">SQRT((4*POWER(ttotal2,2)*st_a[[#This Row],[s(ta)]])/(9*s_t))</f>
        <v>0.11385500851066221</v>
      </c>
      <c r="D38" s="3" cm="1">
        <f t="array" ref="D38">SQRT((4*POWER(ttotal3,2)*st_a[[#This Row],[s(ta)]])/(9*s_t))</f>
        <v>7.5903339007108134E-2</v>
      </c>
      <c r="E38" s="3" cm="1">
        <f t="array" ref="E38">SQRT((4*POWER(ttotal4,2)*st_a[[#This Row],[s(ta)]])/(9*s_t))</f>
        <v>5.6927504255331107E-2</v>
      </c>
      <c r="F38" s="3" cm="1">
        <f t="array" ref="F38">SQRT((4*POWER(ttotal5,2)*st_a[[#This Row],[s(ta)]])/(9*s_t))</f>
        <v>4.554200340426489E-2</v>
      </c>
      <c r="G38" s="3" cm="1">
        <f t="array" ref="G38">SQRT((4*POWER(ttotal6,2)*st_a[[#This Row],[s(ta)]])/(9*s_t))</f>
        <v>3.7951669503554067E-2</v>
      </c>
      <c r="H38" s="3" cm="1">
        <f t="array" ref="H38">SQRT((4*POWER(ttotal7,2)*st_a[[#This Row],[s(ta)]])/(9*s_t))</f>
        <v>3.2530002431617772E-2</v>
      </c>
      <c r="I38" s="3" cm="1">
        <f t="array" ref="I38">SQRT((4*POWER(ttotal8,2)*st_a[[#This Row],[s(ta)]])/(9*s_t))</f>
        <v>2.8463752127665554E-2</v>
      </c>
      <c r="J38" s="3" cm="1">
        <f t="array" ref="J38">SQRT((4*POWER(ttotal9,2)*st_a[[#This Row],[s(ta)]])/(9*s_t))</f>
        <v>2.5301113002369383E-2</v>
      </c>
      <c r="K38" s="3" cm="1">
        <f t="array" ref="K38">SQRT((4*POWER(ttotal10,2)*st_a[[#This Row],[s(ta)]])/(9*s_t))</f>
        <v>2.2771001702132445E-2</v>
      </c>
      <c r="M38" s="8">
        <v>1.1000000000000001E-3</v>
      </c>
      <c r="N38" s="3" cm="1">
        <f t="array" ref="N38">((2*ttotal1)/(3*s_t))*(st_b[[#This Row],[s(tb)]]+(s_t/4))</f>
        <v>0.41111111111111109</v>
      </c>
      <c r="O38" s="3" cm="1">
        <f t="array" ref="O38">((2*ttotal2)/(3*s_t))*(st_b[[#This Row],[s(tb)]]+(s_t/4))</f>
        <v>0.20555555555555555</v>
      </c>
      <c r="P38" s="3" cm="1">
        <f t="array" ref="P38">((2*ttotal3)/(3*s_t))*(st_b[[#This Row],[s(tb)]]+(s_t/4))</f>
        <v>0.13703703703703701</v>
      </c>
      <c r="Q38" s="3" cm="1">
        <f t="array" ref="Q38">((2*ttotal4)/(3*s_t))*(st_b[[#This Row],[s(tb)]]+(s_t/4))</f>
        <v>0.10277777777777777</v>
      </c>
      <c r="R38" s="3" cm="1">
        <f t="array" ref="R38">((2*ttotal5)/(3*s_t))*(st_b[[#This Row],[s(tb)]]+(s_t/4))</f>
        <v>8.2222222222222224E-2</v>
      </c>
      <c r="S38" s="3" cm="1">
        <f t="array" ref="S38">((2*ttotal6)/(3*s_t))*(st_b[[#This Row],[s(tb)]]+(s_t/4))</f>
        <v>6.8518518518518506E-2</v>
      </c>
      <c r="T38" s="3" cm="1">
        <f t="array" ref="T38">((2*ttotal7)/(3*s_t))*(st_b[[#This Row],[s(tb)]]+(s_t/4))</f>
        <v>5.8730158730158723E-2</v>
      </c>
      <c r="U38" s="3" cm="1">
        <f t="array" ref="U38">((2*ttotal8)/(3*s_t))*(st_b[[#This Row],[s(tb)]]+(s_t/4))</f>
        <v>5.1388888888888887E-2</v>
      </c>
      <c r="V38" s="3" cm="1">
        <f t="array" ref="V38">((2*ttotal9)/(3*s_t))*(st_b[[#This Row],[s(tb)]]+(s_t/4))</f>
        <v>4.5679012345679004E-2</v>
      </c>
      <c r="W38" s="3" cm="1">
        <f t="array" ref="W38">((2*ttotal10)/(3*s_t))*(st_b[[#This Row],[s(tb)]]+(s_t/4))</f>
        <v>4.1111111111111112E-2</v>
      </c>
      <c r="Y38" s="8">
        <v>2.6000000000000003E-3</v>
      </c>
      <c r="Z38" s="3" cm="1">
        <f t="array" ref="Z38">(-5*s_t/4)-Y38</f>
        <v>-6.3499999999999997E-3</v>
      </c>
      <c r="AA38" s="3">
        <f>(-INDEX(Overview[b],1)+SQRT(POWER(INDEX(Overview[b],1),2)-(4*INDEX(Overview[a],1)*st_c[[#This Row],[c]])))/(2*INDEX(Overview[a],1))</f>
        <v>0.75656775221992623</v>
      </c>
      <c r="AB38" s="3">
        <f>(-INDEX(Overview[b],2)+SQRT(POWER(INDEX(Overview[b],2),2)-(4*INDEX(Overview[a],2)*st_c[[#This Row],[c]])))/(2*INDEX(Overview[a],2))</f>
        <v>0.37828387610996311</v>
      </c>
      <c r="AC38" s="3">
        <f>(-INDEX(Overview[b],3)+SQRT(POWER(INDEX(Overview[b],3),2)-(4*INDEX(Overview[a],3)*st_c[[#This Row],[c]])))/(2*INDEX(Overview[a],3))</f>
        <v>0.25218925073997517</v>
      </c>
      <c r="AD38" s="3">
        <f>(-INDEX(Overview[b],4)+SQRT(POWER(INDEX(Overview[b],4),2)-(4*INDEX(Overview[a],4)*st_c[[#This Row],[c]])))/(2*INDEX(Overview[a],4))</f>
        <v>0.18914193805498156</v>
      </c>
      <c r="AE38" s="3">
        <f>(-INDEX(Overview[b],5)+SQRT(POWER(INDEX(Overview[b],5),2)-(4*INDEX(Overview[a],5)*st_c[[#This Row],[c]])))/(2*INDEX(Overview[a],5))</f>
        <v>0.15131355044398512</v>
      </c>
      <c r="AF38" s="3">
        <f>(-INDEX(Overview[b],6)+SQRT(POWER(INDEX(Overview[b],6),2)-(4*INDEX(Overview[a],6)*st_c[[#This Row],[c]])))/(2*INDEX(Overview[a],6))</f>
        <v>0.12609462536998758</v>
      </c>
      <c r="AG38" s="3">
        <f>(-INDEX(Overview[b],7)+SQRT(POWER(INDEX(Overview[b],7),2)-(4*INDEX(Overview[a],7)*st_c[[#This Row],[c]])))/(2*INDEX(Overview[a],7))</f>
        <v>0.10808110745998943</v>
      </c>
      <c r="AH38" s="3">
        <f>(-INDEX(Overview[b],8)+SQRT(POWER(INDEX(Overview[b],8),2)-(4*INDEX(Overview[a],8)*st_c[[#This Row],[c]])))/(2*INDEX(Overview[a],8))</f>
        <v>9.4570969027490778E-2</v>
      </c>
      <c r="AI38" s="3">
        <f>(-INDEX(Overview[b],9)+SQRT(POWER(INDEX(Overview[b],9),2)-(4*INDEX(Overview[a],9)*st_c[[#This Row],[c]])))/(2*INDEX(Overview[a],9))</f>
        <v>8.406308357999176E-2</v>
      </c>
      <c r="AJ38" s="19">
        <f>(-INDEX(Overview[b],10)+SQRT(POWER(INDEX(Overview[b],10),2)-(4*INDEX(Overview[a],10)*st_c[[#This Row],[c]])))/(2*INDEX(Overview[a],10))</f>
        <v>7.5656775221992559E-2</v>
      </c>
    </row>
    <row r="39" spans="1:36" x14ac:dyDescent="0.25">
      <c r="A39" s="2">
        <v>3.6000000000000002E-4</v>
      </c>
      <c r="B39" s="3" cm="1">
        <f t="array" ref="B39">SQRT((4*POWER(ttotal1,2)*st_a[[#This Row],[s(ta)]])/(9*s_t))</f>
        <v>0.23094010767585033</v>
      </c>
      <c r="C39" s="3" cm="1">
        <f t="array" ref="C39">SQRT((4*POWER(ttotal2,2)*st_a[[#This Row],[s(ta)]])/(9*s_t))</f>
        <v>0.11547005383792516</v>
      </c>
      <c r="D39" s="3" cm="1">
        <f t="array" ref="D39">SQRT((4*POWER(ttotal3,2)*st_a[[#This Row],[s(ta)]])/(9*s_t))</f>
        <v>7.6980035891950099E-2</v>
      </c>
      <c r="E39" s="3" cm="1">
        <f t="array" ref="E39">SQRT((4*POWER(ttotal4,2)*st_a[[#This Row],[s(ta)]])/(9*s_t))</f>
        <v>5.7735026918962581E-2</v>
      </c>
      <c r="F39" s="3" cm="1">
        <f t="array" ref="F39">SQRT((4*POWER(ttotal5,2)*st_a[[#This Row],[s(ta)]])/(9*s_t))</f>
        <v>4.6188021535170064E-2</v>
      </c>
      <c r="G39" s="3" cm="1">
        <f t="array" ref="G39">SQRT((4*POWER(ttotal6,2)*st_a[[#This Row],[s(ta)]])/(9*s_t))</f>
        <v>3.849001794597505E-2</v>
      </c>
      <c r="H39" s="3" cm="1">
        <f t="array" ref="H39">SQRT((4*POWER(ttotal7,2)*st_a[[#This Row],[s(ta)]])/(9*s_t))</f>
        <v>3.2991443953692898E-2</v>
      </c>
      <c r="I39" s="3" cm="1">
        <f t="array" ref="I39">SQRT((4*POWER(ttotal8,2)*st_a[[#This Row],[s(ta)]])/(9*s_t))</f>
        <v>2.8867513459481291E-2</v>
      </c>
      <c r="J39" s="3" cm="1">
        <f t="array" ref="J39">SQRT((4*POWER(ttotal9,2)*st_a[[#This Row],[s(ta)]])/(9*s_t))</f>
        <v>2.5660011963983365E-2</v>
      </c>
      <c r="K39" s="3" cm="1">
        <f t="array" ref="K39">SQRT((4*POWER(ttotal10,2)*st_a[[#This Row],[s(ta)]])/(9*s_t))</f>
        <v>2.3094010767585032E-2</v>
      </c>
      <c r="M39" s="8">
        <v>1.1100000000000001E-3</v>
      </c>
      <c r="N39" s="3" cm="1">
        <f t="array" ref="N39">((2*ttotal1)/(3*s_t))*(st_b[[#This Row],[s(tb)]]+(s_t/4))</f>
        <v>0.41333333333333333</v>
      </c>
      <c r="O39" s="3" cm="1">
        <f t="array" ref="O39">((2*ttotal2)/(3*s_t))*(st_b[[#This Row],[s(tb)]]+(s_t/4))</f>
        <v>0.20666666666666667</v>
      </c>
      <c r="P39" s="3" cm="1">
        <f t="array" ref="P39">((2*ttotal3)/(3*s_t))*(st_b[[#This Row],[s(tb)]]+(s_t/4))</f>
        <v>0.13777777777777778</v>
      </c>
      <c r="Q39" s="3" cm="1">
        <f t="array" ref="Q39">((2*ttotal4)/(3*s_t))*(st_b[[#This Row],[s(tb)]]+(s_t/4))</f>
        <v>0.10333333333333333</v>
      </c>
      <c r="R39" s="3" cm="1">
        <f t="array" ref="R39">((2*ttotal5)/(3*s_t))*(st_b[[#This Row],[s(tb)]]+(s_t/4))</f>
        <v>8.2666666666666666E-2</v>
      </c>
      <c r="S39" s="3" cm="1">
        <f t="array" ref="S39">((2*ttotal6)/(3*s_t))*(st_b[[#This Row],[s(tb)]]+(s_t/4))</f>
        <v>6.8888888888888888E-2</v>
      </c>
      <c r="T39" s="3" cm="1">
        <f t="array" ref="T39">((2*ttotal7)/(3*s_t))*(st_b[[#This Row],[s(tb)]]+(s_t/4))</f>
        <v>5.9047619047619036E-2</v>
      </c>
      <c r="U39" s="3" cm="1">
        <f t="array" ref="U39">((2*ttotal8)/(3*s_t))*(st_b[[#This Row],[s(tb)]]+(s_t/4))</f>
        <v>5.1666666666666666E-2</v>
      </c>
      <c r="V39" s="3" cm="1">
        <f t="array" ref="V39">((2*ttotal9)/(3*s_t))*(st_b[[#This Row],[s(tb)]]+(s_t/4))</f>
        <v>4.5925925925925919E-2</v>
      </c>
      <c r="W39" s="3" cm="1">
        <f t="array" ref="W39">((2*ttotal10)/(3*s_t))*(st_b[[#This Row],[s(tb)]]+(s_t/4))</f>
        <v>4.1333333333333333E-2</v>
      </c>
      <c r="Y39" s="8">
        <v>2.6100000000000003E-3</v>
      </c>
      <c r="Z39" s="3" cm="1">
        <f t="array" ref="Z39">(-5*s_t/4)-Y39</f>
        <v>-6.3600000000000002E-3</v>
      </c>
      <c r="AA39" s="3">
        <f>(-INDEX(Overview[b],1)+SQRT(POWER(INDEX(Overview[b],1),2)-(4*INDEX(Overview[a],1)*st_c[[#This Row],[c]])))/(2*INDEX(Overview[a],1))</f>
        <v>0.75962991496906773</v>
      </c>
      <c r="AB39" s="3">
        <f>(-INDEX(Overview[b],2)+SQRT(POWER(INDEX(Overview[b],2),2)-(4*INDEX(Overview[a],2)*st_c[[#This Row],[c]])))/(2*INDEX(Overview[a],2))</f>
        <v>0.37981495748453387</v>
      </c>
      <c r="AC39" s="3">
        <f>(-INDEX(Overview[b],3)+SQRT(POWER(INDEX(Overview[b],3),2)-(4*INDEX(Overview[a],3)*st_c[[#This Row],[c]])))/(2*INDEX(Overview[a],3))</f>
        <v>0.25320997165635561</v>
      </c>
      <c r="AD39" s="3">
        <f>(-INDEX(Overview[b],4)+SQRT(POWER(INDEX(Overview[b],4),2)-(4*INDEX(Overview[a],4)*st_c[[#This Row],[c]])))/(2*INDEX(Overview[a],4))</f>
        <v>0.18990747874226693</v>
      </c>
      <c r="AE39" s="3">
        <f>(-INDEX(Overview[b],5)+SQRT(POWER(INDEX(Overview[b],5),2)-(4*INDEX(Overview[a],5)*st_c[[#This Row],[c]])))/(2*INDEX(Overview[a],5))</f>
        <v>0.15192598299381344</v>
      </c>
      <c r="AF39" s="3">
        <f>(-INDEX(Overview[b],6)+SQRT(POWER(INDEX(Overview[b],6),2)-(4*INDEX(Overview[a],6)*st_c[[#This Row],[c]])))/(2*INDEX(Overview[a],6))</f>
        <v>0.12660498582817781</v>
      </c>
      <c r="AG39" s="3">
        <f>(-INDEX(Overview[b],7)+SQRT(POWER(INDEX(Overview[b],7),2)-(4*INDEX(Overview[a],7)*st_c[[#This Row],[c]])))/(2*INDEX(Overview[a],7))</f>
        <v>0.10851855928129536</v>
      </c>
      <c r="AH39" s="3">
        <f>(-INDEX(Overview[b],8)+SQRT(POWER(INDEX(Overview[b],8),2)-(4*INDEX(Overview[a],8)*st_c[[#This Row],[c]])))/(2*INDEX(Overview[a],8))</f>
        <v>9.4953739371133467E-2</v>
      </c>
      <c r="AI39" s="3">
        <f>(-INDEX(Overview[b],9)+SQRT(POWER(INDEX(Overview[b],9),2)-(4*INDEX(Overview[a],9)*st_c[[#This Row],[c]])))/(2*INDEX(Overview[a],9))</f>
        <v>8.4403323885451936E-2</v>
      </c>
      <c r="AJ39" s="19">
        <f>(-INDEX(Overview[b],10)+SQRT(POWER(INDEX(Overview[b],10),2)-(4*INDEX(Overview[a],10)*st_c[[#This Row],[c]])))/(2*INDEX(Overview[a],10))</f>
        <v>7.5962991496906718E-2</v>
      </c>
    </row>
    <row r="40" spans="1:36" x14ac:dyDescent="0.25">
      <c r="A40" s="2">
        <v>3.7000000000000005E-4</v>
      </c>
      <c r="B40" s="3" cm="1">
        <f t="array" ref="B40">SQRT((4*POWER(ttotal1,2)*st_a[[#This Row],[s(ta)]])/(9*s_t))</f>
        <v>0.23412563895228311</v>
      </c>
      <c r="C40" s="3" cm="1">
        <f t="array" ref="C40">SQRT((4*POWER(ttotal2,2)*st_a[[#This Row],[s(ta)]])/(9*s_t))</f>
        <v>0.11706281947614156</v>
      </c>
      <c r="D40" s="3" cm="1">
        <f t="array" ref="D40">SQRT((4*POWER(ttotal3,2)*st_a[[#This Row],[s(ta)]])/(9*s_t))</f>
        <v>7.8041879650761037E-2</v>
      </c>
      <c r="E40" s="3" cm="1">
        <f t="array" ref="E40">SQRT((4*POWER(ttotal4,2)*st_a[[#This Row],[s(ta)]])/(9*s_t))</f>
        <v>5.8531409738070778E-2</v>
      </c>
      <c r="F40" s="3" cm="1">
        <f t="array" ref="F40">SQRT((4*POWER(ttotal5,2)*st_a[[#This Row],[s(ta)]])/(9*s_t))</f>
        <v>4.6825127790456625E-2</v>
      </c>
      <c r="G40" s="3" cm="1">
        <f t="array" ref="G40">SQRT((4*POWER(ttotal6,2)*st_a[[#This Row],[s(ta)]])/(9*s_t))</f>
        <v>3.9020939825380518E-2</v>
      </c>
      <c r="H40" s="3" cm="1">
        <f t="array" ref="H40">SQRT((4*POWER(ttotal7,2)*st_a[[#This Row],[s(ta)]])/(9*s_t))</f>
        <v>3.3446519850326158E-2</v>
      </c>
      <c r="I40" s="3" cm="1">
        <f t="array" ref="I40">SQRT((4*POWER(ttotal8,2)*st_a[[#This Row],[s(ta)]])/(9*s_t))</f>
        <v>2.9265704869035389E-2</v>
      </c>
      <c r="J40" s="3" cm="1">
        <f t="array" ref="J40">SQRT((4*POWER(ttotal9,2)*st_a[[#This Row],[s(ta)]])/(9*s_t))</f>
        <v>2.6013959883587012E-2</v>
      </c>
      <c r="K40" s="3" cm="1">
        <f t="array" ref="K40">SQRT((4*POWER(ttotal10,2)*st_a[[#This Row],[s(ta)]])/(9*s_t))</f>
        <v>2.3412563895228312E-2</v>
      </c>
      <c r="M40" s="8">
        <v>1.1200000000000001E-3</v>
      </c>
      <c r="N40" s="3" cm="1">
        <f t="array" ref="N40">((2*ttotal1)/(3*s_t))*(st_b[[#This Row],[s(tb)]]+(s_t/4))</f>
        <v>0.41555555555555557</v>
      </c>
      <c r="O40" s="3" cm="1">
        <f t="array" ref="O40">((2*ttotal2)/(3*s_t))*(st_b[[#This Row],[s(tb)]]+(s_t/4))</f>
        <v>0.20777777777777778</v>
      </c>
      <c r="P40" s="3" cm="1">
        <f t="array" ref="P40">((2*ttotal3)/(3*s_t))*(st_b[[#This Row],[s(tb)]]+(s_t/4))</f>
        <v>0.13851851851851851</v>
      </c>
      <c r="Q40" s="3" cm="1">
        <f t="array" ref="Q40">((2*ttotal4)/(3*s_t))*(st_b[[#This Row],[s(tb)]]+(s_t/4))</f>
        <v>0.10388888888888889</v>
      </c>
      <c r="R40" s="3" cm="1">
        <f t="array" ref="R40">((2*ttotal5)/(3*s_t))*(st_b[[#This Row],[s(tb)]]+(s_t/4))</f>
        <v>8.3111111111111108E-2</v>
      </c>
      <c r="S40" s="3" cm="1">
        <f t="array" ref="S40">((2*ttotal6)/(3*s_t))*(st_b[[#This Row],[s(tb)]]+(s_t/4))</f>
        <v>6.9259259259259257E-2</v>
      </c>
      <c r="T40" s="3" cm="1">
        <f t="array" ref="T40">((2*ttotal7)/(3*s_t))*(st_b[[#This Row],[s(tb)]]+(s_t/4))</f>
        <v>5.9365079365079357E-2</v>
      </c>
      <c r="U40" s="3" cm="1">
        <f t="array" ref="U40">((2*ttotal8)/(3*s_t))*(st_b[[#This Row],[s(tb)]]+(s_t/4))</f>
        <v>5.1944444444444446E-2</v>
      </c>
      <c r="V40" s="3" cm="1">
        <f t="array" ref="V40">((2*ttotal9)/(3*s_t))*(st_b[[#This Row],[s(tb)]]+(s_t/4))</f>
        <v>4.6172839506172833E-2</v>
      </c>
      <c r="W40" s="3" cm="1">
        <f t="array" ref="W40">((2*ttotal10)/(3*s_t))*(st_b[[#This Row],[s(tb)]]+(s_t/4))</f>
        <v>4.1555555555555554E-2</v>
      </c>
      <c r="Y40" s="8">
        <v>2.6200000000000004E-3</v>
      </c>
      <c r="Z40" s="3" cm="1">
        <f t="array" ref="Z40">(-5*s_t/4)-Y40</f>
        <v>-6.3700000000000007E-3</v>
      </c>
      <c r="AA40" s="3">
        <f>(-INDEX(Overview[b],1)+SQRT(POWER(INDEX(Overview[b],1),2)-(4*INDEX(Overview[a],1)*st_c[[#This Row],[c]])))/(2*INDEX(Overview[a],1))</f>
        <v>0.76273159439930449</v>
      </c>
      <c r="AB40" s="3">
        <f>(-INDEX(Overview[b],2)+SQRT(POWER(INDEX(Overview[b],2),2)-(4*INDEX(Overview[a],2)*st_c[[#This Row],[c]])))/(2*INDEX(Overview[a],2))</f>
        <v>0.38136579719965225</v>
      </c>
      <c r="AC40" s="3">
        <f>(-INDEX(Overview[b],3)+SQRT(POWER(INDEX(Overview[b],3),2)-(4*INDEX(Overview[a],3)*st_c[[#This Row],[c]])))/(2*INDEX(Overview[a],3))</f>
        <v>0.2542438647997679</v>
      </c>
      <c r="AD40" s="3">
        <f>(-INDEX(Overview[b],4)+SQRT(POWER(INDEX(Overview[b],4),2)-(4*INDEX(Overview[a],4)*st_c[[#This Row],[c]])))/(2*INDEX(Overview[a],4))</f>
        <v>0.19068289859982612</v>
      </c>
      <c r="AE40" s="3">
        <f>(-INDEX(Overview[b],5)+SQRT(POWER(INDEX(Overview[b],5),2)-(4*INDEX(Overview[a],5)*st_c[[#This Row],[c]])))/(2*INDEX(Overview[a],5))</f>
        <v>0.15254631887986075</v>
      </c>
      <c r="AF40" s="3">
        <f>(-INDEX(Overview[b],6)+SQRT(POWER(INDEX(Overview[b],6),2)-(4*INDEX(Overview[a],6)*st_c[[#This Row],[c]])))/(2*INDEX(Overview[a],6))</f>
        <v>0.12712193239988395</v>
      </c>
      <c r="AG40" s="3">
        <f>(-INDEX(Overview[b],7)+SQRT(POWER(INDEX(Overview[b],7),2)-(4*INDEX(Overview[a],7)*st_c[[#This Row],[c]])))/(2*INDEX(Overview[a],7))</f>
        <v>0.1089616563427578</v>
      </c>
      <c r="AH40" s="3">
        <f>(-INDEX(Overview[b],8)+SQRT(POWER(INDEX(Overview[b],8),2)-(4*INDEX(Overview[a],8)*st_c[[#This Row],[c]])))/(2*INDEX(Overview[a],8))</f>
        <v>9.5341449299913061E-2</v>
      </c>
      <c r="AI40" s="3">
        <f>(-INDEX(Overview[b],9)+SQRT(POWER(INDEX(Overview[b],9),2)-(4*INDEX(Overview[a],9)*st_c[[#This Row],[c]])))/(2*INDEX(Overview[a],9))</f>
        <v>8.4747954933256028E-2</v>
      </c>
      <c r="AJ40" s="19">
        <f>(-INDEX(Overview[b],10)+SQRT(POWER(INDEX(Overview[b],10),2)-(4*INDEX(Overview[a],10)*st_c[[#This Row],[c]])))/(2*INDEX(Overview[a],10))</f>
        <v>7.6273159439930377E-2</v>
      </c>
    </row>
    <row r="41" spans="1:36" x14ac:dyDescent="0.25">
      <c r="A41" s="2">
        <v>3.8000000000000002E-4</v>
      </c>
      <c r="B41" s="3" cm="1">
        <f t="array" ref="B41">SQRT((4*POWER(ttotal1,2)*st_a[[#This Row],[s(ta)]])/(9*s_t))</f>
        <v>0.23726840560069581</v>
      </c>
      <c r="C41" s="3" cm="1">
        <f t="array" ref="C41">SQRT((4*POWER(ttotal2,2)*st_a[[#This Row],[s(ta)]])/(9*s_t))</f>
        <v>0.11863420280034791</v>
      </c>
      <c r="D41" s="3" cm="1">
        <f t="array" ref="D41">SQRT((4*POWER(ttotal3,2)*st_a[[#This Row],[s(ta)]])/(9*s_t))</f>
        <v>7.9089468533565271E-2</v>
      </c>
      <c r="E41" s="3" cm="1">
        <f t="array" ref="E41">SQRT((4*POWER(ttotal4,2)*st_a[[#This Row],[s(ta)]])/(9*s_t))</f>
        <v>5.9317101400173954E-2</v>
      </c>
      <c r="F41" s="3" cm="1">
        <f t="array" ref="F41">SQRT((4*POWER(ttotal5,2)*st_a[[#This Row],[s(ta)]])/(9*s_t))</f>
        <v>4.7453681120139167E-2</v>
      </c>
      <c r="G41" s="3" cm="1">
        <f t="array" ref="G41">SQRT((4*POWER(ttotal6,2)*st_a[[#This Row],[s(ta)]])/(9*s_t))</f>
        <v>3.9544734266782636E-2</v>
      </c>
      <c r="H41" s="3" cm="1">
        <f t="array" ref="H41">SQRT((4*POWER(ttotal7,2)*st_a[[#This Row],[s(ta)]])/(9*s_t))</f>
        <v>3.3895486514385113E-2</v>
      </c>
      <c r="I41" s="3" cm="1">
        <f t="array" ref="I41">SQRT((4*POWER(ttotal8,2)*st_a[[#This Row],[s(ta)]])/(9*s_t))</f>
        <v>2.9658550700086977E-2</v>
      </c>
      <c r="J41" s="3" cm="1">
        <f t="array" ref="J41">SQRT((4*POWER(ttotal9,2)*st_a[[#This Row],[s(ta)]])/(9*s_t))</f>
        <v>2.636315617785509E-2</v>
      </c>
      <c r="K41" s="3" cm="1">
        <f t="array" ref="K41">SQRT((4*POWER(ttotal10,2)*st_a[[#This Row],[s(ta)]])/(9*s_t))</f>
        <v>2.3726840560069584E-2</v>
      </c>
      <c r="M41" s="8">
        <v>1.1300000000000001E-3</v>
      </c>
      <c r="N41" s="3" cm="1">
        <f t="array" ref="N41">((2*ttotal1)/(3*s_t))*(st_b[[#This Row],[s(tb)]]+(s_t/4))</f>
        <v>0.41777777777777775</v>
      </c>
      <c r="O41" s="3" cm="1">
        <f t="array" ref="O41">((2*ttotal2)/(3*s_t))*(st_b[[#This Row],[s(tb)]]+(s_t/4))</f>
        <v>0.20888888888888887</v>
      </c>
      <c r="P41" s="3" cm="1">
        <f t="array" ref="P41">((2*ttotal3)/(3*s_t))*(st_b[[#This Row],[s(tb)]]+(s_t/4))</f>
        <v>0.13925925925925925</v>
      </c>
      <c r="Q41" s="3" cm="1">
        <f t="array" ref="Q41">((2*ttotal4)/(3*s_t))*(st_b[[#This Row],[s(tb)]]+(s_t/4))</f>
        <v>0.10444444444444444</v>
      </c>
      <c r="R41" s="3" cm="1">
        <f t="array" ref="R41">((2*ttotal5)/(3*s_t))*(st_b[[#This Row],[s(tb)]]+(s_t/4))</f>
        <v>8.3555555555555563E-2</v>
      </c>
      <c r="S41" s="3" cm="1">
        <f t="array" ref="S41">((2*ttotal6)/(3*s_t))*(st_b[[#This Row],[s(tb)]]+(s_t/4))</f>
        <v>6.9629629629629625E-2</v>
      </c>
      <c r="T41" s="3" cm="1">
        <f t="array" ref="T41">((2*ttotal7)/(3*s_t))*(st_b[[#This Row],[s(tb)]]+(s_t/4))</f>
        <v>5.9682539682539677E-2</v>
      </c>
      <c r="U41" s="3" cm="1">
        <f t="array" ref="U41">((2*ttotal8)/(3*s_t))*(st_b[[#This Row],[s(tb)]]+(s_t/4))</f>
        <v>5.2222222222222218E-2</v>
      </c>
      <c r="V41" s="3" cm="1">
        <f t="array" ref="V41">((2*ttotal9)/(3*s_t))*(st_b[[#This Row],[s(tb)]]+(s_t/4))</f>
        <v>4.6419753086419747E-2</v>
      </c>
      <c r="W41" s="3" cm="1">
        <f t="array" ref="W41">((2*ttotal10)/(3*s_t))*(st_b[[#This Row],[s(tb)]]+(s_t/4))</f>
        <v>4.1777777777777782E-2</v>
      </c>
      <c r="Y41" s="8">
        <v>2.6300000000000004E-3</v>
      </c>
      <c r="Z41" s="3" cm="1">
        <f t="array" ref="Z41">(-5*s_t/4)-Y41</f>
        <v>-6.3800000000000003E-3</v>
      </c>
      <c r="AA41" s="3">
        <f>(-INDEX(Overview[b],1)+SQRT(POWER(INDEX(Overview[b],1),2)-(4*INDEX(Overview[a],1)*st_c[[#This Row],[c]])))/(2*INDEX(Overview[a],1))</f>
        <v>0.76587436104771722</v>
      </c>
      <c r="AB41" s="3">
        <f>(-INDEX(Overview[b],2)+SQRT(POWER(INDEX(Overview[b],2),2)-(4*INDEX(Overview[a],2)*st_c[[#This Row],[c]])))/(2*INDEX(Overview[a],2))</f>
        <v>0.38293718052385861</v>
      </c>
      <c r="AC41" s="3">
        <f>(-INDEX(Overview[b],3)+SQRT(POWER(INDEX(Overview[b],3),2)-(4*INDEX(Overview[a],3)*st_c[[#This Row],[c]])))/(2*INDEX(Overview[a],3))</f>
        <v>0.25529145368257211</v>
      </c>
      <c r="AD41" s="3">
        <f>(-INDEX(Overview[b],4)+SQRT(POWER(INDEX(Overview[b],4),2)-(4*INDEX(Overview[a],4)*st_c[[#This Row],[c]])))/(2*INDEX(Overview[a],4))</f>
        <v>0.19146859026192931</v>
      </c>
      <c r="AE41" s="3">
        <f>(-INDEX(Overview[b],5)+SQRT(POWER(INDEX(Overview[b],5),2)-(4*INDEX(Overview[a],5)*st_c[[#This Row],[c]])))/(2*INDEX(Overview[a],5))</f>
        <v>0.15317487220954326</v>
      </c>
      <c r="AF41" s="3">
        <f>(-INDEX(Overview[b],6)+SQRT(POWER(INDEX(Overview[b],6),2)-(4*INDEX(Overview[a],6)*st_c[[#This Row],[c]])))/(2*INDEX(Overview[a],6))</f>
        <v>0.12764572684128606</v>
      </c>
      <c r="AG41" s="3">
        <f>(-INDEX(Overview[b],7)+SQRT(POWER(INDEX(Overview[b],7),2)-(4*INDEX(Overview[a],7)*st_c[[#This Row],[c]])))/(2*INDEX(Overview[a],7))</f>
        <v>0.10941062300681674</v>
      </c>
      <c r="AH41" s="3">
        <f>(-INDEX(Overview[b],8)+SQRT(POWER(INDEX(Overview[b],8),2)-(4*INDEX(Overview[a],8)*st_c[[#This Row],[c]])))/(2*INDEX(Overview[a],8))</f>
        <v>9.5734295130964653E-2</v>
      </c>
      <c r="AI41" s="3">
        <f>(-INDEX(Overview[b],9)+SQRT(POWER(INDEX(Overview[b],9),2)-(4*INDEX(Overview[a],9)*st_c[[#This Row],[c]])))/(2*INDEX(Overview[a],9))</f>
        <v>8.5097151227524079E-2</v>
      </c>
      <c r="AJ41" s="19">
        <f>(-INDEX(Overview[b],10)+SQRT(POWER(INDEX(Overview[b],10),2)-(4*INDEX(Overview[a],10)*st_c[[#This Row],[c]])))/(2*INDEX(Overview[a],10))</f>
        <v>7.6587436104771631E-2</v>
      </c>
    </row>
    <row r="42" spans="1:36" x14ac:dyDescent="0.25">
      <c r="A42" s="2">
        <v>3.9000000000000005E-4</v>
      </c>
      <c r="B42" s="3" cm="1">
        <f t="array" ref="B42">SQRT((4*POWER(ttotal1,2)*st_a[[#This Row],[s(ta)]])/(9*s_t))</f>
        <v>0.24037008503093263</v>
      </c>
      <c r="C42" s="3" cm="1">
        <f t="array" ref="C42">SQRT((4*POWER(ttotal2,2)*st_a[[#This Row],[s(ta)]])/(9*s_t))</f>
        <v>0.12018504251546631</v>
      </c>
      <c r="D42" s="3" cm="1">
        <f t="array" ref="D42">SQRT((4*POWER(ttotal3,2)*st_a[[#This Row],[s(ta)]])/(9*s_t))</f>
        <v>8.0123361676977548E-2</v>
      </c>
      <c r="E42" s="3" cm="1">
        <f t="array" ref="E42">SQRT((4*POWER(ttotal4,2)*st_a[[#This Row],[s(ta)]])/(9*s_t))</f>
        <v>6.0092521257733157E-2</v>
      </c>
      <c r="F42" s="3" cm="1">
        <f t="array" ref="F42">SQRT((4*POWER(ttotal5,2)*st_a[[#This Row],[s(ta)]])/(9*s_t))</f>
        <v>4.8074017006186534E-2</v>
      </c>
      <c r="G42" s="3" cm="1">
        <f t="array" ref="G42">SQRT((4*POWER(ttotal6,2)*st_a[[#This Row],[s(ta)]])/(9*s_t))</f>
        <v>4.0061680838488774E-2</v>
      </c>
      <c r="H42" s="3" cm="1">
        <f t="array" ref="H42">SQRT((4*POWER(ttotal7,2)*st_a[[#This Row],[s(ta)]])/(9*s_t))</f>
        <v>3.4338583575847521E-2</v>
      </c>
      <c r="I42" s="3" cm="1">
        <f t="array" ref="I42">SQRT((4*POWER(ttotal8,2)*st_a[[#This Row],[s(ta)]])/(9*s_t))</f>
        <v>3.0046260628866579E-2</v>
      </c>
      <c r="J42" s="3" cm="1">
        <f t="array" ref="J42">SQRT((4*POWER(ttotal9,2)*st_a[[#This Row],[s(ta)]])/(9*s_t))</f>
        <v>2.6707787225659183E-2</v>
      </c>
      <c r="K42" s="3" cm="1">
        <f t="array" ref="K42">SQRT((4*POWER(ttotal10,2)*st_a[[#This Row],[s(ta)]])/(9*s_t))</f>
        <v>2.4037008503093267E-2</v>
      </c>
      <c r="M42" s="8">
        <v>1.1400000000000002E-3</v>
      </c>
      <c r="N42" s="3" cm="1">
        <f t="array" ref="N42">((2*ttotal1)/(3*s_t))*(st_b[[#This Row],[s(tb)]]+(s_t/4))</f>
        <v>0.42</v>
      </c>
      <c r="O42" s="3" cm="1">
        <f t="array" ref="O42">((2*ttotal2)/(3*s_t))*(st_b[[#This Row],[s(tb)]]+(s_t/4))</f>
        <v>0.21</v>
      </c>
      <c r="P42" s="3" cm="1">
        <f t="array" ref="P42">((2*ttotal3)/(3*s_t))*(st_b[[#This Row],[s(tb)]]+(s_t/4))</f>
        <v>0.13999999999999999</v>
      </c>
      <c r="Q42" s="3" cm="1">
        <f t="array" ref="Q42">((2*ttotal4)/(3*s_t))*(st_b[[#This Row],[s(tb)]]+(s_t/4))</f>
        <v>0.105</v>
      </c>
      <c r="R42" s="3" cm="1">
        <f t="array" ref="R42">((2*ttotal5)/(3*s_t))*(st_b[[#This Row],[s(tb)]]+(s_t/4))</f>
        <v>8.4000000000000005E-2</v>
      </c>
      <c r="S42" s="3" cm="1">
        <f t="array" ref="S42">((2*ttotal6)/(3*s_t))*(st_b[[#This Row],[s(tb)]]+(s_t/4))</f>
        <v>6.9999999999999993E-2</v>
      </c>
      <c r="T42" s="3" cm="1">
        <f t="array" ref="T42">((2*ttotal7)/(3*s_t))*(st_b[[#This Row],[s(tb)]]+(s_t/4))</f>
        <v>5.9999999999999991E-2</v>
      </c>
      <c r="U42" s="3" cm="1">
        <f t="array" ref="U42">((2*ttotal8)/(3*s_t))*(st_b[[#This Row],[s(tb)]]+(s_t/4))</f>
        <v>5.2499999999999998E-2</v>
      </c>
      <c r="V42" s="3" cm="1">
        <f t="array" ref="V42">((2*ttotal9)/(3*s_t))*(st_b[[#This Row],[s(tb)]]+(s_t/4))</f>
        <v>4.6666666666666662E-2</v>
      </c>
      <c r="W42" s="3" cm="1">
        <f t="array" ref="W42">((2*ttotal10)/(3*s_t))*(st_b[[#This Row],[s(tb)]]+(s_t/4))</f>
        <v>4.2000000000000003E-2</v>
      </c>
      <c r="Y42" s="8">
        <v>2.6400000000000004E-3</v>
      </c>
      <c r="Z42" s="3" cm="1">
        <f t="array" ref="Z42">(-5*s_t/4)-Y42</f>
        <v>-6.3899999999999998E-3</v>
      </c>
      <c r="AA42" s="3">
        <f>(-INDEX(Overview[b],1)+SQRT(POWER(INDEX(Overview[b],1),2)-(4*INDEX(Overview[a],1)*st_c[[#This Row],[c]])))/(2*INDEX(Overview[a],1))</f>
        <v>0.76905989232414995</v>
      </c>
      <c r="AB42" s="3">
        <f>(-INDEX(Overview[b],2)+SQRT(POWER(INDEX(Overview[b],2),2)-(4*INDEX(Overview[a],2)*st_c[[#This Row],[c]])))/(2*INDEX(Overview[a],2))</f>
        <v>0.38452994616207498</v>
      </c>
      <c r="AC42" s="3">
        <f>(-INDEX(Overview[b],3)+SQRT(POWER(INDEX(Overview[b],3),2)-(4*INDEX(Overview[a],3)*st_c[[#This Row],[c]])))/(2*INDEX(Overview[a],3))</f>
        <v>0.25635329744138308</v>
      </c>
      <c r="AD42" s="3">
        <f>(-INDEX(Overview[b],4)+SQRT(POWER(INDEX(Overview[b],4),2)-(4*INDEX(Overview[a],4)*st_c[[#This Row],[c]])))/(2*INDEX(Overview[a],4))</f>
        <v>0.19226497308103749</v>
      </c>
      <c r="AE42" s="3">
        <f>(-INDEX(Overview[b],5)+SQRT(POWER(INDEX(Overview[b],5),2)-(4*INDEX(Overview[a],5)*st_c[[#This Row],[c]])))/(2*INDEX(Overview[a],5))</f>
        <v>0.1538119784648298</v>
      </c>
      <c r="AF42" s="3">
        <f>(-INDEX(Overview[b],6)+SQRT(POWER(INDEX(Overview[b],6),2)-(4*INDEX(Overview[a],6)*st_c[[#This Row],[c]])))/(2*INDEX(Overview[a],6))</f>
        <v>0.12817664872069154</v>
      </c>
      <c r="AG42" s="3">
        <f>(-INDEX(Overview[b],7)+SQRT(POWER(INDEX(Overview[b],7),2)-(4*INDEX(Overview[a],7)*st_c[[#This Row],[c]])))/(2*INDEX(Overview[a],7))</f>
        <v>0.10986569890344998</v>
      </c>
      <c r="AH42" s="3">
        <f>(-INDEX(Overview[b],8)+SQRT(POWER(INDEX(Overview[b],8),2)-(4*INDEX(Overview[a],8)*st_c[[#This Row],[c]])))/(2*INDEX(Overview[a],8))</f>
        <v>9.6132486540518744E-2</v>
      </c>
      <c r="AI42" s="3">
        <f>(-INDEX(Overview[b],9)+SQRT(POWER(INDEX(Overview[b],9),2)-(4*INDEX(Overview[a],9)*st_c[[#This Row],[c]])))/(2*INDEX(Overview[a],9))</f>
        <v>8.5451099147127715E-2</v>
      </c>
      <c r="AJ42" s="19">
        <f>(-INDEX(Overview[b],10)+SQRT(POWER(INDEX(Overview[b],10),2)-(4*INDEX(Overview[a],10)*st_c[[#This Row],[c]])))/(2*INDEX(Overview[a],10))</f>
        <v>7.6905989232414901E-2</v>
      </c>
    </row>
    <row r="43" spans="1:36" x14ac:dyDescent="0.25">
      <c r="A43" s="2">
        <v>4.0000000000000002E-4</v>
      </c>
      <c r="B43" s="3" cm="1">
        <f t="array" ref="B43">SQRT((4*POWER(ttotal1,2)*st_a[[#This Row],[s(ta)]])/(9*s_t))</f>
        <v>0.24343224778007383</v>
      </c>
      <c r="C43" s="3" cm="1">
        <f t="array" ref="C43">SQRT((4*POWER(ttotal2,2)*st_a[[#This Row],[s(ta)]])/(9*s_t))</f>
        <v>0.12171612389003691</v>
      </c>
      <c r="D43" s="3" cm="1">
        <f t="array" ref="D43">SQRT((4*POWER(ttotal3,2)*st_a[[#This Row],[s(ta)]])/(9*s_t))</f>
        <v>8.1144082593357952E-2</v>
      </c>
      <c r="E43" s="3" cm="1">
        <f t="array" ref="E43">SQRT((4*POWER(ttotal4,2)*st_a[[#This Row],[s(ta)]])/(9*s_t))</f>
        <v>6.0858061945018457E-2</v>
      </c>
      <c r="F43" s="3" cm="1">
        <f t="array" ref="F43">SQRT((4*POWER(ttotal5,2)*st_a[[#This Row],[s(ta)]])/(9*s_t))</f>
        <v>4.8686449556014769E-2</v>
      </c>
      <c r="G43" s="3" cm="1">
        <f t="array" ref="G43">SQRT((4*POWER(ttotal6,2)*st_a[[#This Row],[s(ta)]])/(9*s_t))</f>
        <v>4.0572041296678976E-2</v>
      </c>
      <c r="H43" s="3" cm="1">
        <f t="array" ref="H43">SQRT((4*POWER(ttotal7,2)*st_a[[#This Row],[s(ta)]])/(9*s_t))</f>
        <v>3.4776035397153404E-2</v>
      </c>
      <c r="I43" s="3" cm="1">
        <f t="array" ref="I43">SQRT((4*POWER(ttotal8,2)*st_a[[#This Row],[s(ta)]])/(9*s_t))</f>
        <v>3.0429030972509229E-2</v>
      </c>
      <c r="J43" s="3" cm="1">
        <f t="array" ref="J43">SQRT((4*POWER(ttotal9,2)*st_a[[#This Row],[s(ta)]])/(9*s_t))</f>
        <v>2.7048027531119314E-2</v>
      </c>
      <c r="K43" s="3" cm="1">
        <f t="array" ref="K43">SQRT((4*POWER(ttotal10,2)*st_a[[#This Row],[s(ta)]])/(9*s_t))</f>
        <v>2.4343224778007384E-2</v>
      </c>
      <c r="M43" s="8">
        <v>1.1500000000000002E-3</v>
      </c>
      <c r="N43" s="3" cm="1">
        <f t="array" ref="N43">((2*ttotal1)/(3*s_t))*(st_b[[#This Row],[s(tb)]]+(s_t/4))</f>
        <v>0.42222222222222222</v>
      </c>
      <c r="O43" s="3" cm="1">
        <f t="array" ref="O43">((2*ttotal2)/(3*s_t))*(st_b[[#This Row],[s(tb)]]+(s_t/4))</f>
        <v>0.21111111111111111</v>
      </c>
      <c r="P43" s="3" cm="1">
        <f t="array" ref="P43">((2*ttotal3)/(3*s_t))*(st_b[[#This Row],[s(tb)]]+(s_t/4))</f>
        <v>0.14074074074074072</v>
      </c>
      <c r="Q43" s="3" cm="1">
        <f t="array" ref="Q43">((2*ttotal4)/(3*s_t))*(st_b[[#This Row],[s(tb)]]+(s_t/4))</f>
        <v>0.10555555555555556</v>
      </c>
      <c r="R43" s="3" cm="1">
        <f t="array" ref="R43">((2*ttotal5)/(3*s_t))*(st_b[[#This Row],[s(tb)]]+(s_t/4))</f>
        <v>8.4444444444444447E-2</v>
      </c>
      <c r="S43" s="3" cm="1">
        <f t="array" ref="S43">((2*ttotal6)/(3*s_t))*(st_b[[#This Row],[s(tb)]]+(s_t/4))</f>
        <v>7.0370370370370361E-2</v>
      </c>
      <c r="T43" s="3" cm="1">
        <f t="array" ref="T43">((2*ttotal7)/(3*s_t))*(st_b[[#This Row],[s(tb)]]+(s_t/4))</f>
        <v>6.0317460317460311E-2</v>
      </c>
      <c r="U43" s="3" cm="1">
        <f t="array" ref="U43">((2*ttotal8)/(3*s_t))*(st_b[[#This Row],[s(tb)]]+(s_t/4))</f>
        <v>5.2777777777777778E-2</v>
      </c>
      <c r="V43" s="3" cm="1">
        <f t="array" ref="V43">((2*ttotal9)/(3*s_t))*(st_b[[#This Row],[s(tb)]]+(s_t/4))</f>
        <v>4.6913580246913576E-2</v>
      </c>
      <c r="W43" s="3" cm="1">
        <f t="array" ref="W43">((2*ttotal10)/(3*s_t))*(st_b[[#This Row],[s(tb)]]+(s_t/4))</f>
        <v>4.2222222222222223E-2</v>
      </c>
      <c r="Y43" s="8">
        <v>2.65E-3</v>
      </c>
      <c r="Z43" s="3" cm="1">
        <f t="array" ref="Z43">(-5*s_t/4)-Y43</f>
        <v>-6.3999999999999994E-3</v>
      </c>
      <c r="AA43" s="3">
        <f>(-INDEX(Overview[b],1)+SQRT(POWER(INDEX(Overview[b],1),2)-(4*INDEX(Overview[a],1)*st_c[[#This Row],[c]])))/(2*INDEX(Overview[a],1))</f>
        <v>0.77228998297867535</v>
      </c>
      <c r="AB43" s="3">
        <f>(-INDEX(Overview[b],2)+SQRT(POWER(INDEX(Overview[b],2),2)-(4*INDEX(Overview[a],2)*st_c[[#This Row],[c]])))/(2*INDEX(Overview[a],2))</f>
        <v>0.38614499148933767</v>
      </c>
      <c r="AC43" s="3">
        <f>(-INDEX(Overview[b],3)+SQRT(POWER(INDEX(Overview[b],3),2)-(4*INDEX(Overview[a],3)*st_c[[#This Row],[c]])))/(2*INDEX(Overview[a],3))</f>
        <v>0.25742999432622499</v>
      </c>
      <c r="AD43" s="3">
        <f>(-INDEX(Overview[b],4)+SQRT(POWER(INDEX(Overview[b],4),2)-(4*INDEX(Overview[a],4)*st_c[[#This Row],[c]])))/(2*INDEX(Overview[a],4))</f>
        <v>0.19307249574466884</v>
      </c>
      <c r="AE43" s="3">
        <f>(-INDEX(Overview[b],5)+SQRT(POWER(INDEX(Overview[b],5),2)-(4*INDEX(Overview[a],5)*st_c[[#This Row],[c]])))/(2*INDEX(Overview[a],5))</f>
        <v>0.15445799659573498</v>
      </c>
      <c r="AF43" s="3">
        <f>(-INDEX(Overview[b],6)+SQRT(POWER(INDEX(Overview[b],6),2)-(4*INDEX(Overview[a],6)*st_c[[#This Row],[c]])))/(2*INDEX(Overview[a],6))</f>
        <v>0.12871499716311249</v>
      </c>
      <c r="AG43" s="3">
        <f>(-INDEX(Overview[b],7)+SQRT(POWER(INDEX(Overview[b],7),2)-(4*INDEX(Overview[a],7)*st_c[[#This Row],[c]])))/(2*INDEX(Overview[a],7))</f>
        <v>0.11032714042552509</v>
      </c>
      <c r="AH43" s="3">
        <f>(-INDEX(Overview[b],8)+SQRT(POWER(INDEX(Overview[b],8),2)-(4*INDEX(Overview[a],8)*st_c[[#This Row],[c]])))/(2*INDEX(Overview[a],8))</f>
        <v>9.6536247872334419E-2</v>
      </c>
      <c r="AI43" s="3">
        <f>(-INDEX(Overview[b],9)+SQRT(POWER(INDEX(Overview[b],9),2)-(4*INDEX(Overview[a],9)*st_c[[#This Row],[c]])))/(2*INDEX(Overview[a],9))</f>
        <v>8.5809998108741695E-2</v>
      </c>
      <c r="AJ43" s="19">
        <f>(-INDEX(Overview[b],10)+SQRT(POWER(INDEX(Overview[b],10),2)-(4*INDEX(Overview[a],10)*st_c[[#This Row],[c]])))/(2*INDEX(Overview[a],10))</f>
        <v>7.7228998297867488E-2</v>
      </c>
    </row>
    <row r="44" spans="1:36" x14ac:dyDescent="0.25">
      <c r="A44" s="2">
        <v>4.1000000000000005E-4</v>
      </c>
      <c r="B44" s="3" cm="1">
        <f t="array" ref="B44">SQRT((4*POWER(ttotal1,2)*st_a[[#This Row],[s(ta)]])/(9*s_t))</f>
        <v>0.24645636680909819</v>
      </c>
      <c r="C44" s="3" cm="1">
        <f t="array" ref="C44">SQRT((4*POWER(ttotal2,2)*st_a[[#This Row],[s(ta)]])/(9*s_t))</f>
        <v>0.12322818340454909</v>
      </c>
      <c r="D44" s="3" cm="1">
        <f t="array" ref="D44">SQRT((4*POWER(ttotal3,2)*st_a[[#This Row],[s(ta)]])/(9*s_t))</f>
        <v>8.2152122269699396E-2</v>
      </c>
      <c r="E44" s="3" cm="1">
        <f t="array" ref="E44">SQRT((4*POWER(ttotal4,2)*st_a[[#This Row],[s(ta)]])/(9*s_t))</f>
        <v>6.1614091702274547E-2</v>
      </c>
      <c r="F44" s="3" cm="1">
        <f t="array" ref="F44">SQRT((4*POWER(ttotal5,2)*st_a[[#This Row],[s(ta)]])/(9*s_t))</f>
        <v>4.929127336181964E-2</v>
      </c>
      <c r="G44" s="3" cm="1">
        <f t="array" ref="G44">SQRT((4*POWER(ttotal6,2)*st_a[[#This Row],[s(ta)]])/(9*s_t))</f>
        <v>4.1076061134849698E-2</v>
      </c>
      <c r="H44" s="3" cm="1">
        <f t="array" ref="H44">SQRT((4*POWER(ttotal7,2)*st_a[[#This Row],[s(ta)]])/(9*s_t))</f>
        <v>3.520805240129974E-2</v>
      </c>
      <c r="I44" s="3" cm="1">
        <f t="array" ref="I44">SQRT((4*POWER(ttotal8,2)*st_a[[#This Row],[s(ta)]])/(9*s_t))</f>
        <v>3.0807045851137273E-2</v>
      </c>
      <c r="J44" s="3" cm="1">
        <f t="array" ref="J44">SQRT((4*POWER(ttotal9,2)*st_a[[#This Row],[s(ta)]])/(9*s_t))</f>
        <v>2.7384040756566464E-2</v>
      </c>
      <c r="K44" s="3" cm="1">
        <f t="array" ref="K44">SQRT((4*POWER(ttotal10,2)*st_a[[#This Row],[s(ta)]])/(9*s_t))</f>
        <v>2.464563668090982E-2</v>
      </c>
      <c r="M44" s="8">
        <v>1.16E-3</v>
      </c>
      <c r="N44" s="3" cm="1">
        <f t="array" ref="N44">((2*ttotal1)/(3*s_t))*(st_b[[#This Row],[s(tb)]]+(s_t/4))</f>
        <v>0.4244444444444444</v>
      </c>
      <c r="O44" s="3" cm="1">
        <f t="array" ref="O44">((2*ttotal2)/(3*s_t))*(st_b[[#This Row],[s(tb)]]+(s_t/4))</f>
        <v>0.2122222222222222</v>
      </c>
      <c r="P44" s="3" cm="1">
        <f t="array" ref="P44">((2*ttotal3)/(3*s_t))*(st_b[[#This Row],[s(tb)]]+(s_t/4))</f>
        <v>0.14148148148148146</v>
      </c>
      <c r="Q44" s="3" cm="1">
        <f t="array" ref="Q44">((2*ttotal4)/(3*s_t))*(st_b[[#This Row],[s(tb)]]+(s_t/4))</f>
        <v>0.1061111111111111</v>
      </c>
      <c r="R44" s="3" cm="1">
        <f t="array" ref="R44">((2*ttotal5)/(3*s_t))*(st_b[[#This Row],[s(tb)]]+(s_t/4))</f>
        <v>8.4888888888888889E-2</v>
      </c>
      <c r="S44" s="3" cm="1">
        <f t="array" ref="S44">((2*ttotal6)/(3*s_t))*(st_b[[#This Row],[s(tb)]]+(s_t/4))</f>
        <v>7.0740740740740729E-2</v>
      </c>
      <c r="T44" s="3" cm="1">
        <f t="array" ref="T44">((2*ttotal7)/(3*s_t))*(st_b[[#This Row],[s(tb)]]+(s_t/4))</f>
        <v>6.0634920634920625E-2</v>
      </c>
      <c r="U44" s="3" cm="1">
        <f t="array" ref="U44">((2*ttotal8)/(3*s_t))*(st_b[[#This Row],[s(tb)]]+(s_t/4))</f>
        <v>5.305555555555555E-2</v>
      </c>
      <c r="V44" s="3" cm="1">
        <f t="array" ref="V44">((2*ttotal9)/(3*s_t))*(st_b[[#This Row],[s(tb)]]+(s_t/4))</f>
        <v>4.7160493827160484E-2</v>
      </c>
      <c r="W44" s="3" cm="1">
        <f t="array" ref="W44">((2*ttotal10)/(3*s_t))*(st_b[[#This Row],[s(tb)]]+(s_t/4))</f>
        <v>4.2444444444444444E-2</v>
      </c>
      <c r="Y44" s="8">
        <v>2.66E-3</v>
      </c>
      <c r="Z44" s="3" cm="1">
        <f t="array" ref="Z44">(-5*s_t/4)-Y44</f>
        <v>-6.4099999999999999E-3</v>
      </c>
      <c r="AA44" s="3">
        <f>(-INDEX(Overview[b],1)+SQRT(POWER(INDEX(Overview[b],1),2)-(4*INDEX(Overview[a],1)*st_c[[#This Row],[c]])))/(2*INDEX(Overview[a],1))</f>
        <v>0.77556655692528731</v>
      </c>
      <c r="AB44" s="3">
        <f>(-INDEX(Overview[b],2)+SQRT(POWER(INDEX(Overview[b],2),2)-(4*INDEX(Overview[a],2)*st_c[[#This Row],[c]])))/(2*INDEX(Overview[a],2))</f>
        <v>0.38778327846264365</v>
      </c>
      <c r="AC44" s="3">
        <f>(-INDEX(Overview[b],3)+SQRT(POWER(INDEX(Overview[b],3),2)-(4*INDEX(Overview[a],3)*st_c[[#This Row],[c]])))/(2*INDEX(Overview[a],3))</f>
        <v>0.25852218564176221</v>
      </c>
      <c r="AD44" s="3">
        <f>(-INDEX(Overview[b],4)+SQRT(POWER(INDEX(Overview[b],4),2)-(4*INDEX(Overview[a],4)*st_c[[#This Row],[c]])))/(2*INDEX(Overview[a],4))</f>
        <v>0.19389163923132183</v>
      </c>
      <c r="AE44" s="3">
        <f>(-INDEX(Overview[b],5)+SQRT(POWER(INDEX(Overview[b],5),2)-(4*INDEX(Overview[a],5)*st_c[[#This Row],[c]])))/(2*INDEX(Overview[a],5))</f>
        <v>0.15511331138505735</v>
      </c>
      <c r="AF44" s="3">
        <f>(-INDEX(Overview[b],6)+SQRT(POWER(INDEX(Overview[b],6),2)-(4*INDEX(Overview[a],6)*st_c[[#This Row],[c]])))/(2*INDEX(Overview[a],6))</f>
        <v>0.12926109282088111</v>
      </c>
      <c r="AG44" s="3">
        <f>(-INDEX(Overview[b],7)+SQRT(POWER(INDEX(Overview[b],7),2)-(4*INDEX(Overview[a],7)*st_c[[#This Row],[c]])))/(2*INDEX(Overview[a],7))</f>
        <v>0.11079522241789816</v>
      </c>
      <c r="AH44" s="3">
        <f>(-INDEX(Overview[b],8)+SQRT(POWER(INDEX(Overview[b],8),2)-(4*INDEX(Overview[a],8)*st_c[[#This Row],[c]])))/(2*INDEX(Overview[a],8))</f>
        <v>9.6945819615660914E-2</v>
      </c>
      <c r="AI44" s="3">
        <f>(-INDEX(Overview[b],9)+SQRT(POWER(INDEX(Overview[b],9),2)-(4*INDEX(Overview[a],9)*st_c[[#This Row],[c]])))/(2*INDEX(Overview[a],9))</f>
        <v>8.6174061880587446E-2</v>
      </c>
      <c r="AJ44" s="19">
        <f>(-INDEX(Overview[b],10)+SQRT(POWER(INDEX(Overview[b],10),2)-(4*INDEX(Overview[a],10)*st_c[[#This Row],[c]])))/(2*INDEX(Overview[a],10))</f>
        <v>7.7556655692528675E-2</v>
      </c>
    </row>
    <row r="45" spans="1:36" x14ac:dyDescent="0.25">
      <c r="A45" s="2">
        <v>4.2000000000000002E-4</v>
      </c>
      <c r="B45" s="3" cm="1">
        <f t="array" ref="B45">SQRT((4*POWER(ttotal1,2)*st_a[[#This Row],[s(ta)]])/(9*s_t))</f>
        <v>0.24944382578492943</v>
      </c>
      <c r="C45" s="3" cm="1">
        <f t="array" ref="C45">SQRT((4*POWER(ttotal2,2)*st_a[[#This Row],[s(ta)]])/(9*s_t))</f>
        <v>0.12472191289246472</v>
      </c>
      <c r="D45" s="3" cm="1">
        <f t="array" ref="D45">SQRT((4*POWER(ttotal3,2)*st_a[[#This Row],[s(ta)]])/(9*s_t))</f>
        <v>8.3147941928309807E-2</v>
      </c>
      <c r="E45" s="3" cm="1">
        <f t="array" ref="E45">SQRT((4*POWER(ttotal4,2)*st_a[[#This Row],[s(ta)]])/(9*s_t))</f>
        <v>6.2360956446232359E-2</v>
      </c>
      <c r="F45" s="3" cm="1">
        <f t="array" ref="F45">SQRT((4*POWER(ttotal5,2)*st_a[[#This Row],[s(ta)]])/(9*s_t))</f>
        <v>4.9888765156985898E-2</v>
      </c>
      <c r="G45" s="3" cm="1">
        <f t="array" ref="G45">SQRT((4*POWER(ttotal6,2)*st_a[[#This Row],[s(ta)]])/(9*s_t))</f>
        <v>4.1573970964154904E-2</v>
      </c>
      <c r="H45" s="3" cm="1">
        <f t="array" ref="H45">SQRT((4*POWER(ttotal7,2)*st_a[[#This Row],[s(ta)]])/(9*s_t))</f>
        <v>3.5634832254989916E-2</v>
      </c>
      <c r="I45" s="3" cm="1">
        <f t="array" ref="I45">SQRT((4*POWER(ttotal8,2)*st_a[[#This Row],[s(ta)]])/(9*s_t))</f>
        <v>3.1180478223116179E-2</v>
      </c>
      <c r="J45" s="3" cm="1">
        <f t="array" ref="J45">SQRT((4*POWER(ttotal9,2)*st_a[[#This Row],[s(ta)]])/(9*s_t))</f>
        <v>2.7715980642769936E-2</v>
      </c>
      <c r="K45" s="3" cm="1">
        <f t="array" ref="K45">SQRT((4*POWER(ttotal10,2)*st_a[[#This Row],[s(ta)]])/(9*s_t))</f>
        <v>2.4944382578492949E-2</v>
      </c>
      <c r="M45" s="8">
        <v>1.17E-3</v>
      </c>
      <c r="N45" s="3" cm="1">
        <f t="array" ref="N45">((2*ttotal1)/(3*s_t))*(st_b[[#This Row],[s(tb)]]+(s_t/4))</f>
        <v>0.42666666666666664</v>
      </c>
      <c r="O45" s="3" cm="1">
        <f t="array" ref="O45">((2*ttotal2)/(3*s_t))*(st_b[[#This Row],[s(tb)]]+(s_t/4))</f>
        <v>0.21333333333333332</v>
      </c>
      <c r="P45" s="3" cm="1">
        <f t="array" ref="P45">((2*ttotal3)/(3*s_t))*(st_b[[#This Row],[s(tb)]]+(s_t/4))</f>
        <v>0.14222222222222219</v>
      </c>
      <c r="Q45" s="3" cm="1">
        <f t="array" ref="Q45">((2*ttotal4)/(3*s_t))*(st_b[[#This Row],[s(tb)]]+(s_t/4))</f>
        <v>0.10666666666666666</v>
      </c>
      <c r="R45" s="3" cm="1">
        <f t="array" ref="R45">((2*ttotal5)/(3*s_t))*(st_b[[#This Row],[s(tb)]]+(s_t/4))</f>
        <v>8.533333333333333E-2</v>
      </c>
      <c r="S45" s="3" cm="1">
        <f t="array" ref="S45">((2*ttotal6)/(3*s_t))*(st_b[[#This Row],[s(tb)]]+(s_t/4))</f>
        <v>7.1111111111111097E-2</v>
      </c>
      <c r="T45" s="3" cm="1">
        <f t="array" ref="T45">((2*ttotal7)/(3*s_t))*(st_b[[#This Row],[s(tb)]]+(s_t/4))</f>
        <v>6.0952380952380945E-2</v>
      </c>
      <c r="U45" s="3" cm="1">
        <f t="array" ref="U45">((2*ttotal8)/(3*s_t))*(st_b[[#This Row],[s(tb)]]+(s_t/4))</f>
        <v>5.333333333333333E-2</v>
      </c>
      <c r="V45" s="3" cm="1">
        <f t="array" ref="V45">((2*ttotal9)/(3*s_t))*(st_b[[#This Row],[s(tb)]]+(s_t/4))</f>
        <v>4.7407407407407398E-2</v>
      </c>
      <c r="W45" s="3" cm="1">
        <f t="array" ref="W45">((2*ttotal10)/(3*s_t))*(st_b[[#This Row],[s(tb)]]+(s_t/4))</f>
        <v>4.2666666666666665E-2</v>
      </c>
      <c r="Y45" s="8">
        <v>2.6700000000000001E-3</v>
      </c>
      <c r="Z45" s="3" cm="1">
        <f t="array" ref="Z45">(-5*s_t/4)-Y45</f>
        <v>-6.4200000000000004E-3</v>
      </c>
      <c r="AA45" s="3">
        <f>(-INDEX(Overview[b],1)+SQRT(POWER(INDEX(Overview[b],1),2)-(4*INDEX(Overview[a],1)*st_c[[#This Row],[c]])))/(2*INDEX(Overview[a],1))</f>
        <v>0.77889168064297376</v>
      </c>
      <c r="AB45" s="3">
        <f>(-INDEX(Overview[b],2)+SQRT(POWER(INDEX(Overview[b],2),2)-(4*INDEX(Overview[a],2)*st_c[[#This Row],[c]])))/(2*INDEX(Overview[a],2))</f>
        <v>0.38944584032148688</v>
      </c>
      <c r="AC45" s="3">
        <f>(-INDEX(Overview[b],3)+SQRT(POWER(INDEX(Overview[b],3),2)-(4*INDEX(Overview[a],3)*st_c[[#This Row],[c]])))/(2*INDEX(Overview[a],3))</f>
        <v>0.25963056021432435</v>
      </c>
      <c r="AD45" s="3">
        <f>(-INDEX(Overview[b],4)+SQRT(POWER(INDEX(Overview[b],4),2)-(4*INDEX(Overview[a],4)*st_c[[#This Row],[c]])))/(2*INDEX(Overview[a],4))</f>
        <v>0.19472292016074344</v>
      </c>
      <c r="AE45" s="3">
        <f>(-INDEX(Overview[b],5)+SQRT(POWER(INDEX(Overview[b],5),2)-(4*INDEX(Overview[a],5)*st_c[[#This Row],[c]])))/(2*INDEX(Overview[a],5))</f>
        <v>0.15577833612859457</v>
      </c>
      <c r="AF45" s="3">
        <f>(-INDEX(Overview[b],6)+SQRT(POWER(INDEX(Overview[b],6),2)-(4*INDEX(Overview[a],6)*st_c[[#This Row],[c]])))/(2*INDEX(Overview[a],6))</f>
        <v>0.12981528010716217</v>
      </c>
      <c r="AG45" s="3">
        <f>(-INDEX(Overview[b],7)+SQRT(POWER(INDEX(Overview[b],7),2)-(4*INDEX(Overview[a],7)*st_c[[#This Row],[c]])))/(2*INDEX(Overview[a],7))</f>
        <v>0.11127024009185335</v>
      </c>
      <c r="AH45" s="3">
        <f>(-INDEX(Overview[b],8)+SQRT(POWER(INDEX(Overview[b],8),2)-(4*INDEX(Overview[a],8)*st_c[[#This Row],[c]])))/(2*INDEX(Overview[a],8))</f>
        <v>9.736146008037172E-2</v>
      </c>
      <c r="AI45" s="3">
        <f>(-INDEX(Overview[b],9)+SQRT(POWER(INDEX(Overview[b],9),2)-(4*INDEX(Overview[a],9)*st_c[[#This Row],[c]])))/(2*INDEX(Overview[a],9))</f>
        <v>8.6543520071441477E-2</v>
      </c>
      <c r="AJ45" s="19">
        <f>(-INDEX(Overview[b],10)+SQRT(POWER(INDEX(Overview[b],10),2)-(4*INDEX(Overview[a],10)*st_c[[#This Row],[c]])))/(2*INDEX(Overview[a],10))</f>
        <v>7.7889168064297284E-2</v>
      </c>
    </row>
    <row r="46" spans="1:36" x14ac:dyDescent="0.25">
      <c r="A46" s="2">
        <v>4.3000000000000004E-4</v>
      </c>
      <c r="B46" s="3" cm="1">
        <f t="array" ref="B46">SQRT((4*POWER(ttotal1,2)*st_a[[#This Row],[s(ta)]])/(9*s_t))</f>
        <v>0.25239592648001219</v>
      </c>
      <c r="C46" s="3" cm="1">
        <f t="array" ref="C46">SQRT((4*POWER(ttotal2,2)*st_a[[#This Row],[s(ta)]])/(9*s_t))</f>
        <v>0.12619796324000609</v>
      </c>
      <c r="D46" s="3" cm="1">
        <f t="array" ref="D46">SQRT((4*POWER(ttotal3,2)*st_a[[#This Row],[s(ta)]])/(9*s_t))</f>
        <v>8.4131975493337383E-2</v>
      </c>
      <c r="E46" s="3" cm="1">
        <f t="array" ref="E46">SQRT((4*POWER(ttotal4,2)*st_a[[#This Row],[s(ta)]])/(9*s_t))</f>
        <v>6.3098981620003047E-2</v>
      </c>
      <c r="F46" s="3" cm="1">
        <f t="array" ref="F46">SQRT((4*POWER(ttotal5,2)*st_a[[#This Row],[s(ta)]])/(9*s_t))</f>
        <v>5.0479185296002441E-2</v>
      </c>
      <c r="G46" s="3" cm="1">
        <f t="array" ref="G46">SQRT((4*POWER(ttotal6,2)*st_a[[#This Row],[s(ta)]])/(9*s_t))</f>
        <v>4.2065987746668691E-2</v>
      </c>
      <c r="H46" s="3" cm="1">
        <f t="array" ref="H46">SQRT((4*POWER(ttotal7,2)*st_a[[#This Row],[s(ta)]])/(9*s_t))</f>
        <v>3.6056560925716026E-2</v>
      </c>
      <c r="I46" s="3" cm="1">
        <f t="array" ref="I46">SQRT((4*POWER(ttotal8,2)*st_a[[#This Row],[s(ta)]])/(9*s_t))</f>
        <v>3.1549490810001524E-2</v>
      </c>
      <c r="J46" s="3" cm="1">
        <f t="array" ref="J46">SQRT((4*POWER(ttotal9,2)*st_a[[#This Row],[s(ta)]])/(9*s_t))</f>
        <v>2.8043991831112464E-2</v>
      </c>
      <c r="K46" s="3" cm="1">
        <f t="array" ref="K46">SQRT((4*POWER(ttotal10,2)*st_a[[#This Row],[s(ta)]])/(9*s_t))</f>
        <v>2.523959264800122E-2</v>
      </c>
      <c r="M46" s="8">
        <v>1.1800000000000001E-3</v>
      </c>
      <c r="N46" s="3" cm="1">
        <f t="array" ref="N46">((2*ttotal1)/(3*s_t))*(st_b[[#This Row],[s(tb)]]+(s_t/4))</f>
        <v>0.42888888888888888</v>
      </c>
      <c r="O46" s="3" cm="1">
        <f t="array" ref="O46">((2*ttotal2)/(3*s_t))*(st_b[[#This Row],[s(tb)]]+(s_t/4))</f>
        <v>0.21444444444444444</v>
      </c>
      <c r="P46" s="3" cm="1">
        <f t="array" ref="P46">((2*ttotal3)/(3*s_t))*(st_b[[#This Row],[s(tb)]]+(s_t/4))</f>
        <v>0.14296296296296296</v>
      </c>
      <c r="Q46" s="3" cm="1">
        <f t="array" ref="Q46">((2*ttotal4)/(3*s_t))*(st_b[[#This Row],[s(tb)]]+(s_t/4))</f>
        <v>0.10722222222222222</v>
      </c>
      <c r="R46" s="3" cm="1">
        <f t="array" ref="R46">((2*ttotal5)/(3*s_t))*(st_b[[#This Row],[s(tb)]]+(s_t/4))</f>
        <v>8.5777777777777772E-2</v>
      </c>
      <c r="S46" s="3" cm="1">
        <f t="array" ref="S46">((2*ttotal6)/(3*s_t))*(st_b[[#This Row],[s(tb)]]+(s_t/4))</f>
        <v>7.1481481481481479E-2</v>
      </c>
      <c r="T46" s="3" cm="1">
        <f t="array" ref="T46">((2*ttotal7)/(3*s_t))*(st_b[[#This Row],[s(tb)]]+(s_t/4))</f>
        <v>6.1269841269841259E-2</v>
      </c>
      <c r="U46" s="3" cm="1">
        <f t="array" ref="U46">((2*ttotal8)/(3*s_t))*(st_b[[#This Row],[s(tb)]]+(s_t/4))</f>
        <v>5.3611111111111109E-2</v>
      </c>
      <c r="V46" s="3" cm="1">
        <f t="array" ref="V46">((2*ttotal9)/(3*s_t))*(st_b[[#This Row],[s(tb)]]+(s_t/4))</f>
        <v>4.7654320987654313E-2</v>
      </c>
      <c r="W46" s="3" cm="1">
        <f t="array" ref="W46">((2*ttotal10)/(3*s_t))*(st_b[[#This Row],[s(tb)]]+(s_t/4))</f>
        <v>4.2888888888888886E-2</v>
      </c>
      <c r="Y46" s="8">
        <v>2.6800000000000001E-3</v>
      </c>
      <c r="Z46" s="3" cm="1">
        <f t="array" ref="Z46">(-5*s_t/4)-Y46</f>
        <v>-6.43E-3</v>
      </c>
      <c r="AA46" s="3">
        <f>(-INDEX(Overview[b],1)+SQRT(POWER(INDEX(Overview[b],1),2)-(4*INDEX(Overview[a],1)*st_c[[#This Row],[c]])))/(2*INDEX(Overview[a],1))</f>
        <v>0.78226757841927308</v>
      </c>
      <c r="AB46" s="3">
        <f>(-INDEX(Overview[b],2)+SQRT(POWER(INDEX(Overview[b],2),2)-(4*INDEX(Overview[a],2)*st_c[[#This Row],[c]])))/(2*INDEX(Overview[a],2))</f>
        <v>0.39113378920963654</v>
      </c>
      <c r="AC46" s="3">
        <f>(-INDEX(Overview[b],3)+SQRT(POWER(INDEX(Overview[b],3),2)-(4*INDEX(Overview[a],3)*st_c[[#This Row],[c]])))/(2*INDEX(Overview[a],3))</f>
        <v>0.26075585947309082</v>
      </c>
      <c r="AD46" s="3">
        <f>(-INDEX(Overview[b],4)+SQRT(POWER(INDEX(Overview[b],4),2)-(4*INDEX(Overview[a],4)*st_c[[#This Row],[c]])))/(2*INDEX(Overview[a],4))</f>
        <v>0.19556689460481827</v>
      </c>
      <c r="AE46" s="3">
        <f>(-INDEX(Overview[b],5)+SQRT(POWER(INDEX(Overview[b],5),2)-(4*INDEX(Overview[a],5)*st_c[[#This Row],[c]])))/(2*INDEX(Overview[a],5))</f>
        <v>0.15645351568385449</v>
      </c>
      <c r="AF46" s="3">
        <f>(-INDEX(Overview[b],6)+SQRT(POWER(INDEX(Overview[b],6),2)-(4*INDEX(Overview[a],6)*st_c[[#This Row],[c]])))/(2*INDEX(Overview[a],6))</f>
        <v>0.13037792973654541</v>
      </c>
      <c r="AG46" s="3">
        <f>(-INDEX(Overview[b],7)+SQRT(POWER(INDEX(Overview[b],7),2)-(4*INDEX(Overview[a],7)*st_c[[#This Row],[c]])))/(2*INDEX(Overview[a],7))</f>
        <v>0.11175251120275331</v>
      </c>
      <c r="AH46" s="3">
        <f>(-INDEX(Overview[b],8)+SQRT(POWER(INDEX(Overview[b],8),2)-(4*INDEX(Overview[a],8)*st_c[[#This Row],[c]])))/(2*INDEX(Overview[a],8))</f>
        <v>9.7783447302409135E-2</v>
      </c>
      <c r="AI46" s="3">
        <f>(-INDEX(Overview[b],9)+SQRT(POWER(INDEX(Overview[b],9),2)-(4*INDEX(Overview[a],9)*st_c[[#This Row],[c]])))/(2*INDEX(Overview[a],9))</f>
        <v>8.6918619824363649E-2</v>
      </c>
      <c r="AJ46" s="19">
        <f>(-INDEX(Overview[b],10)+SQRT(POWER(INDEX(Overview[b],10),2)-(4*INDEX(Overview[a],10)*st_c[[#This Row],[c]])))/(2*INDEX(Overview[a],10))</f>
        <v>7.8226757841927244E-2</v>
      </c>
    </row>
    <row r="47" spans="1:36" x14ac:dyDescent="0.25">
      <c r="A47" s="2">
        <v>4.4000000000000002E-4</v>
      </c>
      <c r="B47" s="3" cm="1">
        <f t="array" ref="B47">SQRT((4*POWER(ttotal1,2)*st_a[[#This Row],[s(ta)]])/(9*s_t))</f>
        <v>0.25531389540169019</v>
      </c>
      <c r="C47" s="3" cm="1">
        <f t="array" ref="C47">SQRT((4*POWER(ttotal2,2)*st_a[[#This Row],[s(ta)]])/(9*s_t))</f>
        <v>0.1276569477008451</v>
      </c>
      <c r="D47" s="3" cm="1">
        <f t="array" ref="D47">SQRT((4*POWER(ttotal3,2)*st_a[[#This Row],[s(ta)]])/(9*s_t))</f>
        <v>8.5104631800563393E-2</v>
      </c>
      <c r="E47" s="3" cm="1">
        <f t="array" ref="E47">SQRT((4*POWER(ttotal4,2)*st_a[[#This Row],[s(ta)]])/(9*s_t))</f>
        <v>6.3828473850422549E-2</v>
      </c>
      <c r="F47" s="3" cm="1">
        <f t="array" ref="F47">SQRT((4*POWER(ttotal5,2)*st_a[[#This Row],[s(ta)]])/(9*s_t))</f>
        <v>5.1062779080338037E-2</v>
      </c>
      <c r="G47" s="3" cm="1">
        <f t="array" ref="G47">SQRT((4*POWER(ttotal6,2)*st_a[[#This Row],[s(ta)]])/(9*s_t))</f>
        <v>4.2552315900281697E-2</v>
      </c>
      <c r="H47" s="3" cm="1">
        <f t="array" ref="H47">SQRT((4*POWER(ttotal7,2)*st_a[[#This Row],[s(ta)]])/(9*s_t))</f>
        <v>3.647341362881288E-2</v>
      </c>
      <c r="I47" s="3" cm="1">
        <f t="array" ref="I47">SQRT((4*POWER(ttotal8,2)*st_a[[#This Row],[s(ta)]])/(9*s_t))</f>
        <v>3.1914236925211274E-2</v>
      </c>
      <c r="J47" s="3" cm="1">
        <f t="array" ref="J47">SQRT((4*POWER(ttotal9,2)*st_a[[#This Row],[s(ta)]])/(9*s_t))</f>
        <v>2.8368210600187793E-2</v>
      </c>
      <c r="K47" s="3" cm="1">
        <f t="array" ref="K47">SQRT((4*POWER(ttotal10,2)*st_a[[#This Row],[s(ta)]])/(9*s_t))</f>
        <v>2.5531389540169019E-2</v>
      </c>
      <c r="M47" s="8">
        <v>1.1900000000000001E-3</v>
      </c>
      <c r="N47" s="3" cm="1">
        <f t="array" ref="N47">((2*ttotal1)/(3*s_t))*(st_b[[#This Row],[s(tb)]]+(s_t/4))</f>
        <v>0.43111111111111111</v>
      </c>
      <c r="O47" s="3" cm="1">
        <f t="array" ref="O47">((2*ttotal2)/(3*s_t))*(st_b[[#This Row],[s(tb)]]+(s_t/4))</f>
        <v>0.21555555555555556</v>
      </c>
      <c r="P47" s="3" cm="1">
        <f t="array" ref="P47">((2*ttotal3)/(3*s_t))*(st_b[[#This Row],[s(tb)]]+(s_t/4))</f>
        <v>0.14370370370370369</v>
      </c>
      <c r="Q47" s="3" cm="1">
        <f t="array" ref="Q47">((2*ttotal4)/(3*s_t))*(st_b[[#This Row],[s(tb)]]+(s_t/4))</f>
        <v>0.10777777777777778</v>
      </c>
      <c r="R47" s="3" cm="1">
        <f t="array" ref="R47">((2*ttotal5)/(3*s_t))*(st_b[[#This Row],[s(tb)]]+(s_t/4))</f>
        <v>8.6222222222222228E-2</v>
      </c>
      <c r="S47" s="3" cm="1">
        <f t="array" ref="S47">((2*ttotal6)/(3*s_t))*(st_b[[#This Row],[s(tb)]]+(s_t/4))</f>
        <v>7.1851851851851847E-2</v>
      </c>
      <c r="T47" s="3" cm="1">
        <f t="array" ref="T47">((2*ttotal7)/(3*s_t))*(st_b[[#This Row],[s(tb)]]+(s_t/4))</f>
        <v>6.1587301587301579E-2</v>
      </c>
      <c r="U47" s="3" cm="1">
        <f t="array" ref="U47">((2*ttotal8)/(3*s_t))*(st_b[[#This Row],[s(tb)]]+(s_t/4))</f>
        <v>5.3888888888888889E-2</v>
      </c>
      <c r="V47" s="3" cm="1">
        <f t="array" ref="V47">((2*ttotal9)/(3*s_t))*(st_b[[#This Row],[s(tb)]]+(s_t/4))</f>
        <v>4.7901234567901227E-2</v>
      </c>
      <c r="W47" s="3" cm="1">
        <f t="array" ref="W47">((2*ttotal10)/(3*s_t))*(st_b[[#This Row],[s(tb)]]+(s_t/4))</f>
        <v>4.3111111111111114E-2</v>
      </c>
      <c r="Y47" s="8">
        <v>2.6900000000000001E-3</v>
      </c>
      <c r="Z47" s="3" cm="1">
        <f t="array" ref="Z47">(-5*s_t/4)-Y47</f>
        <v>-6.4399999999999995E-3</v>
      </c>
      <c r="AA47" s="3">
        <f>(-INDEX(Overview[b],1)+SQRT(POWER(INDEX(Overview[b],1),2)-(4*INDEX(Overview[a],1)*st_c[[#This Row],[c]])))/(2*INDEX(Overview[a],1))</f>
        <v>0.78569664975571207</v>
      </c>
      <c r="AB47" s="3">
        <f>(-INDEX(Overview[b],2)+SQRT(POWER(INDEX(Overview[b],2),2)-(4*INDEX(Overview[a],2)*st_c[[#This Row],[c]])))/(2*INDEX(Overview[a],2))</f>
        <v>0.39284832487785604</v>
      </c>
      <c r="AC47" s="3">
        <f>(-INDEX(Overview[b],3)+SQRT(POWER(INDEX(Overview[b],3),2)-(4*INDEX(Overview[a],3)*st_c[[#This Row],[c]])))/(2*INDEX(Overview[a],3))</f>
        <v>0.2618988832519038</v>
      </c>
      <c r="AD47" s="3">
        <f>(-INDEX(Overview[b],4)+SQRT(POWER(INDEX(Overview[b],4),2)-(4*INDEX(Overview[a],4)*st_c[[#This Row],[c]])))/(2*INDEX(Overview[a],4))</f>
        <v>0.19642416243892802</v>
      </c>
      <c r="AE47" s="3">
        <f>(-INDEX(Overview[b],5)+SQRT(POWER(INDEX(Overview[b],5),2)-(4*INDEX(Overview[a],5)*st_c[[#This Row],[c]])))/(2*INDEX(Overview[a],5))</f>
        <v>0.15713932995114227</v>
      </c>
      <c r="AF47" s="3">
        <f>(-INDEX(Overview[b],6)+SQRT(POWER(INDEX(Overview[b],6),2)-(4*INDEX(Overview[a],6)*st_c[[#This Row],[c]])))/(2*INDEX(Overview[a],6))</f>
        <v>0.1309494416259519</v>
      </c>
      <c r="AG47" s="3">
        <f>(-INDEX(Overview[b],7)+SQRT(POWER(INDEX(Overview[b],7),2)-(4*INDEX(Overview[a],7)*st_c[[#This Row],[c]])))/(2*INDEX(Overview[a],7))</f>
        <v>0.11224237853653031</v>
      </c>
      <c r="AH47" s="3">
        <f>(-INDEX(Overview[b],8)+SQRT(POWER(INDEX(Overview[b],8),2)-(4*INDEX(Overview[a],8)*st_c[[#This Row],[c]])))/(2*INDEX(Overview[a],8))</f>
        <v>9.8212081219464009E-2</v>
      </c>
      <c r="AI47" s="3">
        <f>(-INDEX(Overview[b],9)+SQRT(POWER(INDEX(Overview[b],9),2)-(4*INDEX(Overview[a],9)*st_c[[#This Row],[c]])))/(2*INDEX(Overview[a],9))</f>
        <v>8.7299627750634656E-2</v>
      </c>
      <c r="AJ47" s="19">
        <f>(-INDEX(Overview[b],10)+SQRT(POWER(INDEX(Overview[b],10),2)-(4*INDEX(Overview[a],10)*st_c[[#This Row],[c]])))/(2*INDEX(Overview[a],10))</f>
        <v>7.8569664975571135E-2</v>
      </c>
    </row>
    <row r="48" spans="1:36" x14ac:dyDescent="0.25">
      <c r="A48" s="2">
        <v>4.5000000000000004E-4</v>
      </c>
      <c r="B48" s="3" cm="1">
        <f t="array" ref="B48">SQRT((4*POWER(ttotal1,2)*st_a[[#This Row],[s(ta)]])/(9*s_t))</f>
        <v>0.25819888974716115</v>
      </c>
      <c r="C48" s="3" cm="1">
        <f t="array" ref="C48">SQRT((4*POWER(ttotal2,2)*st_a[[#This Row],[s(ta)]])/(9*s_t))</f>
        <v>0.12909944487358058</v>
      </c>
      <c r="D48" s="3" cm="1">
        <f t="array" ref="D48">SQRT((4*POWER(ttotal3,2)*st_a[[#This Row],[s(ta)]])/(9*s_t))</f>
        <v>8.6066296582387042E-2</v>
      </c>
      <c r="E48" s="3" cm="1">
        <f t="array" ref="E48">SQRT((4*POWER(ttotal4,2)*st_a[[#This Row],[s(ta)]])/(9*s_t))</f>
        <v>6.4549722436790288E-2</v>
      </c>
      <c r="F48" s="3" cm="1">
        <f t="array" ref="F48">SQRT((4*POWER(ttotal5,2)*st_a[[#This Row],[s(ta)]])/(9*s_t))</f>
        <v>5.1639777949432232E-2</v>
      </c>
      <c r="G48" s="3" cm="1">
        <f t="array" ref="G48">SQRT((4*POWER(ttotal6,2)*st_a[[#This Row],[s(ta)]])/(9*s_t))</f>
        <v>4.3033148291193521E-2</v>
      </c>
      <c r="H48" s="3" cm="1">
        <f t="array" ref="H48">SQRT((4*POWER(ttotal7,2)*st_a[[#This Row],[s(ta)]])/(9*s_t))</f>
        <v>3.6885555678165878E-2</v>
      </c>
      <c r="I48" s="3" cm="1">
        <f t="array" ref="I48">SQRT((4*POWER(ttotal8,2)*st_a[[#This Row],[s(ta)]])/(9*s_t))</f>
        <v>3.2274861218395144E-2</v>
      </c>
      <c r="J48" s="3" cm="1">
        <f t="array" ref="J48">SQRT((4*POWER(ttotal9,2)*st_a[[#This Row],[s(ta)]])/(9*s_t))</f>
        <v>2.868876552746235E-2</v>
      </c>
      <c r="K48" s="3" cm="1">
        <f t="array" ref="K48">SQRT((4*POWER(ttotal10,2)*st_a[[#This Row],[s(ta)]])/(9*s_t))</f>
        <v>2.5819888974716116E-2</v>
      </c>
      <c r="M48" s="8">
        <v>1.2000000000000001E-3</v>
      </c>
      <c r="N48" s="3" cm="1">
        <f t="array" ref="N48">((2*ttotal1)/(3*s_t))*(st_b[[#This Row],[s(tb)]]+(s_t/4))</f>
        <v>0.43333333333333329</v>
      </c>
      <c r="O48" s="3" cm="1">
        <f t="array" ref="O48">((2*ttotal2)/(3*s_t))*(st_b[[#This Row],[s(tb)]]+(s_t/4))</f>
        <v>0.21666666666666665</v>
      </c>
      <c r="P48" s="3" cm="1">
        <f t="array" ref="P48">((2*ttotal3)/(3*s_t))*(st_b[[#This Row],[s(tb)]]+(s_t/4))</f>
        <v>0.14444444444444443</v>
      </c>
      <c r="Q48" s="3" cm="1">
        <f t="array" ref="Q48">((2*ttotal4)/(3*s_t))*(st_b[[#This Row],[s(tb)]]+(s_t/4))</f>
        <v>0.10833333333333332</v>
      </c>
      <c r="R48" s="3" cm="1">
        <f t="array" ref="R48">((2*ttotal5)/(3*s_t))*(st_b[[#This Row],[s(tb)]]+(s_t/4))</f>
        <v>8.666666666666667E-2</v>
      </c>
      <c r="S48" s="3" cm="1">
        <f t="array" ref="S48">((2*ttotal6)/(3*s_t))*(st_b[[#This Row],[s(tb)]]+(s_t/4))</f>
        <v>7.2222222222222215E-2</v>
      </c>
      <c r="T48" s="3" cm="1">
        <f t="array" ref="T48">((2*ttotal7)/(3*s_t))*(st_b[[#This Row],[s(tb)]]+(s_t/4))</f>
        <v>6.19047619047619E-2</v>
      </c>
      <c r="U48" s="3" cm="1">
        <f t="array" ref="U48">((2*ttotal8)/(3*s_t))*(st_b[[#This Row],[s(tb)]]+(s_t/4))</f>
        <v>5.4166666666666662E-2</v>
      </c>
      <c r="V48" s="3" cm="1">
        <f t="array" ref="V48">((2*ttotal9)/(3*s_t))*(st_b[[#This Row],[s(tb)]]+(s_t/4))</f>
        <v>4.8148148148148141E-2</v>
      </c>
      <c r="W48" s="3" cm="1">
        <f t="array" ref="W48">((2*ttotal10)/(3*s_t))*(st_b[[#This Row],[s(tb)]]+(s_t/4))</f>
        <v>4.3333333333333335E-2</v>
      </c>
      <c r="Y48" s="8">
        <v>2.7000000000000001E-3</v>
      </c>
      <c r="Z48" s="3" cm="1">
        <f t="array" ref="Z48">(-5*s_t/4)-Y48</f>
        <v>-6.45E-3</v>
      </c>
      <c r="AA48" s="3">
        <f>(-INDEX(Overview[b],1)+SQRT(POWER(INDEX(Overview[b],1),2)-(4*INDEX(Overview[a],1)*st_c[[#This Row],[c]])))/(2*INDEX(Overview[a],1))</f>
        <v>0.7891814893221083</v>
      </c>
      <c r="AB48" s="3">
        <f>(-INDEX(Overview[b],2)+SQRT(POWER(INDEX(Overview[b],2),2)-(4*INDEX(Overview[a],2)*st_c[[#This Row],[c]])))/(2*INDEX(Overview[a],2))</f>
        <v>0.39459074466105415</v>
      </c>
      <c r="AC48" s="3">
        <f>(-INDEX(Overview[b],3)+SQRT(POWER(INDEX(Overview[b],3),2)-(4*INDEX(Overview[a],3)*st_c[[#This Row],[c]])))/(2*INDEX(Overview[a],3))</f>
        <v>0.26306049644070245</v>
      </c>
      <c r="AD48" s="3">
        <f>(-INDEX(Overview[b],4)+SQRT(POWER(INDEX(Overview[b],4),2)-(4*INDEX(Overview[a],4)*st_c[[#This Row],[c]])))/(2*INDEX(Overview[a],4))</f>
        <v>0.19729537233052707</v>
      </c>
      <c r="AE48" s="3">
        <f>(-INDEX(Overview[b],5)+SQRT(POWER(INDEX(Overview[b],5),2)-(4*INDEX(Overview[a],5)*st_c[[#This Row],[c]])))/(2*INDEX(Overview[a],5))</f>
        <v>0.15783629786442152</v>
      </c>
      <c r="AF48" s="3">
        <f>(-INDEX(Overview[b],6)+SQRT(POWER(INDEX(Overview[b],6),2)-(4*INDEX(Overview[a],6)*st_c[[#This Row],[c]])))/(2*INDEX(Overview[a],6))</f>
        <v>0.13153024822035123</v>
      </c>
      <c r="AG48" s="3">
        <f>(-INDEX(Overview[b],7)+SQRT(POWER(INDEX(Overview[b],7),2)-(4*INDEX(Overview[a],7)*st_c[[#This Row],[c]])))/(2*INDEX(Overview[a],7))</f>
        <v>0.11274021276030111</v>
      </c>
      <c r="AH48" s="3">
        <f>(-INDEX(Overview[b],8)+SQRT(POWER(INDEX(Overview[b],8),2)-(4*INDEX(Overview[a],8)*st_c[[#This Row],[c]])))/(2*INDEX(Overview[a],8))</f>
        <v>9.8647686165263537E-2</v>
      </c>
      <c r="AI48" s="3">
        <f>(-INDEX(Overview[b],9)+SQRT(POWER(INDEX(Overview[b],9),2)-(4*INDEX(Overview[a],9)*st_c[[#This Row],[c]])))/(2*INDEX(Overview[a],9))</f>
        <v>8.7686832146900859E-2</v>
      </c>
      <c r="AJ48" s="19">
        <f>(-INDEX(Overview[b],10)+SQRT(POWER(INDEX(Overview[b],10),2)-(4*INDEX(Overview[a],10)*st_c[[#This Row],[c]])))/(2*INDEX(Overview[a],10))</f>
        <v>7.891814893221076E-2</v>
      </c>
    </row>
    <row r="49" spans="1:36" x14ac:dyDescent="0.25">
      <c r="A49" s="2">
        <v>4.6000000000000001E-4</v>
      </c>
      <c r="B49" s="3" cm="1">
        <f t="array" ref="B49">SQRT((4*POWER(ttotal1,2)*st_a[[#This Row],[s(ta)]])/(9*s_t))</f>
        <v>0.26105200276601626</v>
      </c>
      <c r="C49" s="3" cm="1">
        <f t="array" ref="C49">SQRT((4*POWER(ttotal2,2)*st_a[[#This Row],[s(ta)]])/(9*s_t))</f>
        <v>0.13052600138300813</v>
      </c>
      <c r="D49" s="3" cm="1">
        <f t="array" ref="D49">SQRT((4*POWER(ttotal3,2)*st_a[[#This Row],[s(ta)]])/(9*s_t))</f>
        <v>8.7017334255338738E-2</v>
      </c>
      <c r="E49" s="3" cm="1">
        <f t="array" ref="E49">SQRT((4*POWER(ttotal4,2)*st_a[[#This Row],[s(ta)]])/(9*s_t))</f>
        <v>6.5263000691504064E-2</v>
      </c>
      <c r="F49" s="3" cm="1">
        <f t="array" ref="F49">SQRT((4*POWER(ttotal5,2)*st_a[[#This Row],[s(ta)]])/(9*s_t))</f>
        <v>5.2210400553203251E-2</v>
      </c>
      <c r="G49" s="3" cm="1">
        <f t="array" ref="G49">SQRT((4*POWER(ttotal6,2)*st_a[[#This Row],[s(ta)]])/(9*s_t))</f>
        <v>4.3508667127669369E-2</v>
      </c>
      <c r="H49" s="3" cm="1">
        <f t="array" ref="H49">SQRT((4*POWER(ttotal7,2)*st_a[[#This Row],[s(ta)]])/(9*s_t))</f>
        <v>3.7293143252288032E-2</v>
      </c>
      <c r="I49" s="3" cm="1">
        <f t="array" ref="I49">SQRT((4*POWER(ttotal8,2)*st_a[[#This Row],[s(ta)]])/(9*s_t))</f>
        <v>3.2631500345752032E-2</v>
      </c>
      <c r="J49" s="3" cm="1">
        <f t="array" ref="J49">SQRT((4*POWER(ttotal9,2)*st_a[[#This Row],[s(ta)]])/(9*s_t))</f>
        <v>2.9005778085112916E-2</v>
      </c>
      <c r="K49" s="3" cm="1">
        <f t="array" ref="K49">SQRT((4*POWER(ttotal10,2)*st_a[[#This Row],[s(ta)]])/(9*s_t))</f>
        <v>2.6105200276601626E-2</v>
      </c>
      <c r="M49" s="8">
        <v>1.2100000000000001E-3</v>
      </c>
      <c r="N49" s="3" cm="1">
        <f t="array" ref="N49">((2*ttotal1)/(3*s_t))*(st_b[[#This Row],[s(tb)]]+(s_t/4))</f>
        <v>0.43555555555555547</v>
      </c>
      <c r="O49" s="3" cm="1">
        <f t="array" ref="O49">((2*ttotal2)/(3*s_t))*(st_b[[#This Row],[s(tb)]]+(s_t/4))</f>
        <v>0.21777777777777774</v>
      </c>
      <c r="P49" s="3" cm="1">
        <f t="array" ref="P49">((2*ttotal3)/(3*s_t))*(st_b[[#This Row],[s(tb)]]+(s_t/4))</f>
        <v>0.14518518518518517</v>
      </c>
      <c r="Q49" s="3" cm="1">
        <f t="array" ref="Q49">((2*ttotal4)/(3*s_t))*(st_b[[#This Row],[s(tb)]]+(s_t/4))</f>
        <v>0.10888888888888887</v>
      </c>
      <c r="R49" s="3" cm="1">
        <f t="array" ref="R49">((2*ttotal5)/(3*s_t))*(st_b[[#This Row],[s(tb)]]+(s_t/4))</f>
        <v>8.7111111111111111E-2</v>
      </c>
      <c r="S49" s="3" cm="1">
        <f t="array" ref="S49">((2*ttotal6)/(3*s_t))*(st_b[[#This Row],[s(tb)]]+(s_t/4))</f>
        <v>7.2592592592592584E-2</v>
      </c>
      <c r="T49" s="3" cm="1">
        <f t="array" ref="T49">((2*ttotal7)/(3*s_t))*(st_b[[#This Row],[s(tb)]]+(s_t/4))</f>
        <v>6.2222222222222207E-2</v>
      </c>
      <c r="U49" s="3" cm="1">
        <f t="array" ref="U49">((2*ttotal8)/(3*s_t))*(st_b[[#This Row],[s(tb)]]+(s_t/4))</f>
        <v>5.4444444444444434E-2</v>
      </c>
      <c r="V49" s="3" cm="1">
        <f t="array" ref="V49">((2*ttotal9)/(3*s_t))*(st_b[[#This Row],[s(tb)]]+(s_t/4))</f>
        <v>4.8395061728395056E-2</v>
      </c>
      <c r="W49" s="3" cm="1">
        <f t="array" ref="W49">((2*ttotal10)/(3*s_t))*(st_b[[#This Row],[s(tb)]]+(s_t/4))</f>
        <v>4.3555555555555556E-2</v>
      </c>
      <c r="Y49" s="8">
        <v>2.7100000000000002E-3</v>
      </c>
      <c r="Z49" s="3" cm="1">
        <f t="array" ref="Z49">(-5*s_t/4)-Y49</f>
        <v>-6.4600000000000005E-3</v>
      </c>
      <c r="AA49" s="3">
        <f>(-INDEX(Overview[b],1)+SQRT(POWER(INDEX(Overview[b],1),2)-(4*INDEX(Overview[a],1)*st_c[[#This Row],[c]])))/(2*INDEX(Overview[a],1))</f>
        <v>0.79272490993135991</v>
      </c>
      <c r="AB49" s="3">
        <f>(-INDEX(Overview[b],2)+SQRT(POWER(INDEX(Overview[b],2),2)-(4*INDEX(Overview[a],2)*st_c[[#This Row],[c]])))/(2*INDEX(Overview[a],2))</f>
        <v>0.39636245496567996</v>
      </c>
      <c r="AC49" s="3">
        <f>(-INDEX(Overview[b],3)+SQRT(POWER(INDEX(Overview[b],3),2)-(4*INDEX(Overview[a],3)*st_c[[#This Row],[c]])))/(2*INDEX(Overview[a],3))</f>
        <v>0.26424163664378636</v>
      </c>
      <c r="AD49" s="3">
        <f>(-INDEX(Overview[b],4)+SQRT(POWER(INDEX(Overview[b],4),2)-(4*INDEX(Overview[a],4)*st_c[[#This Row],[c]])))/(2*INDEX(Overview[a],4))</f>
        <v>0.19818122748283998</v>
      </c>
      <c r="AE49" s="3">
        <f>(-INDEX(Overview[b],5)+SQRT(POWER(INDEX(Overview[b],5),2)-(4*INDEX(Overview[a],5)*st_c[[#This Row],[c]])))/(2*INDEX(Overview[a],5))</f>
        <v>0.15854498198627184</v>
      </c>
      <c r="AF49" s="3">
        <f>(-INDEX(Overview[b],6)+SQRT(POWER(INDEX(Overview[b],6),2)-(4*INDEX(Overview[a],6)*st_c[[#This Row],[c]])))/(2*INDEX(Overview[a],6))</f>
        <v>0.13212081832189318</v>
      </c>
      <c r="AG49" s="3">
        <f>(-INDEX(Overview[b],7)+SQRT(POWER(INDEX(Overview[b],7),2)-(4*INDEX(Overview[a],7)*st_c[[#This Row],[c]])))/(2*INDEX(Overview[a],7))</f>
        <v>0.11324641570447998</v>
      </c>
      <c r="AH49" s="3">
        <f>(-INDEX(Overview[b],8)+SQRT(POWER(INDEX(Overview[b],8),2)-(4*INDEX(Overview[a],8)*st_c[[#This Row],[c]])))/(2*INDEX(Overview[a],8))</f>
        <v>9.9090613741419989E-2</v>
      </c>
      <c r="AI49" s="3">
        <f>(-INDEX(Overview[b],9)+SQRT(POWER(INDEX(Overview[b],9),2)-(4*INDEX(Overview[a],9)*st_c[[#This Row],[c]])))/(2*INDEX(Overview[a],9))</f>
        <v>8.8080545547928851E-2</v>
      </c>
      <c r="AJ49" s="19">
        <f>(-INDEX(Overview[b],10)+SQRT(POWER(INDEX(Overview[b],10),2)-(4*INDEX(Overview[a],10)*st_c[[#This Row],[c]])))/(2*INDEX(Overview[a],10))</f>
        <v>7.9272490993135922E-2</v>
      </c>
    </row>
    <row r="50" spans="1:36" x14ac:dyDescent="0.25">
      <c r="A50" s="2">
        <v>4.7000000000000004E-4</v>
      </c>
      <c r="B50" s="3" cm="1">
        <f t="array" ref="B50">SQRT((4*POWER(ttotal1,2)*st_a[[#This Row],[s(ta)]])/(9*s_t))</f>
        <v>0.26387426860084262</v>
      </c>
      <c r="C50" s="3" cm="1">
        <f t="array" ref="C50">SQRT((4*POWER(ttotal2,2)*st_a[[#This Row],[s(ta)]])/(9*s_t))</f>
        <v>0.13193713430042131</v>
      </c>
      <c r="D50" s="3" cm="1">
        <f t="array" ref="D50">SQRT((4*POWER(ttotal3,2)*st_a[[#This Row],[s(ta)]])/(9*s_t))</f>
        <v>8.7958089533614198E-2</v>
      </c>
      <c r="E50" s="3" cm="1">
        <f t="array" ref="E50">SQRT((4*POWER(ttotal4,2)*st_a[[#This Row],[s(ta)]])/(9*s_t))</f>
        <v>6.5968567150210655E-2</v>
      </c>
      <c r="F50" s="3" cm="1">
        <f t="array" ref="F50">SQRT((4*POWER(ttotal5,2)*st_a[[#This Row],[s(ta)]])/(9*s_t))</f>
        <v>5.2774853720168532E-2</v>
      </c>
      <c r="G50" s="3" cm="1">
        <f t="array" ref="G50">SQRT((4*POWER(ttotal6,2)*st_a[[#This Row],[s(ta)]])/(9*s_t))</f>
        <v>4.3979044766807099E-2</v>
      </c>
      <c r="H50" s="3" cm="1">
        <f t="array" ref="H50">SQRT((4*POWER(ttotal7,2)*st_a[[#This Row],[s(ta)]])/(9*s_t))</f>
        <v>3.7696324085834662E-2</v>
      </c>
      <c r="I50" s="3" cm="1">
        <f t="array" ref="I50">SQRT((4*POWER(ttotal8,2)*st_a[[#This Row],[s(ta)]])/(9*s_t))</f>
        <v>3.2984283575105328E-2</v>
      </c>
      <c r="J50" s="3" cm="1">
        <f t="array" ref="J50">SQRT((4*POWER(ttotal9,2)*st_a[[#This Row],[s(ta)]])/(9*s_t))</f>
        <v>2.9319363177871403E-2</v>
      </c>
      <c r="K50" s="3" cm="1">
        <f t="array" ref="K50">SQRT((4*POWER(ttotal10,2)*st_a[[#This Row],[s(ta)]])/(9*s_t))</f>
        <v>2.6387426860084266E-2</v>
      </c>
      <c r="M50" s="8">
        <v>1.2200000000000002E-3</v>
      </c>
      <c r="N50" s="3" cm="1">
        <f t="array" ref="N50">((2*ttotal1)/(3*s_t))*(st_b[[#This Row],[s(tb)]]+(s_t/4))</f>
        <v>0.43777777777777782</v>
      </c>
      <c r="O50" s="3" cm="1">
        <f t="array" ref="O50">((2*ttotal2)/(3*s_t))*(st_b[[#This Row],[s(tb)]]+(s_t/4))</f>
        <v>0.21888888888888891</v>
      </c>
      <c r="P50" s="3" cm="1">
        <f t="array" ref="P50">((2*ttotal3)/(3*s_t))*(st_b[[#This Row],[s(tb)]]+(s_t/4))</f>
        <v>0.14592592592592593</v>
      </c>
      <c r="Q50" s="3" cm="1">
        <f t="array" ref="Q50">((2*ttotal4)/(3*s_t))*(st_b[[#This Row],[s(tb)]]+(s_t/4))</f>
        <v>0.10944444444444446</v>
      </c>
      <c r="R50" s="3" cm="1">
        <f t="array" ref="R50">((2*ttotal5)/(3*s_t))*(st_b[[#This Row],[s(tb)]]+(s_t/4))</f>
        <v>8.7555555555555567E-2</v>
      </c>
      <c r="S50" s="3" cm="1">
        <f t="array" ref="S50">((2*ttotal6)/(3*s_t))*(st_b[[#This Row],[s(tb)]]+(s_t/4))</f>
        <v>7.2962962962962966E-2</v>
      </c>
      <c r="T50" s="3" cm="1">
        <f t="array" ref="T50">((2*ttotal7)/(3*s_t))*(st_b[[#This Row],[s(tb)]]+(s_t/4))</f>
        <v>6.2539682539682534E-2</v>
      </c>
      <c r="U50" s="3" cm="1">
        <f t="array" ref="U50">((2*ttotal8)/(3*s_t))*(st_b[[#This Row],[s(tb)]]+(s_t/4))</f>
        <v>5.4722222222222228E-2</v>
      </c>
      <c r="V50" s="3" cm="1">
        <f t="array" ref="V50">((2*ttotal9)/(3*s_t))*(st_b[[#This Row],[s(tb)]]+(s_t/4))</f>
        <v>4.8641975308641977E-2</v>
      </c>
      <c r="W50" s="3" cm="1">
        <f t="array" ref="W50">((2*ttotal10)/(3*s_t))*(st_b[[#This Row],[s(tb)]]+(s_t/4))</f>
        <v>4.3777777777777784E-2</v>
      </c>
      <c r="Y50" s="8">
        <v>2.7200000000000002E-3</v>
      </c>
      <c r="Z50" s="3" cm="1">
        <f t="array" ref="Z50">(-5*s_t/4)-Y50</f>
        <v>-6.4700000000000001E-3</v>
      </c>
      <c r="AA50" s="3">
        <f>(-INDEX(Overview[b],1)+SQRT(POWER(INDEX(Overview[b],1),2)-(4*INDEX(Overview[a],1)*st_c[[#This Row],[c]])))/(2*INDEX(Overview[a],1))</f>
        <v>0.79632996911307397</v>
      </c>
      <c r="AB50" s="3">
        <f>(-INDEX(Overview[b],2)+SQRT(POWER(INDEX(Overview[b],2),2)-(4*INDEX(Overview[a],2)*st_c[[#This Row],[c]])))/(2*INDEX(Overview[a],2))</f>
        <v>0.39816498455653698</v>
      </c>
      <c r="AC50" s="3">
        <f>(-INDEX(Overview[b],3)+SQRT(POWER(INDEX(Overview[b],3),2)-(4*INDEX(Overview[a],3)*st_c[[#This Row],[c]])))/(2*INDEX(Overview[a],3))</f>
        <v>0.26544332303769103</v>
      </c>
      <c r="AD50" s="3">
        <f>(-INDEX(Overview[b],4)+SQRT(POWER(INDEX(Overview[b],4),2)-(4*INDEX(Overview[a],4)*st_c[[#This Row],[c]])))/(2*INDEX(Overview[a],4))</f>
        <v>0.19908249227826849</v>
      </c>
      <c r="AE50" s="3">
        <f>(-INDEX(Overview[b],5)+SQRT(POWER(INDEX(Overview[b],5),2)-(4*INDEX(Overview[a],5)*st_c[[#This Row],[c]])))/(2*INDEX(Overview[a],5))</f>
        <v>0.15926599382261464</v>
      </c>
      <c r="AF50" s="3">
        <f>(-INDEX(Overview[b],6)+SQRT(POWER(INDEX(Overview[b],6),2)-(4*INDEX(Overview[a],6)*st_c[[#This Row],[c]])))/(2*INDEX(Overview[a],6))</f>
        <v>0.13272166151884551</v>
      </c>
      <c r="AG50" s="3">
        <f>(-INDEX(Overview[b],7)+SQRT(POWER(INDEX(Overview[b],7),2)-(4*INDEX(Overview[a],7)*st_c[[#This Row],[c]])))/(2*INDEX(Overview[a],7))</f>
        <v>0.11376142415901053</v>
      </c>
      <c r="AH50" s="3">
        <f>(-INDEX(Overview[b],8)+SQRT(POWER(INDEX(Overview[b],8),2)-(4*INDEX(Overview[a],8)*st_c[[#This Row],[c]])))/(2*INDEX(Overview[a],8))</f>
        <v>9.9541246139134246E-2</v>
      </c>
      <c r="AI50" s="3">
        <f>(-INDEX(Overview[b],9)+SQRT(POWER(INDEX(Overview[b],9),2)-(4*INDEX(Overview[a],9)*st_c[[#This Row],[c]])))/(2*INDEX(Overview[a],9))</f>
        <v>8.8481107679230397E-2</v>
      </c>
      <c r="AJ50" s="19">
        <f>(-INDEX(Overview[b],10)+SQRT(POWER(INDEX(Overview[b],10),2)-(4*INDEX(Overview[a],10)*st_c[[#This Row],[c]])))/(2*INDEX(Overview[a],10))</f>
        <v>7.9632996911307319E-2</v>
      </c>
    </row>
    <row r="51" spans="1:36" x14ac:dyDescent="0.25">
      <c r="A51" s="2">
        <v>4.8000000000000007E-4</v>
      </c>
      <c r="B51" s="3" cm="1">
        <f t="array" ref="B51">SQRT((4*POWER(ttotal1,2)*st_a[[#This Row],[s(ta)]])/(9*s_t))</f>
        <v>0.26666666666666672</v>
      </c>
      <c r="C51" s="3" cm="1">
        <f t="array" ref="C51">SQRT((4*POWER(ttotal2,2)*st_a[[#This Row],[s(ta)]])/(9*s_t))</f>
        <v>0.13333333333333336</v>
      </c>
      <c r="D51" s="3" cm="1">
        <f t="array" ref="D51">SQRT((4*POWER(ttotal3,2)*st_a[[#This Row],[s(ta)]])/(9*s_t))</f>
        <v>8.8888888888888906E-2</v>
      </c>
      <c r="E51" s="3" cm="1">
        <f t="array" ref="E51">SQRT((4*POWER(ttotal4,2)*st_a[[#This Row],[s(ta)]])/(9*s_t))</f>
        <v>6.666666666666668E-2</v>
      </c>
      <c r="F51" s="3" cm="1">
        <f t="array" ref="F51">SQRT((4*POWER(ttotal5,2)*st_a[[#This Row],[s(ta)]])/(9*s_t))</f>
        <v>5.3333333333333344E-2</v>
      </c>
      <c r="G51" s="3" cm="1">
        <f t="array" ref="G51">SQRT((4*POWER(ttotal6,2)*st_a[[#This Row],[s(ta)]])/(9*s_t))</f>
        <v>4.4444444444444453E-2</v>
      </c>
      <c r="H51" s="3" cm="1">
        <f t="array" ref="H51">SQRT((4*POWER(ttotal7,2)*st_a[[#This Row],[s(ta)]])/(9*s_t))</f>
        <v>3.8095238095238099E-2</v>
      </c>
      <c r="I51" s="3" cm="1">
        <f t="array" ref="I51">SQRT((4*POWER(ttotal8,2)*st_a[[#This Row],[s(ta)]])/(9*s_t))</f>
        <v>3.333333333333334E-2</v>
      </c>
      <c r="J51" s="3" cm="1">
        <f t="array" ref="J51">SQRT((4*POWER(ttotal9,2)*st_a[[#This Row],[s(ta)]])/(9*s_t))</f>
        <v>2.9629629629629631E-2</v>
      </c>
      <c r="K51" s="3" cm="1">
        <f t="array" ref="K51">SQRT((4*POWER(ttotal10,2)*st_a[[#This Row],[s(ta)]])/(9*s_t))</f>
        <v>2.6666666666666672E-2</v>
      </c>
      <c r="M51" s="8">
        <v>1.2300000000000002E-3</v>
      </c>
      <c r="N51" s="3" cm="1">
        <f t="array" ref="N51">((2*ttotal1)/(3*s_t))*(st_b[[#This Row],[s(tb)]]+(s_t/4))</f>
        <v>0.43999999999999995</v>
      </c>
      <c r="O51" s="3" cm="1">
        <f t="array" ref="O51">((2*ttotal2)/(3*s_t))*(st_b[[#This Row],[s(tb)]]+(s_t/4))</f>
        <v>0.21999999999999997</v>
      </c>
      <c r="P51" s="3" cm="1">
        <f t="array" ref="P51">((2*ttotal3)/(3*s_t))*(st_b[[#This Row],[s(tb)]]+(s_t/4))</f>
        <v>0.14666666666666664</v>
      </c>
      <c r="Q51" s="3" cm="1">
        <f t="array" ref="Q51">((2*ttotal4)/(3*s_t))*(st_b[[#This Row],[s(tb)]]+(s_t/4))</f>
        <v>0.10999999999999999</v>
      </c>
      <c r="R51" s="3" cm="1">
        <f t="array" ref="R51">((2*ttotal5)/(3*s_t))*(st_b[[#This Row],[s(tb)]]+(s_t/4))</f>
        <v>8.7999999999999995E-2</v>
      </c>
      <c r="S51" s="3" cm="1">
        <f t="array" ref="S51">((2*ttotal6)/(3*s_t))*(st_b[[#This Row],[s(tb)]]+(s_t/4))</f>
        <v>7.333333333333332E-2</v>
      </c>
      <c r="T51" s="3" cm="1">
        <f t="array" ref="T51">((2*ttotal7)/(3*s_t))*(st_b[[#This Row],[s(tb)]]+(s_t/4))</f>
        <v>6.2857142857142848E-2</v>
      </c>
      <c r="U51" s="3" cm="1">
        <f t="array" ref="U51">((2*ttotal8)/(3*s_t))*(st_b[[#This Row],[s(tb)]]+(s_t/4))</f>
        <v>5.4999999999999993E-2</v>
      </c>
      <c r="V51" s="3" cm="1">
        <f t="array" ref="V51">((2*ttotal9)/(3*s_t))*(st_b[[#This Row],[s(tb)]]+(s_t/4))</f>
        <v>4.8888888888888878E-2</v>
      </c>
      <c r="W51" s="3" cm="1">
        <f t="array" ref="W51">((2*ttotal10)/(3*s_t))*(st_b[[#This Row],[s(tb)]]+(s_t/4))</f>
        <v>4.3999999999999997E-2</v>
      </c>
      <c r="Y51" s="8">
        <v>2.7300000000000002E-3</v>
      </c>
      <c r="Z51" s="3" cm="1">
        <f t="array" ref="Z51">(-5*s_t/4)-Y51</f>
        <v>-6.4799999999999996E-3</v>
      </c>
      <c r="AA51" s="3">
        <f>(-INDEX(Overview[b],1)+SQRT(POWER(INDEX(Overview[b],1),2)-(4*INDEX(Overview[a],1)*st_c[[#This Row],[c]])))/(2*INDEX(Overview[a],1))</f>
        <v>0.8</v>
      </c>
      <c r="AB51" s="3">
        <f>(-INDEX(Overview[b],2)+SQRT(POWER(INDEX(Overview[b],2),2)-(4*INDEX(Overview[a],2)*st_c[[#This Row],[c]])))/(2*INDEX(Overview[a],2))</f>
        <v>0.4</v>
      </c>
      <c r="AC51" s="3">
        <f>(-INDEX(Overview[b],3)+SQRT(POWER(INDEX(Overview[b],3),2)-(4*INDEX(Overview[a],3)*st_c[[#This Row],[c]])))/(2*INDEX(Overview[a],3))</f>
        <v>0.26666666666666639</v>
      </c>
      <c r="AD51" s="3">
        <f>(-INDEX(Overview[b],4)+SQRT(POWER(INDEX(Overview[b],4),2)-(4*INDEX(Overview[a],4)*st_c[[#This Row],[c]])))/(2*INDEX(Overview[a],4))</f>
        <v>0.2</v>
      </c>
      <c r="AE51" s="3">
        <f>(-INDEX(Overview[b],5)+SQRT(POWER(INDEX(Overview[b],5),2)-(4*INDEX(Overview[a],5)*st_c[[#This Row],[c]])))/(2*INDEX(Overview[a],5))</f>
        <v>0.15999999999999986</v>
      </c>
      <c r="AF51" s="3">
        <f>(-INDEX(Overview[b],6)+SQRT(POWER(INDEX(Overview[b],6),2)-(4*INDEX(Overview[a],6)*st_c[[#This Row],[c]])))/(2*INDEX(Overview[a],6))</f>
        <v>0.13333333333333319</v>
      </c>
      <c r="AG51" s="3">
        <f>(-INDEX(Overview[b],7)+SQRT(POWER(INDEX(Overview[b],7),2)-(4*INDEX(Overview[a],7)*st_c[[#This Row],[c]])))/(2*INDEX(Overview[a],7))</f>
        <v>0.11428571428571427</v>
      </c>
      <c r="AH51" s="3">
        <f>(-INDEX(Overview[b],8)+SQRT(POWER(INDEX(Overview[b],8),2)-(4*INDEX(Overview[a],8)*st_c[[#This Row],[c]])))/(2*INDEX(Overview[a],8))</f>
        <v>0.1</v>
      </c>
      <c r="AI51" s="3">
        <f>(-INDEX(Overview[b],9)+SQRT(POWER(INDEX(Overview[b],9),2)-(4*INDEX(Overview[a],9)*st_c[[#This Row],[c]])))/(2*INDEX(Overview[a],9))</f>
        <v>8.8888888888888837E-2</v>
      </c>
      <c r="AJ51" s="19">
        <f>(-INDEX(Overview[b],10)+SQRT(POWER(INDEX(Overview[b],10),2)-(4*INDEX(Overview[a],10)*st_c[[#This Row],[c]])))/(2*INDEX(Overview[a],10))</f>
        <v>7.9999999999999932E-2</v>
      </c>
    </row>
    <row r="52" spans="1:36" x14ac:dyDescent="0.25">
      <c r="A52" s="2">
        <v>4.9000000000000009E-4</v>
      </c>
      <c r="B52" s="3" cm="1">
        <f t="array" ref="B52">SQRT((4*POWER(ttotal1,2)*st_a[[#This Row],[s(ta)]])/(9*s_t))</f>
        <v>0.26943012562182539</v>
      </c>
      <c r="C52" s="3" cm="1">
        <f t="array" ref="C52">SQRT((4*POWER(ttotal2,2)*st_a[[#This Row],[s(ta)]])/(9*s_t))</f>
        <v>0.13471506281091269</v>
      </c>
      <c r="D52" s="3" cm="1">
        <f t="array" ref="D52">SQRT((4*POWER(ttotal3,2)*st_a[[#This Row],[s(ta)]])/(9*s_t))</f>
        <v>8.9810041873941787E-2</v>
      </c>
      <c r="E52" s="3" cm="1">
        <f t="array" ref="E52">SQRT((4*POWER(ttotal4,2)*st_a[[#This Row],[s(ta)]])/(9*s_t))</f>
        <v>6.7357531405456347E-2</v>
      </c>
      <c r="F52" s="3" cm="1">
        <f t="array" ref="F52">SQRT((4*POWER(ttotal5,2)*st_a[[#This Row],[s(ta)]])/(9*s_t))</f>
        <v>5.3886025124365085E-2</v>
      </c>
      <c r="G52" s="3" cm="1">
        <f t="array" ref="G52">SQRT((4*POWER(ttotal6,2)*st_a[[#This Row],[s(ta)]])/(9*s_t))</f>
        <v>4.4905020936970894E-2</v>
      </c>
      <c r="H52" s="3" cm="1">
        <f t="array" ref="H52">SQRT((4*POWER(ttotal7,2)*st_a[[#This Row],[s(ta)]])/(9*s_t))</f>
        <v>3.849001794597505E-2</v>
      </c>
      <c r="I52" s="3" cm="1">
        <f t="array" ref="I52">SQRT((4*POWER(ttotal8,2)*st_a[[#This Row],[s(ta)]])/(9*s_t))</f>
        <v>3.3678765702728174E-2</v>
      </c>
      <c r="J52" s="3" cm="1">
        <f t="array" ref="J52">SQRT((4*POWER(ttotal9,2)*st_a[[#This Row],[s(ta)]])/(9*s_t))</f>
        <v>2.9936680624647265E-2</v>
      </c>
      <c r="K52" s="3" cm="1">
        <f t="array" ref="K52">SQRT((4*POWER(ttotal10,2)*st_a[[#This Row],[s(ta)]])/(9*s_t))</f>
        <v>2.6943012562182542E-2</v>
      </c>
      <c r="M52" s="8">
        <v>1.24E-3</v>
      </c>
      <c r="N52" s="3" cm="1">
        <f t="array" ref="N52">((2*ttotal1)/(3*s_t))*(st_b[[#This Row],[s(tb)]]+(s_t/4))</f>
        <v>0.44222222222222218</v>
      </c>
      <c r="O52" s="3" cm="1">
        <f t="array" ref="O52">((2*ttotal2)/(3*s_t))*(st_b[[#This Row],[s(tb)]]+(s_t/4))</f>
        <v>0.22111111111111109</v>
      </c>
      <c r="P52" s="3" cm="1">
        <f t="array" ref="P52">((2*ttotal3)/(3*s_t))*(st_b[[#This Row],[s(tb)]]+(s_t/4))</f>
        <v>0.14740740740740738</v>
      </c>
      <c r="Q52" s="3" cm="1">
        <f t="array" ref="Q52">((2*ttotal4)/(3*s_t))*(st_b[[#This Row],[s(tb)]]+(s_t/4))</f>
        <v>0.11055555555555555</v>
      </c>
      <c r="R52" s="3" cm="1">
        <f t="array" ref="R52">((2*ttotal5)/(3*s_t))*(st_b[[#This Row],[s(tb)]]+(s_t/4))</f>
        <v>8.8444444444444437E-2</v>
      </c>
      <c r="S52" s="3" cm="1">
        <f t="array" ref="S52">((2*ttotal6)/(3*s_t))*(st_b[[#This Row],[s(tb)]]+(s_t/4))</f>
        <v>7.3703703703703688E-2</v>
      </c>
      <c r="T52" s="3" cm="1">
        <f t="array" ref="T52">((2*ttotal7)/(3*s_t))*(st_b[[#This Row],[s(tb)]]+(s_t/4))</f>
        <v>6.3174603174603161E-2</v>
      </c>
      <c r="U52" s="3" cm="1">
        <f t="array" ref="U52">((2*ttotal8)/(3*s_t))*(st_b[[#This Row],[s(tb)]]+(s_t/4))</f>
        <v>5.5277777777777773E-2</v>
      </c>
      <c r="V52" s="3" cm="1">
        <f t="array" ref="V52">((2*ttotal9)/(3*s_t))*(st_b[[#This Row],[s(tb)]]+(s_t/4))</f>
        <v>4.9135802469135792E-2</v>
      </c>
      <c r="W52" s="3" cm="1">
        <f t="array" ref="W52">((2*ttotal10)/(3*s_t))*(st_b[[#This Row],[s(tb)]]+(s_t/4))</f>
        <v>4.4222222222222218E-2</v>
      </c>
      <c r="Y52" s="8">
        <v>2.7400000000000002E-3</v>
      </c>
      <c r="Z52" s="3" cm="1">
        <f t="array" ref="Z52">(-5*s_t/4)-Y52</f>
        <v>-6.4900000000000001E-3</v>
      </c>
      <c r="AA52" s="3">
        <f>(-INDEX(Overview[b],1)+SQRT(POWER(INDEX(Overview[b],1),2)-(4*INDEX(Overview[a],1)*st_c[[#This Row],[c]])))/(2*INDEX(Overview[a],1))</f>
        <v>0.80373864741493684</v>
      </c>
      <c r="AB52" s="3">
        <f>(-INDEX(Overview[b],2)+SQRT(POWER(INDEX(Overview[b],2),2)-(4*INDEX(Overview[a],2)*st_c[[#This Row],[c]])))/(2*INDEX(Overview[a],2))</f>
        <v>0.40186932370746842</v>
      </c>
      <c r="AC52" s="3">
        <f>(-INDEX(Overview[b],3)+SQRT(POWER(INDEX(Overview[b],3),2)-(4*INDEX(Overview[a],3)*st_c[[#This Row],[c]])))/(2*INDEX(Overview[a],3))</f>
        <v>0.26791288247164535</v>
      </c>
      <c r="AD52" s="3">
        <f>(-INDEX(Overview[b],4)+SQRT(POWER(INDEX(Overview[b],4),2)-(4*INDEX(Overview[a],4)*st_c[[#This Row],[c]])))/(2*INDEX(Overview[a],4))</f>
        <v>0.20093466185373421</v>
      </c>
      <c r="AE52" s="3">
        <f>(-INDEX(Overview[b],5)+SQRT(POWER(INDEX(Overview[b],5),2)-(4*INDEX(Overview[a],5)*st_c[[#This Row],[c]])))/(2*INDEX(Overview[a],5))</f>
        <v>0.16074772948298729</v>
      </c>
      <c r="AF52" s="3">
        <f>(-INDEX(Overview[b],6)+SQRT(POWER(INDEX(Overview[b],6),2)-(4*INDEX(Overview[a],6)*st_c[[#This Row],[c]])))/(2*INDEX(Overview[a],6))</f>
        <v>0.13395644123582268</v>
      </c>
      <c r="AG52" s="3">
        <f>(-INDEX(Overview[b],7)+SQRT(POWER(INDEX(Overview[b],7),2)-(4*INDEX(Overview[a],7)*st_c[[#This Row],[c]])))/(2*INDEX(Overview[a],7))</f>
        <v>0.11481980677356243</v>
      </c>
      <c r="AH52" s="3">
        <f>(-INDEX(Overview[b],8)+SQRT(POWER(INDEX(Overview[b],8),2)-(4*INDEX(Overview[a],8)*st_c[[#This Row],[c]])))/(2*INDEX(Overview[a],8))</f>
        <v>0.1004673309268671</v>
      </c>
      <c r="AI52" s="3">
        <f>(-INDEX(Overview[b],9)+SQRT(POWER(INDEX(Overview[b],9),2)-(4*INDEX(Overview[a],9)*st_c[[#This Row],[c]])))/(2*INDEX(Overview[a],9))</f>
        <v>8.9304294157215178E-2</v>
      </c>
      <c r="AJ52" s="19">
        <f>(-INDEX(Overview[b],10)+SQRT(POWER(INDEX(Overview[b],10),2)-(4*INDEX(Overview[a],10)*st_c[[#This Row],[c]])))/(2*INDEX(Overview[a],10))</f>
        <v>8.0373864741493647E-2</v>
      </c>
    </row>
    <row r="53" spans="1:36" x14ac:dyDescent="0.25">
      <c r="A53" s="2">
        <v>5.0000000000000001E-4</v>
      </c>
      <c r="B53" s="3" cm="1">
        <f t="array" ref="B53">SQRT((4*POWER(ttotal1,2)*st_a[[#This Row],[s(ta)]])/(9*s_t))</f>
        <v>0.27216552697590868</v>
      </c>
      <c r="C53" s="3" cm="1">
        <f t="array" ref="C53">SQRT((4*POWER(ttotal2,2)*st_a[[#This Row],[s(ta)]])/(9*s_t))</f>
        <v>0.13608276348795434</v>
      </c>
      <c r="D53" s="3" cm="1">
        <f t="array" ref="D53">SQRT((4*POWER(ttotal3,2)*st_a[[#This Row],[s(ta)]])/(9*s_t))</f>
        <v>9.0721842325302893E-2</v>
      </c>
      <c r="E53" s="3" cm="1">
        <f t="array" ref="E53">SQRT((4*POWER(ttotal4,2)*st_a[[#This Row],[s(ta)]])/(9*s_t))</f>
        <v>6.804138174397717E-2</v>
      </c>
      <c r="F53" s="3" cm="1">
        <f t="array" ref="F53">SQRT((4*POWER(ttotal5,2)*st_a[[#This Row],[s(ta)]])/(9*s_t))</f>
        <v>5.4433105395181744E-2</v>
      </c>
      <c r="G53" s="3" cm="1">
        <f t="array" ref="G53">SQRT((4*POWER(ttotal6,2)*st_a[[#This Row],[s(ta)]])/(9*s_t))</f>
        <v>4.5360921162651446E-2</v>
      </c>
      <c r="H53" s="3" cm="1">
        <f t="array" ref="H53">SQRT((4*POWER(ttotal7,2)*st_a[[#This Row],[s(ta)]])/(9*s_t))</f>
        <v>3.8880789567986955E-2</v>
      </c>
      <c r="I53" s="3" cm="1">
        <f t="array" ref="I53">SQRT((4*POWER(ttotal8,2)*st_a[[#This Row],[s(ta)]])/(9*s_t))</f>
        <v>3.4020690871988585E-2</v>
      </c>
      <c r="J53" s="3" cm="1">
        <f t="array" ref="J53">SQRT((4*POWER(ttotal9,2)*st_a[[#This Row],[s(ta)]])/(9*s_t))</f>
        <v>3.0240614108434299E-2</v>
      </c>
      <c r="K53" s="3" cm="1">
        <f t="array" ref="K53">SQRT((4*POWER(ttotal10,2)*st_a[[#This Row],[s(ta)]])/(9*s_t))</f>
        <v>2.7216552697590872E-2</v>
      </c>
      <c r="M53" s="8">
        <v>1.25E-3</v>
      </c>
      <c r="N53" s="3" cm="1">
        <f t="array" ref="N53">((2*ttotal1)/(3*s_t))*(st_b[[#This Row],[s(tb)]]+(s_t/4))</f>
        <v>0.44444444444444442</v>
      </c>
      <c r="O53" s="3" cm="1">
        <f t="array" ref="O53">((2*ttotal2)/(3*s_t))*(st_b[[#This Row],[s(tb)]]+(s_t/4))</f>
        <v>0.22222222222222221</v>
      </c>
      <c r="P53" s="3" cm="1">
        <f t="array" ref="P53">((2*ttotal3)/(3*s_t))*(st_b[[#This Row],[s(tb)]]+(s_t/4))</f>
        <v>0.14814814814814814</v>
      </c>
      <c r="Q53" s="3" cm="1">
        <f t="array" ref="Q53">((2*ttotal4)/(3*s_t))*(st_b[[#This Row],[s(tb)]]+(s_t/4))</f>
        <v>0.1111111111111111</v>
      </c>
      <c r="R53" s="3" cm="1">
        <f t="array" ref="R53">((2*ttotal5)/(3*s_t))*(st_b[[#This Row],[s(tb)]]+(s_t/4))</f>
        <v>8.8888888888888892E-2</v>
      </c>
      <c r="S53" s="3" cm="1">
        <f t="array" ref="S53">((2*ttotal6)/(3*s_t))*(st_b[[#This Row],[s(tb)]]+(s_t/4))</f>
        <v>7.407407407407407E-2</v>
      </c>
      <c r="T53" s="3" cm="1">
        <f t="array" ref="T53">((2*ttotal7)/(3*s_t))*(st_b[[#This Row],[s(tb)]]+(s_t/4))</f>
        <v>6.3492063492063475E-2</v>
      </c>
      <c r="U53" s="3" cm="1">
        <f t="array" ref="U53">((2*ttotal8)/(3*s_t))*(st_b[[#This Row],[s(tb)]]+(s_t/4))</f>
        <v>5.5555555555555552E-2</v>
      </c>
      <c r="V53" s="3" cm="1">
        <f t="array" ref="V53">((2*ttotal9)/(3*s_t))*(st_b[[#This Row],[s(tb)]]+(s_t/4))</f>
        <v>4.9382716049382706E-2</v>
      </c>
      <c r="W53" s="3" cm="1">
        <f t="array" ref="W53">((2*ttotal10)/(3*s_t))*(st_b[[#This Row],[s(tb)]]+(s_t/4))</f>
        <v>4.4444444444444446E-2</v>
      </c>
      <c r="Y53" s="8">
        <v>2.7500000000000003E-3</v>
      </c>
      <c r="Z53" s="3" cm="1">
        <f t="array" ref="Z53">(-5*s_t/4)-Y53</f>
        <v>-6.5000000000000006E-3</v>
      </c>
      <c r="AA53" s="3">
        <f>(-INDEX(Overview[b],1)+SQRT(POWER(INDEX(Overview[b],1),2)-(4*INDEX(Overview[a],1)*st_c[[#This Row],[c]])))/(2*INDEX(Overview[a],1))</f>
        <v>0.80754991027012513</v>
      </c>
      <c r="AB53" s="3">
        <f>(-INDEX(Overview[b],2)+SQRT(POWER(INDEX(Overview[b],2),2)-(4*INDEX(Overview[a],2)*st_c[[#This Row],[c]])))/(2*INDEX(Overview[a],2))</f>
        <v>0.40377495513506256</v>
      </c>
      <c r="AC53" s="3">
        <f>(-INDEX(Overview[b],3)+SQRT(POWER(INDEX(Overview[b],3),2)-(4*INDEX(Overview[a],3)*st_c[[#This Row],[c]])))/(2*INDEX(Overview[a],3))</f>
        <v>0.26918330342337471</v>
      </c>
      <c r="AD53" s="3">
        <f>(-INDEX(Overview[b],4)+SQRT(POWER(INDEX(Overview[b],4),2)-(4*INDEX(Overview[a],4)*st_c[[#This Row],[c]])))/(2*INDEX(Overview[a],4))</f>
        <v>0.20188747756753128</v>
      </c>
      <c r="AE53" s="3">
        <f>(-INDEX(Overview[b],5)+SQRT(POWER(INDEX(Overview[b],5),2)-(4*INDEX(Overview[a],5)*st_c[[#This Row],[c]])))/(2*INDEX(Overview[a],5))</f>
        <v>0.16150998205402486</v>
      </c>
      <c r="AF53" s="3">
        <f>(-INDEX(Overview[b],6)+SQRT(POWER(INDEX(Overview[b],6),2)-(4*INDEX(Overview[a],6)*st_c[[#This Row],[c]])))/(2*INDEX(Overview[a],6))</f>
        <v>0.13459165171168735</v>
      </c>
      <c r="AG53" s="3">
        <f>(-INDEX(Overview[b],7)+SQRT(POWER(INDEX(Overview[b],7),2)-(4*INDEX(Overview[a],7)*st_c[[#This Row],[c]])))/(2*INDEX(Overview[a],7))</f>
        <v>0.11536427289573213</v>
      </c>
      <c r="AH53" s="3">
        <f>(-INDEX(Overview[b],8)+SQRT(POWER(INDEX(Overview[b],8),2)-(4*INDEX(Overview[a],8)*st_c[[#This Row],[c]])))/(2*INDEX(Overview[a],8))</f>
        <v>0.10094373878376564</v>
      </c>
      <c r="AI53" s="3">
        <f>(-INDEX(Overview[b],9)+SQRT(POWER(INDEX(Overview[b],9),2)-(4*INDEX(Overview[a],9)*st_c[[#This Row],[c]])))/(2*INDEX(Overview[a],9))</f>
        <v>8.9727767807791625E-2</v>
      </c>
      <c r="AJ53" s="19">
        <f>(-INDEX(Overview[b],10)+SQRT(POWER(INDEX(Overview[b],10),2)-(4*INDEX(Overview[a],10)*st_c[[#This Row],[c]])))/(2*INDEX(Overview[a],10))</f>
        <v>8.0754991027012432E-2</v>
      </c>
    </row>
    <row r="54" spans="1:36" x14ac:dyDescent="0.25">
      <c r="A54" s="2">
        <v>5.1000000000000004E-4</v>
      </c>
      <c r="B54" s="3" cm="1">
        <f t="array" ref="B54">SQRT((4*POWER(ttotal1,2)*st_a[[#This Row],[s(ta)]])/(9*s_t))</f>
        <v>0.27487370837451069</v>
      </c>
      <c r="C54" s="3" cm="1">
        <f t="array" ref="C54">SQRT((4*POWER(ttotal2,2)*st_a[[#This Row],[s(ta)]])/(9*s_t))</f>
        <v>0.13743685418725535</v>
      </c>
      <c r="D54" s="3" cm="1">
        <f t="array" ref="D54">SQRT((4*POWER(ttotal3,2)*st_a[[#This Row],[s(ta)]])/(9*s_t))</f>
        <v>9.1624569458170241E-2</v>
      </c>
      <c r="E54" s="3" cm="1">
        <f t="array" ref="E54">SQRT((4*POWER(ttotal4,2)*st_a[[#This Row],[s(ta)]])/(9*s_t))</f>
        <v>6.8718427093627674E-2</v>
      </c>
      <c r="F54" s="3" cm="1">
        <f t="array" ref="F54">SQRT((4*POWER(ttotal5,2)*st_a[[#This Row],[s(ta)]])/(9*s_t))</f>
        <v>5.4974741674902149E-2</v>
      </c>
      <c r="G54" s="3" cm="1">
        <f t="array" ref="G54">SQRT((4*POWER(ttotal6,2)*st_a[[#This Row],[s(ta)]])/(9*s_t))</f>
        <v>4.581228472908512E-2</v>
      </c>
      <c r="H54" s="3" cm="1">
        <f t="array" ref="H54">SQRT((4*POWER(ttotal7,2)*st_a[[#This Row],[s(ta)]])/(9*s_t))</f>
        <v>3.9267672624930097E-2</v>
      </c>
      <c r="I54" s="3" cm="1">
        <f t="array" ref="I54">SQRT((4*POWER(ttotal8,2)*st_a[[#This Row],[s(ta)]])/(9*s_t))</f>
        <v>3.4359213546813837E-2</v>
      </c>
      <c r="J54" s="3" cm="1">
        <f t="array" ref="J54">SQRT((4*POWER(ttotal9,2)*st_a[[#This Row],[s(ta)]])/(9*s_t))</f>
        <v>3.0541523152723411E-2</v>
      </c>
      <c r="K54" s="3" cm="1">
        <f t="array" ref="K54">SQRT((4*POWER(ttotal10,2)*st_a[[#This Row],[s(ta)]])/(9*s_t))</f>
        <v>2.7487370837451074E-2</v>
      </c>
      <c r="M54" s="8">
        <v>1.2600000000000001E-3</v>
      </c>
      <c r="N54" s="3" cm="1">
        <f t="array" ref="N54">((2*ttotal1)/(3*s_t))*(st_b[[#This Row],[s(tb)]]+(s_t/4))</f>
        <v>0.44666666666666666</v>
      </c>
      <c r="O54" s="3" cm="1">
        <f t="array" ref="O54">((2*ttotal2)/(3*s_t))*(st_b[[#This Row],[s(tb)]]+(s_t/4))</f>
        <v>0.22333333333333333</v>
      </c>
      <c r="P54" s="3" cm="1">
        <f t="array" ref="P54">((2*ttotal3)/(3*s_t))*(st_b[[#This Row],[s(tb)]]+(s_t/4))</f>
        <v>0.14888888888888888</v>
      </c>
      <c r="Q54" s="3" cm="1">
        <f t="array" ref="Q54">((2*ttotal4)/(3*s_t))*(st_b[[#This Row],[s(tb)]]+(s_t/4))</f>
        <v>0.11166666666666666</v>
      </c>
      <c r="R54" s="3" cm="1">
        <f t="array" ref="R54">((2*ttotal5)/(3*s_t))*(st_b[[#This Row],[s(tb)]]+(s_t/4))</f>
        <v>8.9333333333333334E-2</v>
      </c>
      <c r="S54" s="3" cm="1">
        <f t="array" ref="S54">((2*ttotal6)/(3*s_t))*(st_b[[#This Row],[s(tb)]]+(s_t/4))</f>
        <v>7.4444444444444438E-2</v>
      </c>
      <c r="T54" s="3" cm="1">
        <f t="array" ref="T54">((2*ttotal7)/(3*s_t))*(st_b[[#This Row],[s(tb)]]+(s_t/4))</f>
        <v>6.3809523809523802E-2</v>
      </c>
      <c r="U54" s="3" cm="1">
        <f t="array" ref="U54">((2*ttotal8)/(3*s_t))*(st_b[[#This Row],[s(tb)]]+(s_t/4))</f>
        <v>5.5833333333333332E-2</v>
      </c>
      <c r="V54" s="3" cm="1">
        <f t="array" ref="V54">((2*ttotal9)/(3*s_t))*(st_b[[#This Row],[s(tb)]]+(s_t/4))</f>
        <v>4.9629629629629621E-2</v>
      </c>
      <c r="W54" s="3" cm="1">
        <f t="array" ref="W54">((2*ttotal10)/(3*s_t))*(st_b[[#This Row],[s(tb)]]+(s_t/4))</f>
        <v>4.4666666666666667E-2</v>
      </c>
      <c r="Y54" s="8">
        <v>2.7600000000000003E-3</v>
      </c>
      <c r="Z54" s="3" cm="1">
        <f t="array" ref="Z54">(-5*s_t/4)-Y54</f>
        <v>-6.5100000000000002E-3</v>
      </c>
      <c r="AA54" s="3">
        <f>(-INDEX(Overview[b],1)+SQRT(POWER(INDEX(Overview[b],1),2)-(4*INDEX(Overview[a],1)*st_c[[#This Row],[c]])))/(2*INDEX(Overview[a],1))</f>
        <v>0.81143819168358766</v>
      </c>
      <c r="AB54" s="3">
        <f>(-INDEX(Overview[b],2)+SQRT(POWER(INDEX(Overview[b],2),2)-(4*INDEX(Overview[a],2)*st_c[[#This Row],[c]])))/(2*INDEX(Overview[a],2))</f>
        <v>0.40571909584179383</v>
      </c>
      <c r="AC54" s="3">
        <f>(-INDEX(Overview[b],3)+SQRT(POWER(INDEX(Overview[b],3),2)-(4*INDEX(Overview[a],3)*st_c[[#This Row],[c]])))/(2*INDEX(Overview[a],3))</f>
        <v>0.27047939722786229</v>
      </c>
      <c r="AD54" s="3">
        <f>(-INDEX(Overview[b],4)+SQRT(POWER(INDEX(Overview[b],4),2)-(4*INDEX(Overview[a],4)*st_c[[#This Row],[c]])))/(2*INDEX(Overview[a],4))</f>
        <v>0.20285954792089692</v>
      </c>
      <c r="AE54" s="3">
        <f>(-INDEX(Overview[b],5)+SQRT(POWER(INDEX(Overview[b],5),2)-(4*INDEX(Overview[a],5)*st_c[[#This Row],[c]])))/(2*INDEX(Overview[a],5))</f>
        <v>0.16228763833671736</v>
      </c>
      <c r="AF54" s="3">
        <f>(-INDEX(Overview[b],6)+SQRT(POWER(INDEX(Overview[b],6),2)-(4*INDEX(Overview[a],6)*st_c[[#This Row],[c]])))/(2*INDEX(Overview[a],6))</f>
        <v>0.13523969861393115</v>
      </c>
      <c r="AG54" s="3">
        <f>(-INDEX(Overview[b],7)+SQRT(POWER(INDEX(Overview[b],7),2)-(4*INDEX(Overview[a],7)*st_c[[#This Row],[c]])))/(2*INDEX(Overview[a],7))</f>
        <v>0.11591974166908388</v>
      </c>
      <c r="AH54" s="3">
        <f>(-INDEX(Overview[b],8)+SQRT(POWER(INDEX(Overview[b],8),2)-(4*INDEX(Overview[a],8)*st_c[[#This Row],[c]])))/(2*INDEX(Overview[a],8))</f>
        <v>0.10142977396044846</v>
      </c>
      <c r="AI54" s="3">
        <f>(-INDEX(Overview[b],9)+SQRT(POWER(INDEX(Overview[b],9),2)-(4*INDEX(Overview[a],9)*st_c[[#This Row],[c]])))/(2*INDEX(Overview[a],9))</f>
        <v>9.0159799075954131E-2</v>
      </c>
      <c r="AJ54" s="19">
        <f>(-INDEX(Overview[b],10)+SQRT(POWER(INDEX(Overview[b],10),2)-(4*INDEX(Overview[a],10)*st_c[[#This Row],[c]])))/(2*INDEX(Overview[a],10))</f>
        <v>8.114381916835868E-2</v>
      </c>
    </row>
    <row r="55" spans="1:36" x14ac:dyDescent="0.25">
      <c r="A55" s="2">
        <v>5.2000000000000006E-4</v>
      </c>
      <c r="B55" s="3" cm="1">
        <f t="array" ref="B55">SQRT((4*POWER(ttotal1,2)*st_a[[#This Row],[s(ta)]])/(9*s_t))</f>
        <v>0.27755546659548436</v>
      </c>
      <c r="C55" s="3" cm="1">
        <f t="array" ref="C55">SQRT((4*POWER(ttotal2,2)*st_a[[#This Row],[s(ta)]])/(9*s_t))</f>
        <v>0.13877773329774218</v>
      </c>
      <c r="D55" s="3" cm="1">
        <f t="array" ref="D55">SQRT((4*POWER(ttotal3,2)*st_a[[#This Row],[s(ta)]])/(9*s_t))</f>
        <v>9.2518488865161466E-2</v>
      </c>
      <c r="E55" s="3" cm="1">
        <f t="array" ref="E55">SQRT((4*POWER(ttotal4,2)*st_a[[#This Row],[s(ta)]])/(9*s_t))</f>
        <v>6.9388866648871089E-2</v>
      </c>
      <c r="F55" s="3" cm="1">
        <f t="array" ref="F55">SQRT((4*POWER(ttotal5,2)*st_a[[#This Row],[s(ta)]])/(9*s_t))</f>
        <v>5.5511093319096885E-2</v>
      </c>
      <c r="G55" s="3" cm="1">
        <f t="array" ref="G55">SQRT((4*POWER(ttotal6,2)*st_a[[#This Row],[s(ta)]])/(9*s_t))</f>
        <v>4.6259244432580733E-2</v>
      </c>
      <c r="H55" s="3" cm="1">
        <f t="array" ref="H55">SQRT((4*POWER(ttotal7,2)*st_a[[#This Row],[s(ta)]])/(9*s_t))</f>
        <v>3.9650780942212055E-2</v>
      </c>
      <c r="I55" s="3" cm="1">
        <f t="array" ref="I55">SQRT((4*POWER(ttotal8,2)*st_a[[#This Row],[s(ta)]])/(9*s_t))</f>
        <v>3.4694433324435545E-2</v>
      </c>
      <c r="J55" s="3" cm="1">
        <f t="array" ref="J55">SQRT((4*POWER(ttotal9,2)*st_a[[#This Row],[s(ta)]])/(9*s_t))</f>
        <v>3.0839496288387152E-2</v>
      </c>
      <c r="K55" s="3" cm="1">
        <f t="array" ref="K55">SQRT((4*POWER(ttotal10,2)*st_a[[#This Row],[s(ta)]])/(9*s_t))</f>
        <v>2.7755546659548443E-2</v>
      </c>
      <c r="M55" s="8">
        <v>1.2700000000000001E-3</v>
      </c>
      <c r="N55" s="3" cm="1">
        <f t="array" ref="N55">((2*ttotal1)/(3*s_t))*(st_b[[#This Row],[s(tb)]]+(s_t/4))</f>
        <v>0.44888888888888889</v>
      </c>
      <c r="O55" s="3" cm="1">
        <f t="array" ref="O55">((2*ttotal2)/(3*s_t))*(st_b[[#This Row],[s(tb)]]+(s_t/4))</f>
        <v>0.22444444444444445</v>
      </c>
      <c r="P55" s="3" cm="1">
        <f t="array" ref="P55">((2*ttotal3)/(3*s_t))*(st_b[[#This Row],[s(tb)]]+(s_t/4))</f>
        <v>0.14962962962962961</v>
      </c>
      <c r="Q55" s="3" cm="1">
        <f t="array" ref="Q55">((2*ttotal4)/(3*s_t))*(st_b[[#This Row],[s(tb)]]+(s_t/4))</f>
        <v>0.11222222222222222</v>
      </c>
      <c r="R55" s="3" cm="1">
        <f t="array" ref="R55">((2*ttotal5)/(3*s_t))*(st_b[[#This Row],[s(tb)]]+(s_t/4))</f>
        <v>8.9777777777777776E-2</v>
      </c>
      <c r="S55" s="3" cm="1">
        <f t="array" ref="S55">((2*ttotal6)/(3*s_t))*(st_b[[#This Row],[s(tb)]]+(s_t/4))</f>
        <v>7.4814814814814806E-2</v>
      </c>
      <c r="T55" s="3" cm="1">
        <f t="array" ref="T55">((2*ttotal7)/(3*s_t))*(st_b[[#This Row],[s(tb)]]+(s_t/4))</f>
        <v>6.4126984126984116E-2</v>
      </c>
      <c r="U55" s="3" cm="1">
        <f t="array" ref="U55">((2*ttotal8)/(3*s_t))*(st_b[[#This Row],[s(tb)]]+(s_t/4))</f>
        <v>5.6111111111111112E-2</v>
      </c>
      <c r="V55" s="3" cm="1">
        <f t="array" ref="V55">((2*ttotal9)/(3*s_t))*(st_b[[#This Row],[s(tb)]]+(s_t/4))</f>
        <v>4.9876543209876535E-2</v>
      </c>
      <c r="W55" s="3" cm="1">
        <f t="array" ref="W55">((2*ttotal10)/(3*s_t))*(st_b[[#This Row],[s(tb)]]+(s_t/4))</f>
        <v>4.4888888888888888E-2</v>
      </c>
      <c r="Y55" s="8">
        <v>2.7700000000000003E-3</v>
      </c>
      <c r="Z55" s="3" cm="1">
        <f t="array" ref="Z55">(-5*s_t/4)-Y55</f>
        <v>-6.5199999999999998E-3</v>
      </c>
      <c r="AA55" s="3">
        <f>(-INDEX(Overview[b],1)+SQRT(POWER(INDEX(Overview[b],1),2)-(4*INDEX(Overview[a],1)*st_c[[#This Row],[c]])))/(2*INDEX(Overview[a],1))</f>
        <v>0.81540835860182082</v>
      </c>
      <c r="AB55" s="3">
        <f>(-INDEX(Overview[b],2)+SQRT(POWER(INDEX(Overview[b],2),2)-(4*INDEX(Overview[a],2)*st_c[[#This Row],[c]])))/(2*INDEX(Overview[a],2))</f>
        <v>0.40770417930091041</v>
      </c>
      <c r="AC55" s="3">
        <f>(-INDEX(Overview[b],3)+SQRT(POWER(INDEX(Overview[b],3),2)-(4*INDEX(Overview[a],3)*st_c[[#This Row],[c]])))/(2*INDEX(Overview[a],3))</f>
        <v>0.27180278620060666</v>
      </c>
      <c r="AD55" s="3">
        <f>(-INDEX(Overview[b],4)+SQRT(POWER(INDEX(Overview[b],4),2)-(4*INDEX(Overview[a],4)*st_c[[#This Row],[c]])))/(2*INDEX(Overview[a],4))</f>
        <v>0.2038520896504552</v>
      </c>
      <c r="AE55" s="3">
        <f>(-INDEX(Overview[b],5)+SQRT(POWER(INDEX(Overview[b],5),2)-(4*INDEX(Overview[a],5)*st_c[[#This Row],[c]])))/(2*INDEX(Overview[a],5))</f>
        <v>0.16308167172036397</v>
      </c>
      <c r="AF55" s="3">
        <f>(-INDEX(Overview[b],6)+SQRT(POWER(INDEX(Overview[b],6),2)-(4*INDEX(Overview[a],6)*st_c[[#This Row],[c]])))/(2*INDEX(Overview[a],6))</f>
        <v>0.13590139310030333</v>
      </c>
      <c r="AG55" s="3">
        <f>(-INDEX(Overview[b],7)+SQRT(POWER(INDEX(Overview[b],7),2)-(4*INDEX(Overview[a],7)*st_c[[#This Row],[c]])))/(2*INDEX(Overview[a],7))</f>
        <v>0.11648690837168862</v>
      </c>
      <c r="AH55" s="3">
        <f>(-INDEX(Overview[b],8)+SQRT(POWER(INDEX(Overview[b],8),2)-(4*INDEX(Overview[a],8)*st_c[[#This Row],[c]])))/(2*INDEX(Overview[a],8))</f>
        <v>0.1019260448252276</v>
      </c>
      <c r="AI55" s="3">
        <f>(-INDEX(Overview[b],9)+SQRT(POWER(INDEX(Overview[b],9),2)-(4*INDEX(Overview[a],9)*st_c[[#This Row],[c]])))/(2*INDEX(Overview[a],9))</f>
        <v>9.0600928733535591E-2</v>
      </c>
      <c r="AJ55" s="19">
        <f>(-INDEX(Overview[b],10)+SQRT(POWER(INDEX(Overview[b],10),2)-(4*INDEX(Overview[a],10)*st_c[[#This Row],[c]])))/(2*INDEX(Overview[a],10))</f>
        <v>8.1540835860181987E-2</v>
      </c>
    </row>
    <row r="56" spans="1:36" x14ac:dyDescent="0.25">
      <c r="A56" s="2">
        <v>5.3000000000000009E-4</v>
      </c>
      <c r="B56" s="3" cm="1">
        <f t="array" ref="B56">SQRT((4*POWER(ttotal1,2)*st_a[[#This Row],[s(ta)]])/(9*s_t))</f>
        <v>0.28021156028707761</v>
      </c>
      <c r="C56" s="3" cm="1">
        <f t="array" ref="C56">SQRT((4*POWER(ttotal2,2)*st_a[[#This Row],[s(ta)]])/(9*s_t))</f>
        <v>0.14010578014353881</v>
      </c>
      <c r="D56" s="3" cm="1">
        <f t="array" ref="D56">SQRT((4*POWER(ttotal3,2)*st_a[[#This Row],[s(ta)]])/(9*s_t))</f>
        <v>9.3403853429025865E-2</v>
      </c>
      <c r="E56" s="3" cm="1">
        <f t="array" ref="E56">SQRT((4*POWER(ttotal4,2)*st_a[[#This Row],[s(ta)]])/(9*s_t))</f>
        <v>7.0052890071769403E-2</v>
      </c>
      <c r="F56" s="3" cm="1">
        <f t="array" ref="F56">SQRT((4*POWER(ttotal5,2)*st_a[[#This Row],[s(ta)]])/(9*s_t))</f>
        <v>5.6042312057415528E-2</v>
      </c>
      <c r="G56" s="3" cm="1">
        <f t="array" ref="G56">SQRT((4*POWER(ttotal6,2)*st_a[[#This Row],[s(ta)]])/(9*s_t))</f>
        <v>4.6701926714512933E-2</v>
      </c>
      <c r="H56" s="3" cm="1">
        <f t="array" ref="H56">SQRT((4*POWER(ttotal7,2)*st_a[[#This Row],[s(ta)]])/(9*s_t))</f>
        <v>4.0030222898153944E-2</v>
      </c>
      <c r="I56" s="3" cm="1">
        <f t="array" ref="I56">SQRT((4*POWER(ttotal8,2)*st_a[[#This Row],[s(ta)]])/(9*s_t))</f>
        <v>3.5026445035884701E-2</v>
      </c>
      <c r="J56" s="3" cm="1">
        <f t="array" ref="J56">SQRT((4*POWER(ttotal9,2)*st_a[[#This Row],[s(ta)]])/(9*s_t))</f>
        <v>3.1134617809675292E-2</v>
      </c>
      <c r="K56" s="3" cm="1">
        <f t="array" ref="K56">SQRT((4*POWER(ttotal10,2)*st_a[[#This Row],[s(ta)]])/(9*s_t))</f>
        <v>2.8021156028707764E-2</v>
      </c>
      <c r="M56" s="8">
        <v>1.2800000000000001E-3</v>
      </c>
      <c r="N56" s="3" cm="1">
        <f t="array" ref="N56">((2*ttotal1)/(3*s_t))*(st_b[[#This Row],[s(tb)]]+(s_t/4))</f>
        <v>0.45111111111111107</v>
      </c>
      <c r="O56" s="3" cm="1">
        <f t="array" ref="O56">((2*ttotal2)/(3*s_t))*(st_b[[#This Row],[s(tb)]]+(s_t/4))</f>
        <v>0.22555555555555554</v>
      </c>
      <c r="P56" s="3" cm="1">
        <f t="array" ref="P56">((2*ttotal3)/(3*s_t))*(st_b[[#This Row],[s(tb)]]+(s_t/4))</f>
        <v>0.15037037037037035</v>
      </c>
      <c r="Q56" s="3" cm="1">
        <f t="array" ref="Q56">((2*ttotal4)/(3*s_t))*(st_b[[#This Row],[s(tb)]]+(s_t/4))</f>
        <v>0.11277777777777777</v>
      </c>
      <c r="R56" s="3" cm="1">
        <f t="array" ref="R56">((2*ttotal5)/(3*s_t))*(st_b[[#This Row],[s(tb)]]+(s_t/4))</f>
        <v>9.0222222222222218E-2</v>
      </c>
      <c r="S56" s="3" cm="1">
        <f t="array" ref="S56">((2*ttotal6)/(3*s_t))*(st_b[[#This Row],[s(tb)]]+(s_t/4))</f>
        <v>7.5185185185185174E-2</v>
      </c>
      <c r="T56" s="3" cm="1">
        <f t="array" ref="T56">((2*ttotal7)/(3*s_t))*(st_b[[#This Row],[s(tb)]]+(s_t/4))</f>
        <v>6.4444444444444429E-2</v>
      </c>
      <c r="U56" s="3" cm="1">
        <f t="array" ref="U56">((2*ttotal8)/(3*s_t))*(st_b[[#This Row],[s(tb)]]+(s_t/4))</f>
        <v>5.6388888888888884E-2</v>
      </c>
      <c r="V56" s="3" cm="1">
        <f t="array" ref="V56">((2*ttotal9)/(3*s_t))*(st_b[[#This Row],[s(tb)]]+(s_t/4))</f>
        <v>5.012345679012345E-2</v>
      </c>
      <c r="W56" s="3" cm="1">
        <f t="array" ref="W56">((2*ttotal10)/(3*s_t))*(st_b[[#This Row],[s(tb)]]+(s_t/4))</f>
        <v>4.5111111111111109E-2</v>
      </c>
      <c r="Y56" s="8">
        <v>2.7800000000000004E-3</v>
      </c>
      <c r="Z56" s="3" cm="1">
        <f t="array" ref="Z56">(-5*s_t/4)-Y56</f>
        <v>-6.5300000000000002E-3</v>
      </c>
      <c r="AA56" s="3">
        <f>(-INDEX(Overview[b],1)+SQRT(POWER(INDEX(Overview[b],1),2)-(4*INDEX(Overview[a],1)*st_c[[#This Row],[c]])))/(2*INDEX(Overview[a],1))</f>
        <v>0.8194658132303122</v>
      </c>
      <c r="AB56" s="3">
        <f>(-INDEX(Overview[b],2)+SQRT(POWER(INDEX(Overview[b],2),2)-(4*INDEX(Overview[a],2)*st_c[[#This Row],[c]])))/(2*INDEX(Overview[a],2))</f>
        <v>0.4097329066151561</v>
      </c>
      <c r="AC56" s="3">
        <f>(-INDEX(Overview[b],3)+SQRT(POWER(INDEX(Overview[b],3),2)-(4*INDEX(Overview[a],3)*st_c[[#This Row],[c]])))/(2*INDEX(Overview[a],3))</f>
        <v>0.27315527107677046</v>
      </c>
      <c r="AD56" s="3">
        <f>(-INDEX(Overview[b],4)+SQRT(POWER(INDEX(Overview[b],4),2)-(4*INDEX(Overview[a],4)*st_c[[#This Row],[c]])))/(2*INDEX(Overview[a],4))</f>
        <v>0.20486645330757805</v>
      </c>
      <c r="AE56" s="3">
        <f>(-INDEX(Overview[b],5)+SQRT(POWER(INDEX(Overview[b],5),2)-(4*INDEX(Overview[a],5)*st_c[[#This Row],[c]])))/(2*INDEX(Overview[a],5))</f>
        <v>0.16389316264606232</v>
      </c>
      <c r="AF56" s="3">
        <f>(-INDEX(Overview[b],6)+SQRT(POWER(INDEX(Overview[b],6),2)-(4*INDEX(Overview[a],6)*st_c[[#This Row],[c]])))/(2*INDEX(Overview[a],6))</f>
        <v>0.13657763553838523</v>
      </c>
      <c r="AG56" s="3">
        <f>(-INDEX(Overview[b],7)+SQRT(POWER(INDEX(Overview[b],7),2)-(4*INDEX(Overview[a],7)*st_c[[#This Row],[c]])))/(2*INDEX(Overview[a],7))</f>
        <v>0.11706654474718746</v>
      </c>
      <c r="AH56" s="3">
        <f>(-INDEX(Overview[b],8)+SQRT(POWER(INDEX(Overview[b],8),2)-(4*INDEX(Overview[a],8)*st_c[[#This Row],[c]])))/(2*INDEX(Overview[a],8))</f>
        <v>0.10243322665378903</v>
      </c>
      <c r="AI56" s="3">
        <f>(-INDEX(Overview[b],9)+SQRT(POWER(INDEX(Overview[b],9),2)-(4*INDEX(Overview[a],9)*st_c[[#This Row],[c]])))/(2*INDEX(Overview[a],9))</f>
        <v>9.1051757025590221E-2</v>
      </c>
      <c r="AJ56" s="19">
        <f>(-INDEX(Overview[b],10)+SQRT(POWER(INDEX(Overview[b],10),2)-(4*INDEX(Overview[a],10)*st_c[[#This Row],[c]])))/(2*INDEX(Overview[a],10))</f>
        <v>8.1946581323031162E-2</v>
      </c>
    </row>
    <row r="57" spans="1:36" x14ac:dyDescent="0.25">
      <c r="A57" s="2">
        <v>5.4000000000000001E-4</v>
      </c>
      <c r="B57" s="3" cm="1">
        <f t="array" ref="B57">SQRT((4*POWER(ttotal1,2)*st_a[[#This Row],[s(ta)]])/(9*s_t))</f>
        <v>0.28284271247461901</v>
      </c>
      <c r="C57" s="3" cm="1">
        <f t="array" ref="C57">SQRT((4*POWER(ttotal2,2)*st_a[[#This Row],[s(ta)]])/(9*s_t))</f>
        <v>0.1414213562373095</v>
      </c>
      <c r="D57" s="3" cm="1">
        <f t="array" ref="D57">SQRT((4*POWER(ttotal3,2)*st_a[[#This Row],[s(ta)]])/(9*s_t))</f>
        <v>9.4280904158206336E-2</v>
      </c>
      <c r="E57" s="3" cm="1">
        <f t="array" ref="E57">SQRT((4*POWER(ttotal4,2)*st_a[[#This Row],[s(ta)]])/(9*s_t))</f>
        <v>7.0710678118654752E-2</v>
      </c>
      <c r="F57" s="3" cm="1">
        <f t="array" ref="F57">SQRT((4*POWER(ttotal5,2)*st_a[[#This Row],[s(ta)]])/(9*s_t))</f>
        <v>5.656854249492381E-2</v>
      </c>
      <c r="G57" s="3" cm="1">
        <f t="array" ref="G57">SQRT((4*POWER(ttotal6,2)*st_a[[#This Row],[s(ta)]])/(9*s_t))</f>
        <v>4.7140452079103168E-2</v>
      </c>
      <c r="H57" s="3" cm="1">
        <f t="array" ref="H57">SQRT((4*POWER(ttotal7,2)*st_a[[#This Row],[s(ta)]])/(9*s_t))</f>
        <v>4.0406101782088429E-2</v>
      </c>
      <c r="I57" s="3" cm="1">
        <f t="array" ref="I57">SQRT((4*POWER(ttotal8,2)*st_a[[#This Row],[s(ta)]])/(9*s_t))</f>
        <v>3.5355339059327376E-2</v>
      </c>
      <c r="J57" s="3" cm="1">
        <f t="array" ref="J57">SQRT((4*POWER(ttotal9,2)*st_a[[#This Row],[s(ta)]])/(9*s_t))</f>
        <v>3.1426968052735448E-2</v>
      </c>
      <c r="K57" s="3" cm="1">
        <f t="array" ref="K57">SQRT((4*POWER(ttotal10,2)*st_a[[#This Row],[s(ta)]])/(9*s_t))</f>
        <v>2.8284271247461905E-2</v>
      </c>
      <c r="M57" s="8">
        <v>1.2900000000000001E-3</v>
      </c>
      <c r="N57" s="3" cm="1">
        <f t="array" ref="N57">((2*ttotal1)/(3*s_t))*(st_b[[#This Row],[s(tb)]]+(s_t/4))</f>
        <v>0.45333333333333331</v>
      </c>
      <c r="O57" s="3" cm="1">
        <f t="array" ref="O57">((2*ttotal2)/(3*s_t))*(st_b[[#This Row],[s(tb)]]+(s_t/4))</f>
        <v>0.22666666666666666</v>
      </c>
      <c r="P57" s="3" cm="1">
        <f t="array" ref="P57">((2*ttotal3)/(3*s_t))*(st_b[[#This Row],[s(tb)]]+(s_t/4))</f>
        <v>0.15111111111111108</v>
      </c>
      <c r="Q57" s="3" cm="1">
        <f t="array" ref="Q57">((2*ttotal4)/(3*s_t))*(st_b[[#This Row],[s(tb)]]+(s_t/4))</f>
        <v>0.11333333333333333</v>
      </c>
      <c r="R57" s="3" cm="1">
        <f t="array" ref="R57">((2*ttotal5)/(3*s_t))*(st_b[[#This Row],[s(tb)]]+(s_t/4))</f>
        <v>9.0666666666666673E-2</v>
      </c>
      <c r="S57" s="3" cm="1">
        <f t="array" ref="S57">((2*ttotal6)/(3*s_t))*(st_b[[#This Row],[s(tb)]]+(s_t/4))</f>
        <v>7.5555555555555542E-2</v>
      </c>
      <c r="T57" s="3" cm="1">
        <f t="array" ref="T57">((2*ttotal7)/(3*s_t))*(st_b[[#This Row],[s(tb)]]+(s_t/4))</f>
        <v>6.4761904761904757E-2</v>
      </c>
      <c r="U57" s="3" cm="1">
        <f t="array" ref="U57">((2*ttotal8)/(3*s_t))*(st_b[[#This Row],[s(tb)]]+(s_t/4))</f>
        <v>5.6666666666666664E-2</v>
      </c>
      <c r="V57" s="3" cm="1">
        <f t="array" ref="V57">((2*ttotal9)/(3*s_t))*(st_b[[#This Row],[s(tb)]]+(s_t/4))</f>
        <v>5.0370370370370364E-2</v>
      </c>
      <c r="W57" s="3" cm="1">
        <f t="array" ref="W57">((2*ttotal10)/(3*s_t))*(st_b[[#This Row],[s(tb)]]+(s_t/4))</f>
        <v>4.5333333333333337E-2</v>
      </c>
      <c r="Y57" s="8">
        <v>2.7900000000000004E-3</v>
      </c>
      <c r="Z57" s="3" cm="1">
        <f t="array" ref="Z57">(-5*s_t/4)-Y57</f>
        <v>-6.5400000000000007E-3</v>
      </c>
      <c r="AA57" s="3">
        <f>(-INDEX(Overview[b],1)+SQRT(POWER(INDEX(Overview[b],1),2)-(4*INDEX(Overview[a],1)*st_c[[#This Row],[c]])))/(2*INDEX(Overview[a],1))</f>
        <v>0.8236165792623612</v>
      </c>
      <c r="AB57" s="3">
        <f>(-INDEX(Overview[b],2)+SQRT(POWER(INDEX(Overview[b],2),2)-(4*INDEX(Overview[a],2)*st_c[[#This Row],[c]])))/(2*INDEX(Overview[a],2))</f>
        <v>0.4118082896311806</v>
      </c>
      <c r="AC57" s="3">
        <f>(-INDEX(Overview[b],3)+SQRT(POWER(INDEX(Overview[b],3),2)-(4*INDEX(Overview[a],3)*st_c[[#This Row],[c]])))/(2*INDEX(Overview[a],3))</f>
        <v>0.27453885975412007</v>
      </c>
      <c r="AD57" s="3">
        <f>(-INDEX(Overview[b],4)+SQRT(POWER(INDEX(Overview[b],4),2)-(4*INDEX(Overview[a],4)*st_c[[#This Row],[c]])))/(2*INDEX(Overview[a],4))</f>
        <v>0.2059041448155903</v>
      </c>
      <c r="AE57" s="3">
        <f>(-INDEX(Overview[b],5)+SQRT(POWER(INDEX(Overview[b],5),2)-(4*INDEX(Overview[a],5)*st_c[[#This Row],[c]])))/(2*INDEX(Overview[a],5))</f>
        <v>0.16472331585247205</v>
      </c>
      <c r="AF57" s="3">
        <f>(-INDEX(Overview[b],6)+SQRT(POWER(INDEX(Overview[b],6),2)-(4*INDEX(Overview[a],6)*st_c[[#This Row],[c]])))/(2*INDEX(Overview[a],6))</f>
        <v>0.13726942987706003</v>
      </c>
      <c r="AG57" s="3">
        <f>(-INDEX(Overview[b],7)+SQRT(POWER(INDEX(Overview[b],7),2)-(4*INDEX(Overview[a],7)*st_c[[#This Row],[c]])))/(2*INDEX(Overview[a],7))</f>
        <v>0.11765951132319445</v>
      </c>
      <c r="AH57" s="3">
        <f>(-INDEX(Overview[b],8)+SQRT(POWER(INDEX(Overview[b],8),2)-(4*INDEX(Overview[a],8)*st_c[[#This Row],[c]])))/(2*INDEX(Overview[a],8))</f>
        <v>0.10295207240779515</v>
      </c>
      <c r="AI57" s="3">
        <f>(-INDEX(Overview[b],9)+SQRT(POWER(INDEX(Overview[b],9),2)-(4*INDEX(Overview[a],9)*st_c[[#This Row],[c]])))/(2*INDEX(Overview[a],9))</f>
        <v>9.1512953251373416E-2</v>
      </c>
      <c r="AJ57" s="19">
        <f>(-INDEX(Overview[b],10)+SQRT(POWER(INDEX(Overview[b],10),2)-(4*INDEX(Overview[a],10)*st_c[[#This Row],[c]])))/(2*INDEX(Overview[a],10))</f>
        <v>8.2361657926236023E-2</v>
      </c>
    </row>
    <row r="58" spans="1:36" x14ac:dyDescent="0.25">
      <c r="A58" s="2">
        <v>5.5000000000000003E-4</v>
      </c>
      <c r="B58" s="3" cm="1">
        <f t="array" ref="B58">SQRT((4*POWER(ttotal1,2)*st_a[[#This Row],[s(ta)]])/(9*s_t))</f>
        <v>0.2854496128592251</v>
      </c>
      <c r="C58" s="3" cm="1">
        <f t="array" ref="C58">SQRT((4*POWER(ttotal2,2)*st_a[[#This Row],[s(ta)]])/(9*s_t))</f>
        <v>0.14272480642961255</v>
      </c>
      <c r="D58" s="3" cm="1">
        <f t="array" ref="D58">SQRT((4*POWER(ttotal3,2)*st_a[[#This Row],[s(ta)]])/(9*s_t))</f>
        <v>9.5149870953075033E-2</v>
      </c>
      <c r="E58" s="3" cm="1">
        <f t="array" ref="E58">SQRT((4*POWER(ttotal4,2)*st_a[[#This Row],[s(ta)]])/(9*s_t))</f>
        <v>7.1362403214806275E-2</v>
      </c>
      <c r="F58" s="3" cm="1">
        <f t="array" ref="F58">SQRT((4*POWER(ttotal5,2)*st_a[[#This Row],[s(ta)]])/(9*s_t))</f>
        <v>5.7089922571845024E-2</v>
      </c>
      <c r="G58" s="3" cm="1">
        <f t="array" ref="G58">SQRT((4*POWER(ttotal6,2)*st_a[[#This Row],[s(ta)]])/(9*s_t))</f>
        <v>4.7574935476537517E-2</v>
      </c>
      <c r="H58" s="3" cm="1">
        <f t="array" ref="H58">SQRT((4*POWER(ttotal7,2)*st_a[[#This Row],[s(ta)]])/(9*s_t))</f>
        <v>4.0778516122746439E-2</v>
      </c>
      <c r="I58" s="3" cm="1">
        <f t="array" ref="I58">SQRT((4*POWER(ttotal8,2)*st_a[[#This Row],[s(ta)]])/(9*s_t))</f>
        <v>3.5681201607403137E-2</v>
      </c>
      <c r="J58" s="3" cm="1">
        <f t="array" ref="J58">SQRT((4*POWER(ttotal9,2)*st_a[[#This Row],[s(ta)]])/(9*s_t))</f>
        <v>3.1716623651025011E-2</v>
      </c>
      <c r="K58" s="3" cm="1">
        <f t="array" ref="K58">SQRT((4*POWER(ttotal10,2)*st_a[[#This Row],[s(ta)]])/(9*s_t))</f>
        <v>2.8544961285922512E-2</v>
      </c>
      <c r="M58" s="8">
        <v>1.3000000000000002E-3</v>
      </c>
      <c r="N58" s="3" cm="1">
        <f t="array" ref="N58">((2*ttotal1)/(3*s_t))*(st_b[[#This Row],[s(tb)]]+(s_t/4))</f>
        <v>0.45555555555555555</v>
      </c>
      <c r="O58" s="3" cm="1">
        <f t="array" ref="O58">((2*ttotal2)/(3*s_t))*(st_b[[#This Row],[s(tb)]]+(s_t/4))</f>
        <v>0.22777777777777777</v>
      </c>
      <c r="P58" s="3" cm="1">
        <f t="array" ref="P58">((2*ttotal3)/(3*s_t))*(st_b[[#This Row],[s(tb)]]+(s_t/4))</f>
        <v>0.15185185185185185</v>
      </c>
      <c r="Q58" s="3" cm="1">
        <f t="array" ref="Q58">((2*ttotal4)/(3*s_t))*(st_b[[#This Row],[s(tb)]]+(s_t/4))</f>
        <v>0.11388888888888889</v>
      </c>
      <c r="R58" s="3" cm="1">
        <f t="array" ref="R58">((2*ttotal5)/(3*s_t))*(st_b[[#This Row],[s(tb)]]+(s_t/4))</f>
        <v>9.1111111111111115E-2</v>
      </c>
      <c r="S58" s="3" cm="1">
        <f t="array" ref="S58">((2*ttotal6)/(3*s_t))*(st_b[[#This Row],[s(tb)]]+(s_t/4))</f>
        <v>7.5925925925925924E-2</v>
      </c>
      <c r="T58" s="3" cm="1">
        <f t="array" ref="T58">((2*ttotal7)/(3*s_t))*(st_b[[#This Row],[s(tb)]]+(s_t/4))</f>
        <v>6.507936507936507E-2</v>
      </c>
      <c r="U58" s="3" cm="1">
        <f t="array" ref="U58">((2*ttotal8)/(3*s_t))*(st_b[[#This Row],[s(tb)]]+(s_t/4))</f>
        <v>5.6944444444444443E-2</v>
      </c>
      <c r="V58" s="3" cm="1">
        <f t="array" ref="V58">((2*ttotal9)/(3*s_t))*(st_b[[#This Row],[s(tb)]]+(s_t/4))</f>
        <v>5.0617283950617278E-2</v>
      </c>
      <c r="W58" s="3" cm="1">
        <f t="array" ref="W58">((2*ttotal10)/(3*s_t))*(st_b[[#This Row],[s(tb)]]+(s_t/4))</f>
        <v>4.5555555555555557E-2</v>
      </c>
      <c r="Y58" s="8">
        <v>2.8000000000000004E-3</v>
      </c>
      <c r="Z58" s="3" cm="1">
        <f t="array" ref="Z58">(-5*s_t/4)-Y58</f>
        <v>-6.5500000000000003E-3</v>
      </c>
      <c r="AA58" s="3">
        <f>(-INDEX(Overview[b],1)+SQRT(POWER(INDEX(Overview[b],1),2)-(4*INDEX(Overview[a],1)*st_c[[#This Row],[c]])))/(2*INDEX(Overview[a],1))</f>
        <v>0.82786740683522642</v>
      </c>
      <c r="AB58" s="3">
        <f>(-INDEX(Overview[b],2)+SQRT(POWER(INDEX(Overview[b],2),2)-(4*INDEX(Overview[a],2)*st_c[[#This Row],[c]])))/(2*INDEX(Overview[a],2))</f>
        <v>0.41393370341761321</v>
      </c>
      <c r="AC58" s="3">
        <f>(-INDEX(Overview[b],3)+SQRT(POWER(INDEX(Overview[b],3),2)-(4*INDEX(Overview[a],3)*st_c[[#This Row],[c]])))/(2*INDEX(Overview[a],3))</f>
        <v>0.27595580227840838</v>
      </c>
      <c r="AD58" s="3">
        <f>(-INDEX(Overview[b],4)+SQRT(POWER(INDEX(Overview[b],4),2)-(4*INDEX(Overview[a],4)*st_c[[#This Row],[c]])))/(2*INDEX(Overview[a],4))</f>
        <v>0.2069668517088066</v>
      </c>
      <c r="AE58" s="3">
        <f>(-INDEX(Overview[b],5)+SQRT(POWER(INDEX(Overview[b],5),2)-(4*INDEX(Overview[a],5)*st_c[[#This Row],[c]])))/(2*INDEX(Overview[a],5))</f>
        <v>0.16557348136704506</v>
      </c>
      <c r="AF58" s="3">
        <f>(-INDEX(Overview[b],6)+SQRT(POWER(INDEX(Overview[b],6),2)-(4*INDEX(Overview[a],6)*st_c[[#This Row],[c]])))/(2*INDEX(Overview[a],6))</f>
        <v>0.13797790113920419</v>
      </c>
      <c r="AG58" s="3">
        <f>(-INDEX(Overview[b],7)+SQRT(POWER(INDEX(Overview[b],7),2)-(4*INDEX(Overview[a],7)*st_c[[#This Row],[c]])))/(2*INDEX(Overview[a],7))</f>
        <v>0.11826677240503232</v>
      </c>
      <c r="AH58" s="3">
        <f>(-INDEX(Overview[b],8)+SQRT(POWER(INDEX(Overview[b],8),2)-(4*INDEX(Overview[a],8)*st_c[[#This Row],[c]])))/(2*INDEX(Overview[a],8))</f>
        <v>0.1034834258544033</v>
      </c>
      <c r="AI58" s="3">
        <f>(-INDEX(Overview[b],9)+SQRT(POWER(INDEX(Overview[b],9),2)-(4*INDEX(Overview[a],9)*st_c[[#This Row],[c]])))/(2*INDEX(Overview[a],9))</f>
        <v>9.1985267426136191E-2</v>
      </c>
      <c r="AJ58" s="19">
        <f>(-INDEX(Overview[b],10)+SQRT(POWER(INDEX(Overview[b],10),2)-(4*INDEX(Overview[a],10)*st_c[[#This Row],[c]])))/(2*INDEX(Overview[a],10))</f>
        <v>8.2786740683522528E-2</v>
      </c>
    </row>
    <row r="59" spans="1:36" x14ac:dyDescent="0.25">
      <c r="A59" s="2">
        <v>5.6000000000000006E-4</v>
      </c>
      <c r="B59" s="3" cm="1">
        <f t="array" ref="B59">SQRT((4*POWER(ttotal1,2)*st_a[[#This Row],[s(ta)]])/(9*s_t))</f>
        <v>0.28803291992923824</v>
      </c>
      <c r="C59" s="3" cm="1">
        <f t="array" ref="C59">SQRT((4*POWER(ttotal2,2)*st_a[[#This Row],[s(ta)]])/(9*s_t))</f>
        <v>0.14401645996461912</v>
      </c>
      <c r="D59" s="3" cm="1">
        <f t="array" ref="D59">SQRT((4*POWER(ttotal3,2)*st_a[[#This Row],[s(ta)]])/(9*s_t))</f>
        <v>9.6010973309746075E-2</v>
      </c>
      <c r="E59" s="3" cm="1">
        <f t="array" ref="E59">SQRT((4*POWER(ttotal4,2)*st_a[[#This Row],[s(ta)]])/(9*s_t))</f>
        <v>7.200822998230956E-2</v>
      </c>
      <c r="F59" s="3" cm="1">
        <f t="array" ref="F59">SQRT((4*POWER(ttotal5,2)*st_a[[#This Row],[s(ta)]])/(9*s_t))</f>
        <v>5.7606583985847649E-2</v>
      </c>
      <c r="G59" s="3" cm="1">
        <f t="array" ref="G59">SQRT((4*POWER(ttotal6,2)*st_a[[#This Row],[s(ta)]])/(9*s_t))</f>
        <v>4.8005486654873038E-2</v>
      </c>
      <c r="H59" s="3" cm="1">
        <f t="array" ref="H59">SQRT((4*POWER(ttotal7,2)*st_a[[#This Row],[s(ta)]])/(9*s_t))</f>
        <v>4.1147559989891176E-2</v>
      </c>
      <c r="I59" s="3" cm="1">
        <f t="array" ref="I59">SQRT((4*POWER(ttotal8,2)*st_a[[#This Row],[s(ta)]])/(9*s_t))</f>
        <v>3.600411499115478E-2</v>
      </c>
      <c r="J59" s="3" cm="1">
        <f t="array" ref="J59">SQRT((4*POWER(ttotal9,2)*st_a[[#This Row],[s(ta)]])/(9*s_t))</f>
        <v>3.2003657769915358E-2</v>
      </c>
      <c r="K59" s="3" cm="1">
        <f t="array" ref="K59">SQRT((4*POWER(ttotal10,2)*st_a[[#This Row],[s(ta)]])/(9*s_t))</f>
        <v>2.8803291992923825E-2</v>
      </c>
      <c r="M59" s="8">
        <v>1.3100000000000002E-3</v>
      </c>
      <c r="N59" s="3" cm="1">
        <f t="array" ref="N59">((2*ttotal1)/(3*s_t))*(st_b[[#This Row],[s(tb)]]+(s_t/4))</f>
        <v>0.45777777777777778</v>
      </c>
      <c r="O59" s="3" cm="1">
        <f t="array" ref="O59">((2*ttotal2)/(3*s_t))*(st_b[[#This Row],[s(tb)]]+(s_t/4))</f>
        <v>0.22888888888888889</v>
      </c>
      <c r="P59" s="3" cm="1">
        <f t="array" ref="P59">((2*ttotal3)/(3*s_t))*(st_b[[#This Row],[s(tb)]]+(s_t/4))</f>
        <v>0.15259259259259259</v>
      </c>
      <c r="Q59" s="3" cm="1">
        <f t="array" ref="Q59">((2*ttotal4)/(3*s_t))*(st_b[[#This Row],[s(tb)]]+(s_t/4))</f>
        <v>0.11444444444444445</v>
      </c>
      <c r="R59" s="3" cm="1">
        <f t="array" ref="R59">((2*ttotal5)/(3*s_t))*(st_b[[#This Row],[s(tb)]]+(s_t/4))</f>
        <v>9.1555555555555557E-2</v>
      </c>
      <c r="S59" s="3" cm="1">
        <f t="array" ref="S59">((2*ttotal6)/(3*s_t))*(st_b[[#This Row],[s(tb)]]+(s_t/4))</f>
        <v>7.6296296296296293E-2</v>
      </c>
      <c r="T59" s="3" cm="1">
        <f t="array" ref="T59">((2*ttotal7)/(3*s_t))*(st_b[[#This Row],[s(tb)]]+(s_t/4))</f>
        <v>6.5396825396825384E-2</v>
      </c>
      <c r="U59" s="3" cm="1">
        <f t="array" ref="U59">((2*ttotal8)/(3*s_t))*(st_b[[#This Row],[s(tb)]]+(s_t/4))</f>
        <v>5.7222222222222223E-2</v>
      </c>
      <c r="V59" s="3" cm="1">
        <f t="array" ref="V59">((2*ttotal9)/(3*s_t))*(st_b[[#This Row],[s(tb)]]+(s_t/4))</f>
        <v>5.0864197530864193E-2</v>
      </c>
      <c r="W59" s="3" cm="1">
        <f t="array" ref="W59">((2*ttotal10)/(3*s_t))*(st_b[[#This Row],[s(tb)]]+(s_t/4))</f>
        <v>4.5777777777777778E-2</v>
      </c>
      <c r="Y59" s="8">
        <v>2.8100000000000004E-3</v>
      </c>
      <c r="Z59" s="3" cm="1">
        <f t="array" ref="Z59">(-5*s_t/4)-Y59</f>
        <v>-6.5599999999999999E-3</v>
      </c>
      <c r="AA59" s="3">
        <f>(-INDEX(Overview[b],1)+SQRT(POWER(INDEX(Overview[b],1),2)-(4*INDEX(Overview[a],1)*st_c[[#This Row],[c]])))/(2*INDEX(Overview[a],1))</f>
        <v>0.83222590143842778</v>
      </c>
      <c r="AB59" s="3">
        <f>(-INDEX(Overview[b],2)+SQRT(POWER(INDEX(Overview[b],2),2)-(4*INDEX(Overview[a],2)*st_c[[#This Row],[c]])))/(2*INDEX(Overview[a],2))</f>
        <v>0.41611295071921389</v>
      </c>
      <c r="AC59" s="3">
        <f>(-INDEX(Overview[b],3)+SQRT(POWER(INDEX(Overview[b],3),2)-(4*INDEX(Overview[a],3)*st_c[[#This Row],[c]])))/(2*INDEX(Overview[a],3))</f>
        <v>0.277408633812809</v>
      </c>
      <c r="AD59" s="3">
        <f>(-INDEX(Overview[b],4)+SQRT(POWER(INDEX(Overview[b],4),2)-(4*INDEX(Overview[a],4)*st_c[[#This Row],[c]])))/(2*INDEX(Overview[a],4))</f>
        <v>0.20805647535960695</v>
      </c>
      <c r="AE59" s="3">
        <f>(-INDEX(Overview[b],5)+SQRT(POWER(INDEX(Overview[b],5),2)-(4*INDEX(Overview[a],5)*st_c[[#This Row],[c]])))/(2*INDEX(Overview[a],5))</f>
        <v>0.1664451802876854</v>
      </c>
      <c r="AF59" s="3">
        <f>(-INDEX(Overview[b],6)+SQRT(POWER(INDEX(Overview[b],6),2)-(4*INDEX(Overview[a],6)*st_c[[#This Row],[c]])))/(2*INDEX(Overview[a],6))</f>
        <v>0.1387043169064045</v>
      </c>
      <c r="AG59" s="3">
        <f>(-INDEX(Overview[b],7)+SQRT(POWER(INDEX(Overview[b],7),2)-(4*INDEX(Overview[a],7)*st_c[[#This Row],[c]])))/(2*INDEX(Overview[a],7))</f>
        <v>0.11888941449120399</v>
      </c>
      <c r="AH59" s="3">
        <f>(-INDEX(Overview[b],8)+SQRT(POWER(INDEX(Overview[b],8),2)-(4*INDEX(Overview[a],8)*st_c[[#This Row],[c]])))/(2*INDEX(Overview[a],8))</f>
        <v>0.10402823767980347</v>
      </c>
      <c r="AI59" s="3">
        <f>(-INDEX(Overview[b],9)+SQRT(POWER(INDEX(Overview[b],9),2)-(4*INDEX(Overview[a],9)*st_c[[#This Row],[c]])))/(2*INDEX(Overview[a],9))</f>
        <v>9.2469544604269732E-2</v>
      </c>
      <c r="AJ59" s="19">
        <f>(-INDEX(Overview[b],10)+SQRT(POWER(INDEX(Overview[b],10),2)-(4*INDEX(Overview[a],10)*st_c[[#This Row],[c]])))/(2*INDEX(Overview[a],10))</f>
        <v>8.3222590143842701E-2</v>
      </c>
    </row>
    <row r="60" spans="1:36" x14ac:dyDescent="0.25">
      <c r="A60" s="2">
        <v>5.7000000000000009E-4</v>
      </c>
      <c r="B60" s="3" cm="1">
        <f t="array" ref="B60">SQRT((4*POWER(ttotal1,2)*st_a[[#This Row],[s(ta)]])/(9*s_t))</f>
        <v>0.29059326290271159</v>
      </c>
      <c r="C60" s="3" cm="1">
        <f t="array" ref="C60">SQRT((4*POWER(ttotal2,2)*st_a[[#This Row],[s(ta)]])/(9*s_t))</f>
        <v>0.1452966314513558</v>
      </c>
      <c r="D60" s="3" cm="1">
        <f t="array" ref="D60">SQRT((4*POWER(ttotal3,2)*st_a[[#This Row],[s(ta)]])/(9*s_t))</f>
        <v>9.686442096757053E-2</v>
      </c>
      <c r="E60" s="3" cm="1">
        <f t="array" ref="E60">SQRT((4*POWER(ttotal4,2)*st_a[[#This Row],[s(ta)]])/(9*s_t))</f>
        <v>7.2648315725677898E-2</v>
      </c>
      <c r="F60" s="3" cm="1">
        <f t="array" ref="F60">SQRT((4*POWER(ttotal5,2)*st_a[[#This Row],[s(ta)]])/(9*s_t))</f>
        <v>5.8118652580542322E-2</v>
      </c>
      <c r="G60" s="3" cm="1">
        <f t="array" ref="G60">SQRT((4*POWER(ttotal6,2)*st_a[[#This Row],[s(ta)]])/(9*s_t))</f>
        <v>4.8432210483785265E-2</v>
      </c>
      <c r="H60" s="3" cm="1">
        <f t="array" ref="H60">SQRT((4*POWER(ttotal7,2)*st_a[[#This Row],[s(ta)]])/(9*s_t))</f>
        <v>4.1513323271815943E-2</v>
      </c>
      <c r="I60" s="3" cm="1">
        <f t="array" ref="I60">SQRT((4*POWER(ttotal8,2)*st_a[[#This Row],[s(ta)]])/(9*s_t))</f>
        <v>3.6324157862838949E-2</v>
      </c>
      <c r="J60" s="3" cm="1">
        <f t="array" ref="J60">SQRT((4*POWER(ttotal9,2)*st_a[[#This Row],[s(ta)]])/(9*s_t))</f>
        <v>3.2288140322523508E-2</v>
      </c>
      <c r="K60" s="3" cm="1">
        <f t="array" ref="K60">SQRT((4*POWER(ttotal10,2)*st_a[[#This Row],[s(ta)]])/(9*s_t))</f>
        <v>2.9059326290271161E-2</v>
      </c>
      <c r="M60" s="8">
        <v>1.3200000000000002E-3</v>
      </c>
      <c r="N60" s="3" cm="1">
        <f t="array" ref="N60">((2*ttotal1)/(3*s_t))*(st_b[[#This Row],[s(tb)]]+(s_t/4))</f>
        <v>0.46</v>
      </c>
      <c r="O60" s="3" cm="1">
        <f t="array" ref="O60">((2*ttotal2)/(3*s_t))*(st_b[[#This Row],[s(tb)]]+(s_t/4))</f>
        <v>0.23</v>
      </c>
      <c r="P60" s="3" cm="1">
        <f t="array" ref="P60">((2*ttotal3)/(3*s_t))*(st_b[[#This Row],[s(tb)]]+(s_t/4))</f>
        <v>0.15333333333333332</v>
      </c>
      <c r="Q60" s="3" cm="1">
        <f t="array" ref="Q60">((2*ttotal4)/(3*s_t))*(st_b[[#This Row],[s(tb)]]+(s_t/4))</f>
        <v>0.115</v>
      </c>
      <c r="R60" s="3" cm="1">
        <f t="array" ref="R60">((2*ttotal5)/(3*s_t))*(st_b[[#This Row],[s(tb)]]+(s_t/4))</f>
        <v>9.2000000000000012E-2</v>
      </c>
      <c r="S60" s="3" cm="1">
        <f t="array" ref="S60">((2*ttotal6)/(3*s_t))*(st_b[[#This Row],[s(tb)]]+(s_t/4))</f>
        <v>7.6666666666666661E-2</v>
      </c>
      <c r="T60" s="3" cm="1">
        <f t="array" ref="T60">((2*ttotal7)/(3*s_t))*(st_b[[#This Row],[s(tb)]]+(s_t/4))</f>
        <v>6.5714285714285711E-2</v>
      </c>
      <c r="U60" s="3" cm="1">
        <f t="array" ref="U60">((2*ttotal8)/(3*s_t))*(st_b[[#This Row],[s(tb)]]+(s_t/4))</f>
        <v>5.7500000000000002E-2</v>
      </c>
      <c r="V60" s="3" cm="1">
        <f t="array" ref="V60">((2*ttotal9)/(3*s_t))*(st_b[[#This Row],[s(tb)]]+(s_t/4))</f>
        <v>5.1111111111111107E-2</v>
      </c>
      <c r="W60" s="3" cm="1">
        <f t="array" ref="W60">((2*ttotal10)/(3*s_t))*(st_b[[#This Row],[s(tb)]]+(s_t/4))</f>
        <v>4.6000000000000006E-2</v>
      </c>
      <c r="Y60" s="8">
        <v>2.82E-3</v>
      </c>
      <c r="Z60" s="3" cm="1">
        <f t="array" ref="Z60">(-5*s_t/4)-Y60</f>
        <v>-6.5699999999999995E-3</v>
      </c>
      <c r="AA60" s="3">
        <f>(-INDEX(Overview[b],1)+SQRT(POWER(INDEX(Overview[b],1),2)-(4*INDEX(Overview[a],1)*st_c[[#This Row],[c]])))/(2*INDEX(Overview[a],1))</f>
        <v>0.83670068381445473</v>
      </c>
      <c r="AB60" s="3">
        <f>(-INDEX(Overview[b],2)+SQRT(POWER(INDEX(Overview[b],2),2)-(4*INDEX(Overview[a],2)*st_c[[#This Row],[c]])))/(2*INDEX(Overview[a],2))</f>
        <v>0.41835034190722736</v>
      </c>
      <c r="AC60" s="3">
        <f>(-INDEX(Overview[b],3)+SQRT(POWER(INDEX(Overview[b],3),2)-(4*INDEX(Overview[a],3)*st_c[[#This Row],[c]])))/(2*INDEX(Overview[a],3))</f>
        <v>0.27890022793815128</v>
      </c>
      <c r="AD60" s="3">
        <f>(-INDEX(Overview[b],4)+SQRT(POWER(INDEX(Overview[b],4),2)-(4*INDEX(Overview[a],4)*st_c[[#This Row],[c]])))/(2*INDEX(Overview[a],4))</f>
        <v>0.20917517095361368</v>
      </c>
      <c r="AE60" s="3">
        <f>(-INDEX(Overview[b],5)+SQRT(POWER(INDEX(Overview[b],5),2)-(4*INDEX(Overview[a],5)*st_c[[#This Row],[c]])))/(2*INDEX(Overview[a],5))</f>
        <v>0.16734013676289078</v>
      </c>
      <c r="AF60" s="3">
        <f>(-INDEX(Overview[b],6)+SQRT(POWER(INDEX(Overview[b],6),2)-(4*INDEX(Overview[a],6)*st_c[[#This Row],[c]])))/(2*INDEX(Overview[a],6))</f>
        <v>0.13945011396907564</v>
      </c>
      <c r="AG60" s="3">
        <f>(-INDEX(Overview[b],7)+SQRT(POWER(INDEX(Overview[b],7),2)-(4*INDEX(Overview[a],7)*st_c[[#This Row],[c]])))/(2*INDEX(Overview[a],7))</f>
        <v>0.1195286691163507</v>
      </c>
      <c r="AH60" s="3">
        <f>(-INDEX(Overview[b],8)+SQRT(POWER(INDEX(Overview[b],8),2)-(4*INDEX(Overview[a],8)*st_c[[#This Row],[c]])))/(2*INDEX(Overview[a],8))</f>
        <v>0.10458758547680684</v>
      </c>
      <c r="AI60" s="3">
        <f>(-INDEX(Overview[b],9)+SQRT(POWER(INDEX(Overview[b],9),2)-(4*INDEX(Overview[a],9)*st_c[[#This Row],[c]])))/(2*INDEX(Overview[a],9))</f>
        <v>9.2966742646050482E-2</v>
      </c>
      <c r="AJ60" s="19">
        <f>(-INDEX(Overview[b],10)+SQRT(POWER(INDEX(Overview[b],10),2)-(4*INDEX(Overview[a],10)*st_c[[#This Row],[c]])))/(2*INDEX(Overview[a],10))</f>
        <v>8.3670068381445389E-2</v>
      </c>
    </row>
    <row r="61" spans="1:36" x14ac:dyDescent="0.25">
      <c r="A61" s="2">
        <v>5.8E-4</v>
      </c>
      <c r="B61" s="3" cm="1">
        <f t="array" ref="B61">SQRT((4*POWER(ttotal1,2)*st_a[[#This Row],[s(ta)]])/(9*s_t))</f>
        <v>0.29313124351717601</v>
      </c>
      <c r="C61" s="3" cm="1">
        <f t="array" ref="C61">SQRT((4*POWER(ttotal2,2)*st_a[[#This Row],[s(ta)]])/(9*s_t))</f>
        <v>0.14656562175858801</v>
      </c>
      <c r="D61" s="3" cm="1">
        <f t="array" ref="D61">SQRT((4*POWER(ttotal3,2)*st_a[[#This Row],[s(ta)]])/(9*s_t))</f>
        <v>9.7710414505725332E-2</v>
      </c>
      <c r="E61" s="3" cm="1">
        <f t="array" ref="E61">SQRT((4*POWER(ttotal4,2)*st_a[[#This Row],[s(ta)]])/(9*s_t))</f>
        <v>7.3282810879294003E-2</v>
      </c>
      <c r="F61" s="3" cm="1">
        <f t="array" ref="F61">SQRT((4*POWER(ttotal5,2)*st_a[[#This Row],[s(ta)]])/(9*s_t))</f>
        <v>5.8626248703435205E-2</v>
      </c>
      <c r="G61" s="3" cm="1">
        <f t="array" ref="G61">SQRT((4*POWER(ttotal6,2)*st_a[[#This Row],[s(ta)]])/(9*s_t))</f>
        <v>4.8855207252862666E-2</v>
      </c>
      <c r="H61" s="3" cm="1">
        <f t="array" ref="H61">SQRT((4*POWER(ttotal7,2)*st_a[[#This Row],[s(ta)]])/(9*s_t))</f>
        <v>4.1875891931025137E-2</v>
      </c>
      <c r="I61" s="3" cm="1">
        <f t="array" ref="I61">SQRT((4*POWER(ttotal8,2)*st_a[[#This Row],[s(ta)]])/(9*s_t))</f>
        <v>3.6641405439647001E-2</v>
      </c>
      <c r="J61" s="3" cm="1">
        <f t="array" ref="J61">SQRT((4*POWER(ttotal9,2)*st_a[[#This Row],[s(ta)]])/(9*s_t))</f>
        <v>3.2570138168575111E-2</v>
      </c>
      <c r="K61" s="3" cm="1">
        <f t="array" ref="K61">SQRT((4*POWER(ttotal10,2)*st_a[[#This Row],[s(ta)]])/(9*s_t))</f>
        <v>2.9313124351717602E-2</v>
      </c>
      <c r="M61" s="8">
        <v>1.33E-3</v>
      </c>
      <c r="N61" s="3" cm="1">
        <f t="array" ref="N61">((2*ttotal1)/(3*s_t))*(st_b[[#This Row],[s(tb)]]+(s_t/4))</f>
        <v>0.46222222222222226</v>
      </c>
      <c r="O61" s="3" cm="1">
        <f t="array" ref="O61">((2*ttotal2)/(3*s_t))*(st_b[[#This Row],[s(tb)]]+(s_t/4))</f>
        <v>0.23111111111111113</v>
      </c>
      <c r="P61" s="3" cm="1">
        <f t="array" ref="P61">((2*ttotal3)/(3*s_t))*(st_b[[#This Row],[s(tb)]]+(s_t/4))</f>
        <v>0.15407407407407406</v>
      </c>
      <c r="Q61" s="3" cm="1">
        <f t="array" ref="Q61">((2*ttotal4)/(3*s_t))*(st_b[[#This Row],[s(tb)]]+(s_t/4))</f>
        <v>0.11555555555555556</v>
      </c>
      <c r="R61" s="3" cm="1">
        <f t="array" ref="R61">((2*ttotal5)/(3*s_t))*(st_b[[#This Row],[s(tb)]]+(s_t/4))</f>
        <v>9.2444444444444454E-2</v>
      </c>
      <c r="S61" s="3" cm="1">
        <f t="array" ref="S61">((2*ttotal6)/(3*s_t))*(st_b[[#This Row],[s(tb)]]+(s_t/4))</f>
        <v>7.7037037037037029E-2</v>
      </c>
      <c r="T61" s="3" cm="1">
        <f t="array" ref="T61">((2*ttotal7)/(3*s_t))*(st_b[[#This Row],[s(tb)]]+(s_t/4))</f>
        <v>6.6031746031746025E-2</v>
      </c>
      <c r="U61" s="3" cm="1">
        <f t="array" ref="U61">((2*ttotal8)/(3*s_t))*(st_b[[#This Row],[s(tb)]]+(s_t/4))</f>
        <v>5.7777777777777782E-2</v>
      </c>
      <c r="V61" s="3" cm="1">
        <f t="array" ref="V61">((2*ttotal9)/(3*s_t))*(st_b[[#This Row],[s(tb)]]+(s_t/4))</f>
        <v>5.1358024691358022E-2</v>
      </c>
      <c r="W61" s="3" cm="1">
        <f t="array" ref="W61">((2*ttotal10)/(3*s_t))*(st_b[[#This Row],[s(tb)]]+(s_t/4))</f>
        <v>4.6222222222222227E-2</v>
      </c>
      <c r="Y61" s="8">
        <v>2.8300000000000001E-3</v>
      </c>
      <c r="Z61" s="3" cm="1">
        <f t="array" ref="Z61">(-5*s_t/4)-Y61</f>
        <v>-6.5799999999999999E-3</v>
      </c>
      <c r="AA61" s="3">
        <f>(-INDEX(Overview[b],1)+SQRT(POWER(INDEX(Overview[b],1),2)-(4*INDEX(Overview[a],1)*st_c[[#This Row],[c]])))/(2*INDEX(Overview[a],1))</f>
        <v>0.84130159047682596</v>
      </c>
      <c r="AB61" s="3">
        <f>(-INDEX(Overview[b],2)+SQRT(POWER(INDEX(Overview[b],2),2)-(4*INDEX(Overview[a],2)*st_c[[#This Row],[c]])))/(2*INDEX(Overview[a],2))</f>
        <v>0.42065079523841298</v>
      </c>
      <c r="AC61" s="3">
        <f>(-INDEX(Overview[b],3)+SQRT(POWER(INDEX(Overview[b],3),2)-(4*INDEX(Overview[a],3)*st_c[[#This Row],[c]])))/(2*INDEX(Overview[a],3))</f>
        <v>0.28043386349227489</v>
      </c>
      <c r="AD61" s="3">
        <f>(-INDEX(Overview[b],4)+SQRT(POWER(INDEX(Overview[b],4),2)-(4*INDEX(Overview[a],4)*st_c[[#This Row],[c]])))/(2*INDEX(Overview[a],4))</f>
        <v>0.21032539761920649</v>
      </c>
      <c r="AE61" s="3">
        <f>(-INDEX(Overview[b],5)+SQRT(POWER(INDEX(Overview[b],5),2)-(4*INDEX(Overview[a],5)*st_c[[#This Row],[c]])))/(2*INDEX(Overview[a],5))</f>
        <v>0.1682603180953649</v>
      </c>
      <c r="AF61" s="3">
        <f>(-INDEX(Overview[b],6)+SQRT(POWER(INDEX(Overview[b],6),2)-(4*INDEX(Overview[a],6)*st_c[[#This Row],[c]])))/(2*INDEX(Overview[a],6))</f>
        <v>0.14021693174613745</v>
      </c>
      <c r="AG61" s="3">
        <f>(-INDEX(Overview[b],7)+SQRT(POWER(INDEX(Overview[b],7),2)-(4*INDEX(Overview[a],7)*st_c[[#This Row],[c]])))/(2*INDEX(Overview[a],7))</f>
        <v>0.12018594149668933</v>
      </c>
      <c r="AH61" s="3">
        <f>(-INDEX(Overview[b],8)+SQRT(POWER(INDEX(Overview[b],8),2)-(4*INDEX(Overview[a],8)*st_c[[#This Row],[c]])))/(2*INDEX(Overview[a],8))</f>
        <v>0.10516269880960324</v>
      </c>
      <c r="AI61" s="3">
        <f>(-INDEX(Overview[b],9)+SQRT(POWER(INDEX(Overview[b],9),2)-(4*INDEX(Overview[a],9)*st_c[[#This Row],[c]])))/(2*INDEX(Overview[a],9))</f>
        <v>9.3477954497425048E-2</v>
      </c>
      <c r="AJ61" s="19">
        <f>(-INDEX(Overview[b],10)+SQRT(POWER(INDEX(Overview[b],10),2)-(4*INDEX(Overview[a],10)*st_c[[#This Row],[c]])))/(2*INDEX(Overview[a],10))</f>
        <v>8.4130159047682451E-2</v>
      </c>
    </row>
    <row r="62" spans="1:36" x14ac:dyDescent="0.25">
      <c r="A62" s="2">
        <v>5.9000000000000003E-4</v>
      </c>
      <c r="B62" s="3" cm="1">
        <f t="array" ref="B62">SQRT((4*POWER(ttotal1,2)*st_a[[#This Row],[s(ta)]])/(9*s_t))</f>
        <v>0.29564743768111268</v>
      </c>
      <c r="C62" s="3" cm="1">
        <f t="array" ref="C62">SQRT((4*POWER(ttotal2,2)*st_a[[#This Row],[s(ta)]])/(9*s_t))</f>
        <v>0.14782371884055634</v>
      </c>
      <c r="D62" s="3" cm="1">
        <f t="array" ref="D62">SQRT((4*POWER(ttotal3,2)*st_a[[#This Row],[s(ta)]])/(9*s_t))</f>
        <v>9.8549145893704226E-2</v>
      </c>
      <c r="E62" s="3" cm="1">
        <f t="array" ref="E62">SQRT((4*POWER(ttotal4,2)*st_a[[#This Row],[s(ta)]])/(9*s_t))</f>
        <v>7.391185942027817E-2</v>
      </c>
      <c r="F62" s="3" cm="1">
        <f t="array" ref="F62">SQRT((4*POWER(ttotal5,2)*st_a[[#This Row],[s(ta)]])/(9*s_t))</f>
        <v>5.912948753622254E-2</v>
      </c>
      <c r="G62" s="3" cm="1">
        <f t="array" ref="G62">SQRT((4*POWER(ttotal6,2)*st_a[[#This Row],[s(ta)]])/(9*s_t))</f>
        <v>4.9274572946852113E-2</v>
      </c>
      <c r="H62" s="3" cm="1">
        <f t="array" ref="H62">SQRT((4*POWER(ttotal7,2)*st_a[[#This Row],[s(ta)]])/(9*s_t))</f>
        <v>4.2235348240158954E-2</v>
      </c>
      <c r="I62" s="3" cm="1">
        <f t="array" ref="I62">SQRT((4*POWER(ttotal8,2)*st_a[[#This Row],[s(ta)]])/(9*s_t))</f>
        <v>3.6955929710139085E-2</v>
      </c>
      <c r="J62" s="3" cm="1">
        <f t="array" ref="J62">SQRT((4*POWER(ttotal9,2)*st_a[[#This Row],[s(ta)]])/(9*s_t))</f>
        <v>3.2849715297901413E-2</v>
      </c>
      <c r="K62" s="3" cm="1">
        <f t="array" ref="K62">SQRT((4*POWER(ttotal10,2)*st_a[[#This Row],[s(ta)]])/(9*s_t))</f>
        <v>2.956474376811127E-2</v>
      </c>
      <c r="M62" s="8">
        <v>1.34E-3</v>
      </c>
      <c r="N62" s="3" cm="1">
        <f t="array" ref="N62">((2*ttotal1)/(3*s_t))*(st_b[[#This Row],[s(tb)]]+(s_t/4))</f>
        <v>0.46444444444444438</v>
      </c>
      <c r="O62" s="3" cm="1">
        <f t="array" ref="O62">((2*ttotal2)/(3*s_t))*(st_b[[#This Row],[s(tb)]]+(s_t/4))</f>
        <v>0.23222222222222219</v>
      </c>
      <c r="P62" s="3" cm="1">
        <f t="array" ref="P62">((2*ttotal3)/(3*s_t))*(st_b[[#This Row],[s(tb)]]+(s_t/4))</f>
        <v>0.15481481481481477</v>
      </c>
      <c r="Q62" s="3" cm="1">
        <f t="array" ref="Q62">((2*ttotal4)/(3*s_t))*(st_b[[#This Row],[s(tb)]]+(s_t/4))</f>
        <v>0.1161111111111111</v>
      </c>
      <c r="R62" s="3" cm="1">
        <f t="array" ref="R62">((2*ttotal5)/(3*s_t))*(st_b[[#This Row],[s(tb)]]+(s_t/4))</f>
        <v>9.2888888888888882E-2</v>
      </c>
      <c r="S62" s="3" cm="1">
        <f t="array" ref="S62">((2*ttotal6)/(3*s_t))*(st_b[[#This Row],[s(tb)]]+(s_t/4))</f>
        <v>7.7407407407407383E-2</v>
      </c>
      <c r="T62" s="3" cm="1">
        <f t="array" ref="T62">((2*ttotal7)/(3*s_t))*(st_b[[#This Row],[s(tb)]]+(s_t/4))</f>
        <v>6.6349206349206324E-2</v>
      </c>
      <c r="U62" s="3" cm="1">
        <f t="array" ref="U62">((2*ttotal8)/(3*s_t))*(st_b[[#This Row],[s(tb)]]+(s_t/4))</f>
        <v>5.8055555555555548E-2</v>
      </c>
      <c r="V62" s="3" cm="1">
        <f t="array" ref="V62">((2*ttotal9)/(3*s_t))*(st_b[[#This Row],[s(tb)]]+(s_t/4))</f>
        <v>5.1604938271604929E-2</v>
      </c>
      <c r="W62" s="3" cm="1">
        <f t="array" ref="W62">((2*ttotal10)/(3*s_t))*(st_b[[#This Row],[s(tb)]]+(s_t/4))</f>
        <v>4.6444444444444441E-2</v>
      </c>
      <c r="Y62" s="8">
        <v>2.8400000000000001E-3</v>
      </c>
      <c r="Z62" s="3" cm="1">
        <f t="array" ref="Z62">(-5*s_t/4)-Y62</f>
        <v>-6.5900000000000004E-3</v>
      </c>
      <c r="AA62" s="3">
        <f>(-INDEX(Overview[b],1)+SQRT(POWER(INDEX(Overview[b],1),2)-(4*INDEX(Overview[a],1)*st_c[[#This Row],[c]])))/(2*INDEX(Overview[a],1))</f>
        <v>0.84603992821609997</v>
      </c>
      <c r="AB62" s="3">
        <f>(-INDEX(Overview[b],2)+SQRT(POWER(INDEX(Overview[b],2),2)-(4*INDEX(Overview[a],2)*st_c[[#This Row],[c]])))/(2*INDEX(Overview[a],2))</f>
        <v>0.42301996410804998</v>
      </c>
      <c r="AC62" s="3">
        <f>(-INDEX(Overview[b],3)+SQRT(POWER(INDEX(Overview[b],3),2)-(4*INDEX(Overview[a],3)*st_c[[#This Row],[c]])))/(2*INDEX(Overview[a],3))</f>
        <v>0.28201330940536634</v>
      </c>
      <c r="AD62" s="3">
        <f>(-INDEX(Overview[b],4)+SQRT(POWER(INDEX(Overview[b],4),2)-(4*INDEX(Overview[a],4)*st_c[[#This Row],[c]])))/(2*INDEX(Overview[a],4))</f>
        <v>0.21150998205402499</v>
      </c>
      <c r="AE62" s="3">
        <f>(-INDEX(Overview[b],5)+SQRT(POWER(INDEX(Overview[b],5),2)-(4*INDEX(Overview[a],5)*st_c[[#This Row],[c]])))/(2*INDEX(Overview[a],5))</f>
        <v>0.16920798564321982</v>
      </c>
      <c r="AF62" s="3">
        <f>(-INDEX(Overview[b],6)+SQRT(POWER(INDEX(Overview[b],6),2)-(4*INDEX(Overview[a],6)*st_c[[#This Row],[c]])))/(2*INDEX(Overview[a],6))</f>
        <v>0.14100665470268317</v>
      </c>
      <c r="AG62" s="3">
        <f>(-INDEX(Overview[b],7)+SQRT(POWER(INDEX(Overview[b],7),2)-(4*INDEX(Overview[a],7)*st_c[[#This Row],[c]])))/(2*INDEX(Overview[a],7))</f>
        <v>0.1208628468880143</v>
      </c>
      <c r="AH62" s="3">
        <f>(-INDEX(Overview[b],8)+SQRT(POWER(INDEX(Overview[b],8),2)-(4*INDEX(Overview[a],8)*st_c[[#This Row],[c]])))/(2*INDEX(Overview[a],8))</f>
        <v>0.1057549910270125</v>
      </c>
      <c r="AI62" s="3">
        <f>(-INDEX(Overview[b],9)+SQRT(POWER(INDEX(Overview[b],9),2)-(4*INDEX(Overview[a],9)*st_c[[#This Row],[c]])))/(2*INDEX(Overview[a],9))</f>
        <v>9.4004436468455521E-2</v>
      </c>
      <c r="AJ62" s="19">
        <f>(-INDEX(Overview[b],10)+SQRT(POWER(INDEX(Overview[b],10),2)-(4*INDEX(Overview[a],10)*st_c[[#This Row],[c]])))/(2*INDEX(Overview[a],10))</f>
        <v>8.4603992821609908E-2</v>
      </c>
    </row>
    <row r="63" spans="1:36" x14ac:dyDescent="0.25">
      <c r="A63" s="2">
        <v>6.0000000000000006E-4</v>
      </c>
      <c r="B63" s="3" cm="1">
        <f t="array" ref="B63">SQRT((4*POWER(ttotal1,2)*st_a[[#This Row],[s(ta)]])/(9*s_t))</f>
        <v>0.29814239699997197</v>
      </c>
      <c r="C63" s="3" cm="1">
        <f t="array" ref="C63">SQRT((4*POWER(ttotal2,2)*st_a[[#This Row],[s(ta)]])/(9*s_t))</f>
        <v>0.14907119849998599</v>
      </c>
      <c r="D63" s="3" cm="1">
        <f t="array" ref="D63">SQRT((4*POWER(ttotal3,2)*st_a[[#This Row],[s(ta)]])/(9*s_t))</f>
        <v>9.9380798999990652E-2</v>
      </c>
      <c r="E63" s="3" cm="1">
        <f t="array" ref="E63">SQRT((4*POWER(ttotal4,2)*st_a[[#This Row],[s(ta)]])/(9*s_t))</f>
        <v>7.4535599249992993E-2</v>
      </c>
      <c r="F63" s="3" cm="1">
        <f t="array" ref="F63">SQRT((4*POWER(ttotal5,2)*st_a[[#This Row],[s(ta)]])/(9*s_t))</f>
        <v>5.9628479399994404E-2</v>
      </c>
      <c r="G63" s="3" cm="1">
        <f t="array" ref="G63">SQRT((4*POWER(ttotal6,2)*st_a[[#This Row],[s(ta)]])/(9*s_t))</f>
        <v>4.9690399499995326E-2</v>
      </c>
      <c r="H63" s="3" cm="1">
        <f t="array" ref="H63">SQRT((4*POWER(ttotal7,2)*st_a[[#This Row],[s(ta)]])/(9*s_t))</f>
        <v>4.2591770999995997E-2</v>
      </c>
      <c r="I63" s="3" cm="1">
        <f t="array" ref="I63">SQRT((4*POWER(ttotal8,2)*st_a[[#This Row],[s(ta)]])/(9*s_t))</f>
        <v>3.7267799624996496E-2</v>
      </c>
      <c r="J63" s="3" cm="1">
        <f t="array" ref="J63">SQRT((4*POWER(ttotal9,2)*st_a[[#This Row],[s(ta)]])/(9*s_t))</f>
        <v>3.3126932999996882E-2</v>
      </c>
      <c r="K63" s="3" cm="1">
        <f t="array" ref="K63">SQRT((4*POWER(ttotal10,2)*st_a[[#This Row],[s(ta)]])/(9*s_t))</f>
        <v>2.9814239699997202E-2</v>
      </c>
      <c r="M63" s="8">
        <v>1.3500000000000001E-3</v>
      </c>
      <c r="N63" s="3" cm="1">
        <f t="array" ref="N63">((2*ttotal1)/(3*s_t))*(st_b[[#This Row],[s(tb)]]+(s_t/4))</f>
        <v>0.46666666666666667</v>
      </c>
      <c r="O63" s="3" cm="1">
        <f t="array" ref="O63">((2*ttotal2)/(3*s_t))*(st_b[[#This Row],[s(tb)]]+(s_t/4))</f>
        <v>0.23333333333333334</v>
      </c>
      <c r="P63" s="3" cm="1">
        <f t="array" ref="P63">((2*ttotal3)/(3*s_t))*(st_b[[#This Row],[s(tb)]]+(s_t/4))</f>
        <v>0.15555555555555556</v>
      </c>
      <c r="Q63" s="3" cm="1">
        <f t="array" ref="Q63">((2*ttotal4)/(3*s_t))*(st_b[[#This Row],[s(tb)]]+(s_t/4))</f>
        <v>0.11666666666666667</v>
      </c>
      <c r="R63" s="3" cm="1">
        <f t="array" ref="R63">((2*ttotal5)/(3*s_t))*(st_b[[#This Row],[s(tb)]]+(s_t/4))</f>
        <v>9.3333333333333338E-2</v>
      </c>
      <c r="S63" s="3" cm="1">
        <f t="array" ref="S63">((2*ttotal6)/(3*s_t))*(st_b[[#This Row],[s(tb)]]+(s_t/4))</f>
        <v>7.7777777777777779E-2</v>
      </c>
      <c r="T63" s="3" cm="1">
        <f t="array" ref="T63">((2*ttotal7)/(3*s_t))*(st_b[[#This Row],[s(tb)]]+(s_t/4))</f>
        <v>6.6666666666666666E-2</v>
      </c>
      <c r="U63" s="3" cm="1">
        <f t="array" ref="U63">((2*ttotal8)/(3*s_t))*(st_b[[#This Row],[s(tb)]]+(s_t/4))</f>
        <v>5.8333333333333334E-2</v>
      </c>
      <c r="V63" s="3" cm="1">
        <f t="array" ref="V63">((2*ttotal9)/(3*s_t))*(st_b[[#This Row],[s(tb)]]+(s_t/4))</f>
        <v>5.185185185185185E-2</v>
      </c>
      <c r="W63" s="3" cm="1">
        <f t="array" ref="W63">((2*ttotal10)/(3*s_t))*(st_b[[#This Row],[s(tb)]]+(s_t/4))</f>
        <v>4.6666666666666669E-2</v>
      </c>
      <c r="Y63" s="8">
        <v>2.8500000000000001E-3</v>
      </c>
      <c r="Z63" s="3" cm="1">
        <f t="array" ref="Z63">(-5*s_t/4)-Y63</f>
        <v>-6.6E-3</v>
      </c>
      <c r="AA63" s="3">
        <f>(-INDEX(Overview[b],1)+SQRT(POWER(INDEX(Overview[b],1),2)-(4*INDEX(Overview[a],1)*st_c[[#This Row],[c]])))/(2*INDEX(Overview[a],1))</f>
        <v>0.85092880150001415</v>
      </c>
      <c r="AB63" s="3">
        <f>(-INDEX(Overview[b],2)+SQRT(POWER(INDEX(Overview[b],2),2)-(4*INDEX(Overview[a],2)*st_c[[#This Row],[c]])))/(2*INDEX(Overview[a],2))</f>
        <v>0.42546440075000708</v>
      </c>
      <c r="AC63" s="3">
        <f>(-INDEX(Overview[b],3)+SQRT(POWER(INDEX(Overview[b],3),2)-(4*INDEX(Overview[a],3)*st_c[[#This Row],[c]])))/(2*INDEX(Overview[a],3))</f>
        <v>0.28364293383333766</v>
      </c>
      <c r="AD63" s="3">
        <f>(-INDEX(Overview[b],4)+SQRT(POWER(INDEX(Overview[b],4),2)-(4*INDEX(Overview[a],4)*st_c[[#This Row],[c]])))/(2*INDEX(Overview[a],4))</f>
        <v>0.21273220037500354</v>
      </c>
      <c r="AE63" s="3">
        <f>(-INDEX(Overview[b],5)+SQRT(POWER(INDEX(Overview[b],5),2)-(4*INDEX(Overview[a],5)*st_c[[#This Row],[c]])))/(2*INDEX(Overview[a],5))</f>
        <v>0.17018576030000263</v>
      </c>
      <c r="AF63" s="3">
        <f>(-INDEX(Overview[b],6)+SQRT(POWER(INDEX(Overview[b],6),2)-(4*INDEX(Overview[a],6)*st_c[[#This Row],[c]])))/(2*INDEX(Overview[a],6))</f>
        <v>0.14182146691666883</v>
      </c>
      <c r="AG63" s="3">
        <f>(-INDEX(Overview[b],7)+SQRT(POWER(INDEX(Overview[b],7),2)-(4*INDEX(Overview[a],7)*st_c[[#This Row],[c]])))/(2*INDEX(Overview[a],7))</f>
        <v>0.12156125735714488</v>
      </c>
      <c r="AH63" s="3">
        <f>(-INDEX(Overview[b],8)+SQRT(POWER(INDEX(Overview[b],8),2)-(4*INDEX(Overview[a],8)*st_c[[#This Row],[c]])))/(2*INDEX(Overview[a],8))</f>
        <v>0.10636610018750177</v>
      </c>
      <c r="AI63" s="3">
        <f>(-INDEX(Overview[b],9)+SQRT(POWER(INDEX(Overview[b],9),2)-(4*INDEX(Overview[a],9)*st_c[[#This Row],[c]])))/(2*INDEX(Overview[a],9))</f>
        <v>9.4547644611112619E-2</v>
      </c>
      <c r="AJ63" s="19">
        <f>(-INDEX(Overview[b],10)+SQRT(POWER(INDEX(Overview[b],10),2)-(4*INDEX(Overview[a],10)*st_c[[#This Row],[c]])))/(2*INDEX(Overview[a],10))</f>
        <v>8.5092880150001313E-2</v>
      </c>
    </row>
    <row r="64" spans="1:36" x14ac:dyDescent="0.25">
      <c r="A64" s="2">
        <v>6.1000000000000008E-4</v>
      </c>
      <c r="B64" s="3" cm="1">
        <f t="array" ref="B64">SQRT((4*POWER(ttotal1,2)*st_a[[#This Row],[s(ta)]])/(9*s_t))</f>
        <v>0.30061665018819295</v>
      </c>
      <c r="C64" s="3" cm="1">
        <f t="array" ref="C64">SQRT((4*POWER(ttotal2,2)*st_a[[#This Row],[s(ta)]])/(9*s_t))</f>
        <v>0.15030832509409647</v>
      </c>
      <c r="D64" s="3" cm="1">
        <f t="array" ref="D64">SQRT((4*POWER(ttotal3,2)*st_a[[#This Row],[s(ta)]])/(9*s_t))</f>
        <v>0.10020555006273099</v>
      </c>
      <c r="E64" s="3" cm="1">
        <f t="array" ref="E64">SQRT((4*POWER(ttotal4,2)*st_a[[#This Row],[s(ta)]])/(9*s_t))</f>
        <v>7.5154162547048237E-2</v>
      </c>
      <c r="F64" s="3" cm="1">
        <f t="array" ref="F64">SQRT((4*POWER(ttotal5,2)*st_a[[#This Row],[s(ta)]])/(9*s_t))</f>
        <v>6.0123330037638603E-2</v>
      </c>
      <c r="G64" s="3" cm="1">
        <f t="array" ref="G64">SQRT((4*POWER(ttotal6,2)*st_a[[#This Row],[s(ta)]])/(9*s_t))</f>
        <v>5.0102775031365496E-2</v>
      </c>
      <c r="H64" s="3" cm="1">
        <f t="array" ref="H64">SQRT((4*POWER(ttotal7,2)*st_a[[#This Row],[s(ta)]])/(9*s_t))</f>
        <v>4.2945235741170422E-2</v>
      </c>
      <c r="I64" s="3" cm="1">
        <f t="array" ref="I64">SQRT((4*POWER(ttotal8,2)*st_a[[#This Row],[s(ta)]])/(9*s_t))</f>
        <v>3.7577081273524118E-2</v>
      </c>
      <c r="J64" s="3" cm="1">
        <f t="array" ref="J64">SQRT((4*POWER(ttotal9,2)*st_a[[#This Row],[s(ta)]])/(9*s_t))</f>
        <v>3.3401850020910333E-2</v>
      </c>
      <c r="K64" s="3" cm="1">
        <f t="array" ref="K64">SQRT((4*POWER(ttotal10,2)*st_a[[#This Row],[s(ta)]])/(9*s_t))</f>
        <v>3.0061665018819302E-2</v>
      </c>
      <c r="M64" s="8">
        <v>1.3600000000000001E-3</v>
      </c>
      <c r="N64" s="3" cm="1">
        <f t="array" ref="N64">((2*ttotal1)/(3*s_t))*(st_b[[#This Row],[s(tb)]]+(s_t/4))</f>
        <v>0.4688888888888888</v>
      </c>
      <c r="O64" s="3" cm="1">
        <f t="array" ref="O64">((2*ttotal2)/(3*s_t))*(st_b[[#This Row],[s(tb)]]+(s_t/4))</f>
        <v>0.2344444444444444</v>
      </c>
      <c r="P64" s="3" cm="1">
        <f t="array" ref="P64">((2*ttotal3)/(3*s_t))*(st_b[[#This Row],[s(tb)]]+(s_t/4))</f>
        <v>0.15629629629629627</v>
      </c>
      <c r="Q64" s="3" cm="1">
        <f t="array" ref="Q64">((2*ttotal4)/(3*s_t))*(st_b[[#This Row],[s(tb)]]+(s_t/4))</f>
        <v>0.1172222222222222</v>
      </c>
      <c r="R64" s="3" cm="1">
        <f t="array" ref="R64">((2*ttotal5)/(3*s_t))*(st_b[[#This Row],[s(tb)]]+(s_t/4))</f>
        <v>9.3777777777777765E-2</v>
      </c>
      <c r="S64" s="3" cm="1">
        <f t="array" ref="S64">((2*ttotal6)/(3*s_t))*(st_b[[#This Row],[s(tb)]]+(s_t/4))</f>
        <v>7.8148148148148133E-2</v>
      </c>
      <c r="T64" s="3" cm="1">
        <f t="array" ref="T64">((2*ttotal7)/(3*s_t))*(st_b[[#This Row],[s(tb)]]+(s_t/4))</f>
        <v>6.6984126984126965E-2</v>
      </c>
      <c r="U64" s="3" cm="1">
        <f t="array" ref="U64">((2*ttotal8)/(3*s_t))*(st_b[[#This Row],[s(tb)]]+(s_t/4))</f>
        <v>5.86111111111111E-2</v>
      </c>
      <c r="V64" s="3" cm="1">
        <f t="array" ref="V64">((2*ttotal9)/(3*s_t))*(st_b[[#This Row],[s(tb)]]+(s_t/4))</f>
        <v>5.2098765432098758E-2</v>
      </c>
      <c r="W64" s="3" cm="1">
        <f t="array" ref="W64">((2*ttotal10)/(3*s_t))*(st_b[[#This Row],[s(tb)]]+(s_t/4))</f>
        <v>4.6888888888888883E-2</v>
      </c>
      <c r="Y64" s="8">
        <v>2.8600000000000001E-3</v>
      </c>
      <c r="Z64" s="3" cm="1">
        <f t="array" ref="Z64">(-5*s_t/4)-Y64</f>
        <v>-6.6099999999999996E-3</v>
      </c>
      <c r="AA64" s="3">
        <f>(-INDEX(Overview[b],1)+SQRT(POWER(INDEX(Overview[b],1),2)-(4*INDEX(Overview[a],1)*st_c[[#This Row],[c]])))/(2*INDEX(Overview[a],1))</f>
        <v>0.85598354003538102</v>
      </c>
      <c r="AB64" s="3">
        <f>(-INDEX(Overview[b],2)+SQRT(POWER(INDEX(Overview[b],2),2)-(4*INDEX(Overview[a],2)*st_c[[#This Row],[c]])))/(2*INDEX(Overview[a],2))</f>
        <v>0.42799177001769051</v>
      </c>
      <c r="AC64" s="3">
        <f>(-INDEX(Overview[b],3)+SQRT(POWER(INDEX(Overview[b],3),2)-(4*INDEX(Overview[a],3)*st_c[[#This Row],[c]])))/(2*INDEX(Overview[a],3))</f>
        <v>0.28532784667845984</v>
      </c>
      <c r="AD64" s="3">
        <f>(-INDEX(Overview[b],4)+SQRT(POWER(INDEX(Overview[b],4),2)-(4*INDEX(Overview[a],4)*st_c[[#This Row],[c]])))/(2*INDEX(Overview[a],4))</f>
        <v>0.21399588500884525</v>
      </c>
      <c r="AE64" s="3">
        <f>(-INDEX(Overview[b],5)+SQRT(POWER(INDEX(Overview[b],5),2)-(4*INDEX(Overview[a],5)*st_c[[#This Row],[c]])))/(2*INDEX(Overview[a],5))</f>
        <v>0.17119670800707598</v>
      </c>
      <c r="AF64" s="3">
        <f>(-INDEX(Overview[b],6)+SQRT(POWER(INDEX(Overview[b],6),2)-(4*INDEX(Overview[a],6)*st_c[[#This Row],[c]])))/(2*INDEX(Overview[a],6))</f>
        <v>0.14266392333922992</v>
      </c>
      <c r="AG64" s="3">
        <f>(-INDEX(Overview[b],7)+SQRT(POWER(INDEX(Overview[b],7),2)-(4*INDEX(Overview[a],7)*st_c[[#This Row],[c]])))/(2*INDEX(Overview[a],7))</f>
        <v>0.12228336286219726</v>
      </c>
      <c r="AH64" s="3">
        <f>(-INDEX(Overview[b],8)+SQRT(POWER(INDEX(Overview[b],8),2)-(4*INDEX(Overview[a],8)*st_c[[#This Row],[c]])))/(2*INDEX(Overview[a],8))</f>
        <v>0.10699794250442263</v>
      </c>
      <c r="AI64" s="3">
        <f>(-INDEX(Overview[b],9)+SQRT(POWER(INDEX(Overview[b],9),2)-(4*INDEX(Overview[a],9)*st_c[[#This Row],[c]])))/(2*INDEX(Overview[a],9))</f>
        <v>9.5109282226153391E-2</v>
      </c>
      <c r="AJ64" s="19">
        <f>(-INDEX(Overview[b],10)+SQRT(POWER(INDEX(Overview[b],10),2)-(4*INDEX(Overview[a],10)*st_c[[#This Row],[c]])))/(2*INDEX(Overview[a],10))</f>
        <v>8.5598354003537991E-2</v>
      </c>
    </row>
    <row r="65" spans="1:36" x14ac:dyDescent="0.25">
      <c r="A65" s="2">
        <v>6.2E-4</v>
      </c>
      <c r="B65" s="3" cm="1">
        <f t="array" ref="B65">SQRT((4*POWER(ttotal1,2)*st_a[[#This Row],[s(ta)]])/(9*s_t))</f>
        <v>0.30307070437746347</v>
      </c>
      <c r="C65" s="3" cm="1">
        <f t="array" ref="C65">SQRT((4*POWER(ttotal2,2)*st_a[[#This Row],[s(ta)]])/(9*s_t))</f>
        <v>0.15153535218873174</v>
      </c>
      <c r="D65" s="3" cm="1">
        <f t="array" ref="D65">SQRT((4*POWER(ttotal3,2)*st_a[[#This Row],[s(ta)]])/(9*s_t))</f>
        <v>0.10102356812582115</v>
      </c>
      <c r="E65" s="3" cm="1">
        <f t="array" ref="E65">SQRT((4*POWER(ttotal4,2)*st_a[[#This Row],[s(ta)]])/(9*s_t))</f>
        <v>7.5767676094365868E-2</v>
      </c>
      <c r="F65" s="3" cm="1">
        <f t="array" ref="F65">SQRT((4*POWER(ttotal5,2)*st_a[[#This Row],[s(ta)]])/(9*s_t))</f>
        <v>6.0614140875492703E-2</v>
      </c>
      <c r="G65" s="3" cm="1">
        <f t="array" ref="G65">SQRT((4*POWER(ttotal6,2)*st_a[[#This Row],[s(ta)]])/(9*s_t))</f>
        <v>5.0511784062910577E-2</v>
      </c>
      <c r="H65" s="3" cm="1">
        <f t="array" ref="H65">SQRT((4*POWER(ttotal7,2)*st_a[[#This Row],[s(ta)]])/(9*s_t))</f>
        <v>4.329581491106621E-2</v>
      </c>
      <c r="I65" s="3" cm="1">
        <f t="array" ref="I65">SQRT((4*POWER(ttotal8,2)*st_a[[#This Row],[s(ta)]])/(9*s_t))</f>
        <v>3.7883838047182934E-2</v>
      </c>
      <c r="J65" s="3" cm="1">
        <f t="array" ref="J65">SQRT((4*POWER(ttotal9,2)*st_a[[#This Row],[s(ta)]])/(9*s_t))</f>
        <v>3.3674522708607053E-2</v>
      </c>
      <c r="K65" s="3" cm="1">
        <f t="array" ref="K65">SQRT((4*POWER(ttotal10,2)*st_a[[#This Row],[s(ta)]])/(9*s_t))</f>
        <v>3.0307070437746352E-2</v>
      </c>
      <c r="M65" s="8">
        <v>1.3700000000000001E-3</v>
      </c>
      <c r="N65" s="3" cm="1">
        <f t="array" ref="N65">((2*ttotal1)/(3*s_t))*(st_b[[#This Row],[s(tb)]]+(s_t/4))</f>
        <v>0.47111111111111115</v>
      </c>
      <c r="O65" s="3" cm="1">
        <f t="array" ref="O65">((2*ttotal2)/(3*s_t))*(st_b[[#This Row],[s(tb)]]+(s_t/4))</f>
        <v>0.23555555555555557</v>
      </c>
      <c r="P65" s="3" cm="1">
        <f t="array" ref="P65">((2*ttotal3)/(3*s_t))*(st_b[[#This Row],[s(tb)]]+(s_t/4))</f>
        <v>0.15703703703703703</v>
      </c>
      <c r="Q65" s="3" cm="1">
        <f t="array" ref="Q65">((2*ttotal4)/(3*s_t))*(st_b[[#This Row],[s(tb)]]+(s_t/4))</f>
        <v>0.11777777777777779</v>
      </c>
      <c r="R65" s="3" cm="1">
        <f t="array" ref="R65">((2*ttotal5)/(3*s_t))*(st_b[[#This Row],[s(tb)]]+(s_t/4))</f>
        <v>9.4222222222222235E-2</v>
      </c>
      <c r="S65" s="3" cm="1">
        <f t="array" ref="S65">((2*ttotal6)/(3*s_t))*(st_b[[#This Row],[s(tb)]]+(s_t/4))</f>
        <v>7.8518518518518515E-2</v>
      </c>
      <c r="T65" s="3" cm="1">
        <f t="array" ref="T65">((2*ttotal7)/(3*s_t))*(st_b[[#This Row],[s(tb)]]+(s_t/4))</f>
        <v>6.7301587301587293E-2</v>
      </c>
      <c r="U65" s="3" cm="1">
        <f t="array" ref="U65">((2*ttotal8)/(3*s_t))*(st_b[[#This Row],[s(tb)]]+(s_t/4))</f>
        <v>5.8888888888888893E-2</v>
      </c>
      <c r="V65" s="3" cm="1">
        <f t="array" ref="V65">((2*ttotal9)/(3*s_t))*(st_b[[#This Row],[s(tb)]]+(s_t/4))</f>
        <v>5.2345679012345679E-2</v>
      </c>
      <c r="W65" s="3" cm="1">
        <f t="array" ref="W65">((2*ttotal10)/(3*s_t))*(st_b[[#This Row],[s(tb)]]+(s_t/4))</f>
        <v>4.7111111111111117E-2</v>
      </c>
      <c r="Y65" s="8">
        <v>2.8700000000000002E-3</v>
      </c>
      <c r="Z65" s="3" cm="1">
        <f t="array" ref="Z65">(-5*s_t/4)-Y65</f>
        <v>-6.62E-3</v>
      </c>
      <c r="AA65" s="3">
        <f>(-INDEX(Overview[b],1)+SQRT(POWER(INDEX(Overview[b],1),2)-(4*INDEX(Overview[a],1)*st_c[[#This Row],[c]])))/(2*INDEX(Overview[a],1))</f>
        <v>0.86122226670225788</v>
      </c>
      <c r="AB65" s="3">
        <f>(-INDEX(Overview[b],2)+SQRT(POWER(INDEX(Overview[b],2),2)-(4*INDEX(Overview[a],2)*st_c[[#This Row],[c]])))/(2*INDEX(Overview[a],2))</f>
        <v>0.43061113335112894</v>
      </c>
      <c r="AC65" s="3">
        <f>(-INDEX(Overview[b],3)+SQRT(POWER(INDEX(Overview[b],3),2)-(4*INDEX(Overview[a],3)*st_c[[#This Row],[c]])))/(2*INDEX(Overview[a],3))</f>
        <v>0.28707408890075237</v>
      </c>
      <c r="AD65" s="3">
        <f>(-INDEX(Overview[b],4)+SQRT(POWER(INDEX(Overview[b],4),2)-(4*INDEX(Overview[a],4)*st_c[[#This Row],[c]])))/(2*INDEX(Overview[a],4))</f>
        <v>0.21530556667556447</v>
      </c>
      <c r="AE65" s="3">
        <f>(-INDEX(Overview[b],5)+SQRT(POWER(INDEX(Overview[b],5),2)-(4*INDEX(Overview[a],5)*st_c[[#This Row],[c]])))/(2*INDEX(Overview[a],5))</f>
        <v>0.17224445334045133</v>
      </c>
      <c r="AF65" s="3">
        <f>(-INDEX(Overview[b],6)+SQRT(POWER(INDEX(Overview[b],6),2)-(4*INDEX(Overview[a],6)*st_c[[#This Row],[c]])))/(2*INDEX(Overview[a],6))</f>
        <v>0.14353704445037618</v>
      </c>
      <c r="AG65" s="3">
        <f>(-INDEX(Overview[b],7)+SQRT(POWER(INDEX(Overview[b],7),2)-(4*INDEX(Overview[a],7)*st_c[[#This Row],[c]])))/(2*INDEX(Overview[a],7))</f>
        <v>0.12303175238603679</v>
      </c>
      <c r="AH65" s="3">
        <f>(-INDEX(Overview[b],8)+SQRT(POWER(INDEX(Overview[b],8),2)-(4*INDEX(Overview[a],8)*st_c[[#This Row],[c]])))/(2*INDEX(Overview[a],8))</f>
        <v>0.10765278333778223</v>
      </c>
      <c r="AI65" s="3">
        <f>(-INDEX(Overview[b],9)+SQRT(POWER(INDEX(Overview[b],9),2)-(4*INDEX(Overview[a],9)*st_c[[#This Row],[c]])))/(2*INDEX(Overview[a],9))</f>
        <v>9.5691362966917506E-2</v>
      </c>
      <c r="AJ65" s="19">
        <f>(-INDEX(Overview[b],10)+SQRT(POWER(INDEX(Overview[b],10),2)-(4*INDEX(Overview[a],10)*st_c[[#This Row],[c]])))/(2*INDEX(Overview[a],10))</f>
        <v>8.6122226670225663E-2</v>
      </c>
    </row>
    <row r="66" spans="1:36" x14ac:dyDescent="0.25">
      <c r="A66" s="2">
        <v>6.3000000000000003E-4</v>
      </c>
      <c r="B66" s="3" cm="1">
        <f t="array" ref="B66">SQRT((4*POWER(ttotal1,2)*st_a[[#This Row],[s(ta)]])/(9*s_t))</f>
        <v>0.30550504633038933</v>
      </c>
      <c r="C66" s="3" cm="1">
        <f t="array" ref="C66">SQRT((4*POWER(ttotal2,2)*st_a[[#This Row],[s(ta)]])/(9*s_t))</f>
        <v>0.15275252316519466</v>
      </c>
      <c r="D66" s="3" cm="1">
        <f t="array" ref="D66">SQRT((4*POWER(ttotal3,2)*st_a[[#This Row],[s(ta)]])/(9*s_t))</f>
        <v>0.10183501544346311</v>
      </c>
      <c r="E66" s="3" cm="1">
        <f t="array" ref="E66">SQRT((4*POWER(ttotal4,2)*st_a[[#This Row],[s(ta)]])/(9*s_t))</f>
        <v>7.6376261582597332E-2</v>
      </c>
      <c r="F66" s="3" cm="1">
        <f t="array" ref="F66">SQRT((4*POWER(ttotal5,2)*st_a[[#This Row],[s(ta)]])/(9*s_t))</f>
        <v>6.1101009266077873E-2</v>
      </c>
      <c r="G66" s="3" cm="1">
        <f t="array" ref="G66">SQRT((4*POWER(ttotal6,2)*st_a[[#This Row],[s(ta)]])/(9*s_t))</f>
        <v>5.0917507721731557E-2</v>
      </c>
      <c r="H66" s="3" cm="1">
        <f t="array" ref="H66">SQRT((4*POWER(ttotal7,2)*st_a[[#This Row],[s(ta)]])/(9*s_t))</f>
        <v>4.3643578047198477E-2</v>
      </c>
      <c r="I66" s="3" cm="1">
        <f t="array" ref="I66">SQRT((4*POWER(ttotal8,2)*st_a[[#This Row],[s(ta)]])/(9*s_t))</f>
        <v>3.8188130791298666E-2</v>
      </c>
      <c r="J66" s="3" cm="1">
        <f t="array" ref="J66">SQRT((4*POWER(ttotal9,2)*st_a[[#This Row],[s(ta)]])/(9*s_t))</f>
        <v>3.394500514782104E-2</v>
      </c>
      <c r="K66" s="3" cm="1">
        <f t="array" ref="K66">SQRT((4*POWER(ttotal10,2)*st_a[[#This Row],[s(ta)]])/(9*s_t))</f>
        <v>3.0550504633038936E-2</v>
      </c>
      <c r="M66" s="8">
        <v>1.3800000000000002E-3</v>
      </c>
      <c r="N66" s="3" cm="1">
        <f t="array" ref="N66">((2*ttotal1)/(3*s_t))*(st_b[[#This Row],[s(tb)]]+(s_t/4))</f>
        <v>0.47333333333333327</v>
      </c>
      <c r="O66" s="3" cm="1">
        <f t="array" ref="O66">((2*ttotal2)/(3*s_t))*(st_b[[#This Row],[s(tb)]]+(s_t/4))</f>
        <v>0.23666666666666664</v>
      </c>
      <c r="P66" s="3" cm="1">
        <f t="array" ref="P66">((2*ttotal3)/(3*s_t))*(st_b[[#This Row],[s(tb)]]+(s_t/4))</f>
        <v>0.15777777777777774</v>
      </c>
      <c r="Q66" s="3" cm="1">
        <f t="array" ref="Q66">((2*ttotal4)/(3*s_t))*(st_b[[#This Row],[s(tb)]]+(s_t/4))</f>
        <v>0.11833333333333332</v>
      </c>
      <c r="R66" s="3" cm="1">
        <f t="array" ref="R66">((2*ttotal5)/(3*s_t))*(st_b[[#This Row],[s(tb)]]+(s_t/4))</f>
        <v>9.4666666666666663E-2</v>
      </c>
      <c r="S66" s="3" cm="1">
        <f t="array" ref="S66">((2*ttotal6)/(3*s_t))*(st_b[[#This Row],[s(tb)]]+(s_t/4))</f>
        <v>7.888888888888887E-2</v>
      </c>
      <c r="T66" s="3" cm="1">
        <f t="array" ref="T66">((2*ttotal7)/(3*s_t))*(st_b[[#This Row],[s(tb)]]+(s_t/4))</f>
        <v>6.7619047619047606E-2</v>
      </c>
      <c r="U66" s="3" cm="1">
        <f t="array" ref="U66">((2*ttotal8)/(3*s_t))*(st_b[[#This Row],[s(tb)]]+(s_t/4))</f>
        <v>5.9166666666666659E-2</v>
      </c>
      <c r="V66" s="3" cm="1">
        <f t="array" ref="V66">((2*ttotal9)/(3*s_t))*(st_b[[#This Row],[s(tb)]]+(s_t/4))</f>
        <v>5.259259259259258E-2</v>
      </c>
      <c r="W66" s="3" cm="1">
        <f t="array" ref="W66">((2*ttotal10)/(3*s_t))*(st_b[[#This Row],[s(tb)]]+(s_t/4))</f>
        <v>4.7333333333333331E-2</v>
      </c>
      <c r="Y66" s="8">
        <v>2.8800000000000002E-3</v>
      </c>
      <c r="Z66" s="3" cm="1">
        <f t="array" ref="Z66">(-5*s_t/4)-Y66</f>
        <v>-6.6300000000000005E-3</v>
      </c>
      <c r="AA66" s="3">
        <f>(-INDEX(Overview[b],1)+SQRT(POWER(INDEX(Overview[b],1),2)-(4*INDEX(Overview[a],1)*st_c[[#This Row],[c]])))/(2*INDEX(Overview[a],1))</f>
        <v>0.86666666666666725</v>
      </c>
      <c r="AB66" s="3">
        <f>(-INDEX(Overview[b],2)+SQRT(POWER(INDEX(Overview[b],2),2)-(4*INDEX(Overview[a],2)*st_c[[#This Row],[c]])))/(2*INDEX(Overview[a],2))</f>
        <v>0.43333333333333363</v>
      </c>
      <c r="AC66" s="3">
        <f>(-INDEX(Overview[b],3)+SQRT(POWER(INDEX(Overview[b],3),2)-(4*INDEX(Overview[a],3)*st_c[[#This Row],[c]])))/(2*INDEX(Overview[a],3))</f>
        <v>0.2888888888888887</v>
      </c>
      <c r="AD66" s="3">
        <f>(-INDEX(Overview[b],4)+SQRT(POWER(INDEX(Overview[b],4),2)-(4*INDEX(Overview[a],4)*st_c[[#This Row],[c]])))/(2*INDEX(Overview[a],4))</f>
        <v>0.21666666666666681</v>
      </c>
      <c r="AE66" s="3">
        <f>(-INDEX(Overview[b],5)+SQRT(POWER(INDEX(Overview[b],5),2)-(4*INDEX(Overview[a],5)*st_c[[#This Row],[c]])))/(2*INDEX(Overview[a],5))</f>
        <v>0.1733333333333332</v>
      </c>
      <c r="AF66" s="3">
        <f>(-INDEX(Overview[b],6)+SQRT(POWER(INDEX(Overview[b],6),2)-(4*INDEX(Overview[a],6)*st_c[[#This Row],[c]])))/(2*INDEX(Overview[a],6))</f>
        <v>0.14444444444444435</v>
      </c>
      <c r="AG66" s="3">
        <f>(-INDEX(Overview[b],7)+SQRT(POWER(INDEX(Overview[b],7),2)-(4*INDEX(Overview[a],7)*st_c[[#This Row],[c]])))/(2*INDEX(Overview[a],7))</f>
        <v>0.12380952380952384</v>
      </c>
      <c r="AH66" s="3">
        <f>(-INDEX(Overview[b],8)+SQRT(POWER(INDEX(Overview[b],8),2)-(4*INDEX(Overview[a],8)*st_c[[#This Row],[c]])))/(2*INDEX(Overview[a],8))</f>
        <v>0.10833333333333341</v>
      </c>
      <c r="AI66" s="3">
        <f>(-INDEX(Overview[b],9)+SQRT(POWER(INDEX(Overview[b],9),2)-(4*INDEX(Overview[a],9)*st_c[[#This Row],[c]])))/(2*INDEX(Overview[a],9))</f>
        <v>9.629629629629631E-2</v>
      </c>
      <c r="AJ66" s="19">
        <f>(-INDEX(Overview[b],10)+SQRT(POWER(INDEX(Overview[b],10),2)-(4*INDEX(Overview[a],10)*st_c[[#This Row],[c]])))/(2*INDEX(Overview[a],10))</f>
        <v>8.66666666666666E-2</v>
      </c>
    </row>
    <row r="67" spans="1:36" x14ac:dyDescent="0.25">
      <c r="A67" s="2">
        <v>6.4000000000000005E-4</v>
      </c>
      <c r="B67" s="3" cm="1">
        <f t="array" ref="B67">SQRT((4*POWER(ttotal1,2)*st_a[[#This Row],[s(ta)]])/(9*s_t))</f>
        <v>0.3079201435678004</v>
      </c>
      <c r="C67" s="3" cm="1">
        <f t="array" ref="C67">SQRT((4*POWER(ttotal2,2)*st_a[[#This Row],[s(ta)]])/(9*s_t))</f>
        <v>0.1539600717839002</v>
      </c>
      <c r="D67" s="3" cm="1">
        <f t="array" ref="D67">SQRT((4*POWER(ttotal3,2)*st_a[[#This Row],[s(ta)]])/(9*s_t))</f>
        <v>0.10264004785593346</v>
      </c>
      <c r="E67" s="3" cm="1">
        <f t="array" ref="E67">SQRT((4*POWER(ttotal4,2)*st_a[[#This Row],[s(ta)]])/(9*s_t))</f>
        <v>7.6980035891950099E-2</v>
      </c>
      <c r="F67" s="3" cm="1">
        <f t="array" ref="F67">SQRT((4*POWER(ttotal5,2)*st_a[[#This Row],[s(ta)]])/(9*s_t))</f>
        <v>6.1584028713560092E-2</v>
      </c>
      <c r="G67" s="3" cm="1">
        <f t="array" ref="G67">SQRT((4*POWER(ttotal6,2)*st_a[[#This Row],[s(ta)]])/(9*s_t))</f>
        <v>5.1320023927966731E-2</v>
      </c>
      <c r="H67" s="3" cm="1">
        <f t="array" ref="H67">SQRT((4*POWER(ttotal7,2)*st_a[[#This Row],[s(ta)]])/(9*s_t))</f>
        <v>4.3988591938257202E-2</v>
      </c>
      <c r="I67" s="3" cm="1">
        <f t="array" ref="I67">SQRT((4*POWER(ttotal8,2)*st_a[[#This Row],[s(ta)]])/(9*s_t))</f>
        <v>3.849001794597505E-2</v>
      </c>
      <c r="J67" s="3" cm="1">
        <f t="array" ref="J67">SQRT((4*POWER(ttotal9,2)*st_a[[#This Row],[s(ta)]])/(9*s_t))</f>
        <v>3.4213349285311154E-2</v>
      </c>
      <c r="K67" s="3" cm="1">
        <f t="array" ref="K67">SQRT((4*POWER(ttotal10,2)*st_a[[#This Row],[s(ta)]])/(9*s_t))</f>
        <v>3.0792014356780046E-2</v>
      </c>
      <c r="M67" s="8">
        <v>1.3900000000000002E-3</v>
      </c>
      <c r="N67" s="3" cm="1">
        <f t="array" ref="N67">((2*ttotal1)/(3*s_t))*(st_b[[#This Row],[s(tb)]]+(s_t/4))</f>
        <v>0.47555555555555562</v>
      </c>
      <c r="O67" s="3" cm="1">
        <f t="array" ref="O67">((2*ttotal2)/(3*s_t))*(st_b[[#This Row],[s(tb)]]+(s_t/4))</f>
        <v>0.23777777777777781</v>
      </c>
      <c r="P67" s="3" cm="1">
        <f t="array" ref="P67">((2*ttotal3)/(3*s_t))*(st_b[[#This Row],[s(tb)]]+(s_t/4))</f>
        <v>0.15851851851851853</v>
      </c>
      <c r="Q67" s="3" cm="1">
        <f t="array" ref="Q67">((2*ttotal4)/(3*s_t))*(st_b[[#This Row],[s(tb)]]+(s_t/4))</f>
        <v>0.11888888888888891</v>
      </c>
      <c r="R67" s="3" cm="1">
        <f t="array" ref="R67">((2*ttotal5)/(3*s_t))*(st_b[[#This Row],[s(tb)]]+(s_t/4))</f>
        <v>9.5111111111111132E-2</v>
      </c>
      <c r="S67" s="3" cm="1">
        <f t="array" ref="S67">((2*ttotal6)/(3*s_t))*(st_b[[#This Row],[s(tb)]]+(s_t/4))</f>
        <v>7.9259259259259265E-2</v>
      </c>
      <c r="T67" s="3" cm="1">
        <f t="array" ref="T67">((2*ttotal7)/(3*s_t))*(st_b[[#This Row],[s(tb)]]+(s_t/4))</f>
        <v>6.7936507936507934E-2</v>
      </c>
      <c r="U67" s="3" cm="1">
        <f t="array" ref="U67">((2*ttotal8)/(3*s_t))*(st_b[[#This Row],[s(tb)]]+(s_t/4))</f>
        <v>5.9444444444444453E-2</v>
      </c>
      <c r="V67" s="3" cm="1">
        <f t="array" ref="V67">((2*ttotal9)/(3*s_t))*(st_b[[#This Row],[s(tb)]]+(s_t/4))</f>
        <v>5.2839506172839508E-2</v>
      </c>
      <c r="W67" s="3" cm="1">
        <f t="array" ref="W67">((2*ttotal10)/(3*s_t))*(st_b[[#This Row],[s(tb)]]+(s_t/4))</f>
        <v>4.7555555555555566E-2</v>
      </c>
      <c r="Y67" s="8">
        <v>2.8900000000000002E-3</v>
      </c>
      <c r="Z67" s="3" cm="1">
        <f t="array" ref="Z67">(-5*s_t/4)-Y67</f>
        <v>-6.6400000000000001E-3</v>
      </c>
      <c r="AA67" s="3">
        <f>(-INDEX(Overview[b],1)+SQRT(POWER(INDEX(Overview[b],1),2)-(4*INDEX(Overview[a],1)*st_c[[#This Row],[c]])))/(2*INDEX(Overview[a],1))</f>
        <v>0.87234305229915532</v>
      </c>
      <c r="AB67" s="3">
        <f>(-INDEX(Overview[b],2)+SQRT(POWER(INDEX(Overview[b],2),2)-(4*INDEX(Overview[a],2)*st_c[[#This Row],[c]])))/(2*INDEX(Overview[a],2))</f>
        <v>0.43617152614957766</v>
      </c>
      <c r="AC67" s="3">
        <f>(-INDEX(Overview[b],3)+SQRT(POWER(INDEX(Overview[b],3),2)-(4*INDEX(Overview[a],3)*st_c[[#This Row],[c]])))/(2*INDEX(Overview[a],3))</f>
        <v>0.29078101743305135</v>
      </c>
      <c r="AD67" s="3">
        <f>(-INDEX(Overview[b],4)+SQRT(POWER(INDEX(Overview[b],4),2)-(4*INDEX(Overview[a],4)*st_c[[#This Row],[c]])))/(2*INDEX(Overview[a],4))</f>
        <v>0.21808576307478883</v>
      </c>
      <c r="AE67" s="3">
        <f>(-INDEX(Overview[b],5)+SQRT(POWER(INDEX(Overview[b],5),2)-(4*INDEX(Overview[a],5)*st_c[[#This Row],[c]])))/(2*INDEX(Overview[a],5))</f>
        <v>0.17446861045983081</v>
      </c>
      <c r="AF67" s="3">
        <f>(-INDEX(Overview[b],6)+SQRT(POWER(INDEX(Overview[b],6),2)-(4*INDEX(Overview[a],6)*st_c[[#This Row],[c]])))/(2*INDEX(Overview[a],6))</f>
        <v>0.14539050871652567</v>
      </c>
      <c r="AG67" s="3">
        <f>(-INDEX(Overview[b],7)+SQRT(POWER(INDEX(Overview[b],7),2)-(4*INDEX(Overview[a],7)*st_c[[#This Row],[c]])))/(2*INDEX(Overview[a],7))</f>
        <v>0.12462043604273644</v>
      </c>
      <c r="AH67" s="3">
        <f>(-INDEX(Overview[b],8)+SQRT(POWER(INDEX(Overview[b],8),2)-(4*INDEX(Overview[a],8)*st_c[[#This Row],[c]])))/(2*INDEX(Overview[a],8))</f>
        <v>0.10904288153739441</v>
      </c>
      <c r="AI67" s="3">
        <f>(-INDEX(Overview[b],9)+SQRT(POWER(INDEX(Overview[b],9),2)-(4*INDEX(Overview[a],9)*st_c[[#This Row],[c]])))/(2*INDEX(Overview[a],9))</f>
        <v>9.6927005811017194E-2</v>
      </c>
      <c r="AJ67" s="19">
        <f>(-INDEX(Overview[b],10)+SQRT(POWER(INDEX(Overview[b],10),2)-(4*INDEX(Overview[a],10)*st_c[[#This Row],[c]])))/(2*INDEX(Overview[a],10))</f>
        <v>8.7234305229915404E-2</v>
      </c>
    </row>
    <row r="68" spans="1:36" x14ac:dyDescent="0.25">
      <c r="A68" s="2">
        <v>6.5000000000000008E-4</v>
      </c>
      <c r="B68" s="3" cm="1">
        <f t="array" ref="B68">SQRT((4*POWER(ttotal1,2)*st_a[[#This Row],[s(ta)]])/(9*s_t))</f>
        <v>0.31031644541708758</v>
      </c>
      <c r="C68" s="3" cm="1">
        <f t="array" ref="C68">SQRT((4*POWER(ttotal2,2)*st_a[[#This Row],[s(ta)]])/(9*s_t))</f>
        <v>0.15515822270854379</v>
      </c>
      <c r="D68" s="3" cm="1">
        <f t="array" ref="D68">SQRT((4*POWER(ttotal3,2)*st_a[[#This Row],[s(ta)]])/(9*s_t))</f>
        <v>0.10343881513902921</v>
      </c>
      <c r="E68" s="3" cm="1">
        <f t="array" ref="E68">SQRT((4*POWER(ttotal4,2)*st_a[[#This Row],[s(ta)]])/(9*s_t))</f>
        <v>7.7579111354271896E-2</v>
      </c>
      <c r="F68" s="3" cm="1">
        <f t="array" ref="F68">SQRT((4*POWER(ttotal5,2)*st_a[[#This Row],[s(ta)]])/(9*s_t))</f>
        <v>6.206328908341753E-2</v>
      </c>
      <c r="G68" s="3" cm="1">
        <f t="array" ref="G68">SQRT((4*POWER(ttotal6,2)*st_a[[#This Row],[s(ta)]])/(9*s_t))</f>
        <v>5.1719407569514604E-2</v>
      </c>
      <c r="H68" s="3" cm="1">
        <f t="array" ref="H68">SQRT((4*POWER(ttotal7,2)*st_a[[#This Row],[s(ta)]])/(9*s_t))</f>
        <v>4.4330920773869659E-2</v>
      </c>
      <c r="I68" s="3" cm="1">
        <f t="array" ref="I68">SQRT((4*POWER(ttotal8,2)*st_a[[#This Row],[s(ta)]])/(9*s_t))</f>
        <v>3.8789555677135948E-2</v>
      </c>
      <c r="J68" s="3" cm="1">
        <f t="array" ref="J68">SQRT((4*POWER(ttotal9,2)*st_a[[#This Row],[s(ta)]])/(9*s_t))</f>
        <v>3.4479605046343065E-2</v>
      </c>
      <c r="K68" s="3" cm="1">
        <f t="array" ref="K68">SQRT((4*POWER(ttotal10,2)*st_a[[#This Row],[s(ta)]])/(9*s_t))</f>
        <v>3.1031644541708765E-2</v>
      </c>
      <c r="M68" s="8">
        <v>1.4000000000000002E-3</v>
      </c>
      <c r="N68" s="3" cm="1">
        <f t="array" ref="N68">((2*ttotal1)/(3*s_t))*(st_b[[#This Row],[s(tb)]]+(s_t/4))</f>
        <v>0.47777777777777775</v>
      </c>
      <c r="O68" s="3" cm="1">
        <f t="array" ref="O68">((2*ttotal2)/(3*s_t))*(st_b[[#This Row],[s(tb)]]+(s_t/4))</f>
        <v>0.23888888888888887</v>
      </c>
      <c r="P68" s="3" cm="1">
        <f t="array" ref="P68">((2*ttotal3)/(3*s_t))*(st_b[[#This Row],[s(tb)]]+(s_t/4))</f>
        <v>0.15925925925925924</v>
      </c>
      <c r="Q68" s="3" cm="1">
        <f t="array" ref="Q68">((2*ttotal4)/(3*s_t))*(st_b[[#This Row],[s(tb)]]+(s_t/4))</f>
        <v>0.11944444444444444</v>
      </c>
      <c r="R68" s="3" cm="1">
        <f t="array" ref="R68">((2*ttotal5)/(3*s_t))*(st_b[[#This Row],[s(tb)]]+(s_t/4))</f>
        <v>9.5555555555555546E-2</v>
      </c>
      <c r="S68" s="3" cm="1">
        <f t="array" ref="S68">((2*ttotal6)/(3*s_t))*(st_b[[#This Row],[s(tb)]]+(s_t/4))</f>
        <v>7.962962962962962E-2</v>
      </c>
      <c r="T68" s="3" cm="1">
        <f t="array" ref="T68">((2*ttotal7)/(3*s_t))*(st_b[[#This Row],[s(tb)]]+(s_t/4))</f>
        <v>6.8253968253968247E-2</v>
      </c>
      <c r="U68" s="3" cm="1">
        <f t="array" ref="U68">((2*ttotal8)/(3*s_t))*(st_b[[#This Row],[s(tb)]]+(s_t/4))</f>
        <v>5.9722222222222218E-2</v>
      </c>
      <c r="V68" s="3" cm="1">
        <f t="array" ref="V68">((2*ttotal9)/(3*s_t))*(st_b[[#This Row],[s(tb)]]+(s_t/4))</f>
        <v>5.3086419753086408E-2</v>
      </c>
      <c r="W68" s="3" cm="1">
        <f t="array" ref="W68">((2*ttotal10)/(3*s_t))*(st_b[[#This Row],[s(tb)]]+(s_t/4))</f>
        <v>4.7777777777777773E-2</v>
      </c>
      <c r="Y68" s="8">
        <v>2.9000000000000002E-3</v>
      </c>
      <c r="Z68" s="3" cm="1">
        <f t="array" ref="Z68">(-5*s_t/4)-Y68</f>
        <v>-6.6499999999999997E-3</v>
      </c>
      <c r="AA68" s="3">
        <f>(-INDEX(Overview[b],1)+SQRT(POWER(INDEX(Overview[b],1),2)-(4*INDEX(Overview[a],1)*st_c[[#This Row],[c]])))/(2*INDEX(Overview[a],1))</f>
        <v>0.87828387610996339</v>
      </c>
      <c r="AB68" s="3">
        <f>(-INDEX(Overview[b],2)+SQRT(POWER(INDEX(Overview[b],2),2)-(4*INDEX(Overview[a],2)*st_c[[#This Row],[c]])))/(2*INDEX(Overview[a],2))</f>
        <v>0.4391419380549817</v>
      </c>
      <c r="AC68" s="3">
        <f>(-INDEX(Overview[b],3)+SQRT(POWER(INDEX(Overview[b],3),2)-(4*INDEX(Overview[a],3)*st_c[[#This Row],[c]])))/(2*INDEX(Overview[a],3))</f>
        <v>0.29276129203665396</v>
      </c>
      <c r="AD68" s="3">
        <f>(-INDEX(Overview[b],4)+SQRT(POWER(INDEX(Overview[b],4),2)-(4*INDEX(Overview[a],4)*st_c[[#This Row],[c]])))/(2*INDEX(Overview[a],4))</f>
        <v>0.21957096902749085</v>
      </c>
      <c r="AE68" s="3">
        <f>(-INDEX(Overview[b],5)+SQRT(POWER(INDEX(Overview[b],5),2)-(4*INDEX(Overview[a],5)*st_c[[#This Row],[c]])))/(2*INDEX(Overview[a],5))</f>
        <v>0.17565677522199238</v>
      </c>
      <c r="AF68" s="3">
        <f>(-INDEX(Overview[b],6)+SQRT(POWER(INDEX(Overview[b],6),2)-(4*INDEX(Overview[a],6)*st_c[[#This Row],[c]])))/(2*INDEX(Overview[a],6))</f>
        <v>0.14638064601832698</v>
      </c>
      <c r="AG68" s="3">
        <f>(-INDEX(Overview[b],7)+SQRT(POWER(INDEX(Overview[b],7),2)-(4*INDEX(Overview[a],7)*st_c[[#This Row],[c]])))/(2*INDEX(Overview[a],7))</f>
        <v>0.12546912515856615</v>
      </c>
      <c r="AH68" s="3">
        <f>(-INDEX(Overview[b],8)+SQRT(POWER(INDEX(Overview[b],8),2)-(4*INDEX(Overview[a],8)*st_c[[#This Row],[c]])))/(2*INDEX(Overview[a],8))</f>
        <v>0.10978548451374542</v>
      </c>
      <c r="AI68" s="3">
        <f>(-INDEX(Overview[b],9)+SQRT(POWER(INDEX(Overview[b],9),2)-(4*INDEX(Overview[a],9)*st_c[[#This Row],[c]])))/(2*INDEX(Overview[a],9))</f>
        <v>9.7587097345551377E-2</v>
      </c>
      <c r="AJ68" s="19">
        <f>(-INDEX(Overview[b],10)+SQRT(POWER(INDEX(Overview[b],10),2)-(4*INDEX(Overview[a],10)*st_c[[#This Row],[c]])))/(2*INDEX(Overview[a],10))</f>
        <v>8.7828387610996192E-2</v>
      </c>
    </row>
    <row r="69" spans="1:36" x14ac:dyDescent="0.25">
      <c r="A69" s="2">
        <v>6.600000000000001E-4</v>
      </c>
      <c r="B69" s="3" cm="1">
        <f t="array" ref="B69">SQRT((4*POWER(ttotal1,2)*st_a[[#This Row],[s(ta)]])/(9*s_t))</f>
        <v>0.31269438398822869</v>
      </c>
      <c r="C69" s="3" cm="1">
        <f t="array" ref="C69">SQRT((4*POWER(ttotal2,2)*st_a[[#This Row],[s(ta)]])/(9*s_t))</f>
        <v>0.15634719199411434</v>
      </c>
      <c r="D69" s="3" cm="1">
        <f t="array" ref="D69">SQRT((4*POWER(ttotal3,2)*st_a[[#This Row],[s(ta)]])/(9*s_t))</f>
        <v>0.10423146132940955</v>
      </c>
      <c r="E69" s="3" cm="1">
        <f t="array" ref="E69">SQRT((4*POWER(ttotal4,2)*st_a[[#This Row],[s(ta)]])/(9*s_t))</f>
        <v>7.8173595997057171E-2</v>
      </c>
      <c r="F69" s="3" cm="1">
        <f t="array" ref="F69">SQRT((4*POWER(ttotal5,2)*st_a[[#This Row],[s(ta)]])/(9*s_t))</f>
        <v>6.2538876797645734E-2</v>
      </c>
      <c r="G69" s="3" cm="1">
        <f t="array" ref="G69">SQRT((4*POWER(ttotal6,2)*st_a[[#This Row],[s(ta)]])/(9*s_t))</f>
        <v>5.2115730664704776E-2</v>
      </c>
      <c r="H69" s="3" cm="1">
        <f t="array" ref="H69">SQRT((4*POWER(ttotal7,2)*st_a[[#This Row],[s(ta)]])/(9*s_t))</f>
        <v>4.4670626284032663E-2</v>
      </c>
      <c r="I69" s="3" cm="1">
        <f t="array" ref="I69">SQRT((4*POWER(ttotal8,2)*st_a[[#This Row],[s(ta)]])/(9*s_t))</f>
        <v>3.9086797998528586E-2</v>
      </c>
      <c r="J69" s="3" cm="1">
        <f t="array" ref="J69">SQRT((4*POWER(ttotal9,2)*st_a[[#This Row],[s(ta)]])/(9*s_t))</f>
        <v>3.4743820443136515E-2</v>
      </c>
      <c r="K69" s="3" cm="1">
        <f t="array" ref="K69">SQRT((4*POWER(ttotal10,2)*st_a[[#This Row],[s(ta)]])/(9*s_t))</f>
        <v>3.1269438398822867E-2</v>
      </c>
      <c r="M69" s="8">
        <v>1.41E-3</v>
      </c>
      <c r="N69" s="3" cm="1">
        <f t="array" ref="N69">((2*ttotal1)/(3*s_t))*(st_b[[#This Row],[s(tb)]]+(s_t/4))</f>
        <v>0.48</v>
      </c>
      <c r="O69" s="3" cm="1">
        <f t="array" ref="O69">((2*ttotal2)/(3*s_t))*(st_b[[#This Row],[s(tb)]]+(s_t/4))</f>
        <v>0.24</v>
      </c>
      <c r="P69" s="3" cm="1">
        <f t="array" ref="P69">((2*ttotal3)/(3*s_t))*(st_b[[#This Row],[s(tb)]]+(s_t/4))</f>
        <v>0.15999999999999998</v>
      </c>
      <c r="Q69" s="3" cm="1">
        <f t="array" ref="Q69">((2*ttotal4)/(3*s_t))*(st_b[[#This Row],[s(tb)]]+(s_t/4))</f>
        <v>0.12</v>
      </c>
      <c r="R69" s="3" cm="1">
        <f t="array" ref="R69">((2*ttotal5)/(3*s_t))*(st_b[[#This Row],[s(tb)]]+(s_t/4))</f>
        <v>9.6000000000000002E-2</v>
      </c>
      <c r="S69" s="3" cm="1">
        <f t="array" ref="S69">((2*ttotal6)/(3*s_t))*(st_b[[#This Row],[s(tb)]]+(s_t/4))</f>
        <v>7.9999999999999988E-2</v>
      </c>
      <c r="T69" s="3" cm="1">
        <f t="array" ref="T69">((2*ttotal7)/(3*s_t))*(st_b[[#This Row],[s(tb)]]+(s_t/4))</f>
        <v>6.8571428571428561E-2</v>
      </c>
      <c r="U69" s="3" cm="1">
        <f t="array" ref="U69">((2*ttotal8)/(3*s_t))*(st_b[[#This Row],[s(tb)]]+(s_t/4))</f>
        <v>0.06</v>
      </c>
      <c r="V69" s="3" cm="1">
        <f t="array" ref="V69">((2*ttotal9)/(3*s_t))*(st_b[[#This Row],[s(tb)]]+(s_t/4))</f>
        <v>5.3333333333333323E-2</v>
      </c>
      <c r="W69" s="3" cm="1">
        <f t="array" ref="W69">((2*ttotal10)/(3*s_t))*(st_b[[#This Row],[s(tb)]]+(s_t/4))</f>
        <v>4.8000000000000001E-2</v>
      </c>
      <c r="Y69" s="8">
        <v>2.9100000000000003E-3</v>
      </c>
      <c r="Z69" s="3" cm="1">
        <f t="array" ref="Z69">(-5*s_t/4)-Y69</f>
        <v>-6.6600000000000001E-3</v>
      </c>
      <c r="AA69" s="3">
        <f>(-INDEX(Overview[b],1)+SQRT(POWER(INDEX(Overview[b],1),2)-(4*INDEX(Overview[a],1)*st_c[[#This Row],[c]])))/(2*INDEX(Overview[a],1))</f>
        <v>0.88452994616207514</v>
      </c>
      <c r="AB69" s="3">
        <f>(-INDEX(Overview[b],2)+SQRT(POWER(INDEX(Overview[b],2),2)-(4*INDEX(Overview[a],2)*st_c[[#This Row],[c]])))/(2*INDEX(Overview[a],2))</f>
        <v>0.44226497308103757</v>
      </c>
      <c r="AC69" s="3">
        <f>(-INDEX(Overview[b],3)+SQRT(POWER(INDEX(Overview[b],3),2)-(4*INDEX(Overview[a],3)*st_c[[#This Row],[c]])))/(2*INDEX(Overview[a],3))</f>
        <v>0.29484331538735792</v>
      </c>
      <c r="AD69" s="3">
        <f>(-INDEX(Overview[b],4)+SQRT(POWER(INDEX(Overview[b],4),2)-(4*INDEX(Overview[a],4)*st_c[[#This Row],[c]])))/(2*INDEX(Overview[a],4))</f>
        <v>0.22113248654051879</v>
      </c>
      <c r="AE69" s="3">
        <f>(-INDEX(Overview[b],5)+SQRT(POWER(INDEX(Overview[b],5),2)-(4*INDEX(Overview[a],5)*st_c[[#This Row],[c]])))/(2*INDEX(Overview[a],5))</f>
        <v>0.17690598923241468</v>
      </c>
      <c r="AF69" s="3">
        <f>(-INDEX(Overview[b],6)+SQRT(POWER(INDEX(Overview[b],6),2)-(4*INDEX(Overview[a],6)*st_c[[#This Row],[c]])))/(2*INDEX(Overview[a],6))</f>
        <v>0.14742165769367896</v>
      </c>
      <c r="AG69" s="3">
        <f>(-INDEX(Overview[b],7)+SQRT(POWER(INDEX(Overview[b],7),2)-(4*INDEX(Overview[a],7)*st_c[[#This Row],[c]])))/(2*INDEX(Overview[a],7))</f>
        <v>0.12636142088029645</v>
      </c>
      <c r="AH69" s="3">
        <f>(-INDEX(Overview[b],8)+SQRT(POWER(INDEX(Overview[b],8),2)-(4*INDEX(Overview[a],8)*st_c[[#This Row],[c]])))/(2*INDEX(Overview[a],8))</f>
        <v>0.11056624327025939</v>
      </c>
      <c r="AI69" s="3">
        <f>(-INDEX(Overview[b],9)+SQRT(POWER(INDEX(Overview[b],9),2)-(4*INDEX(Overview[a],9)*st_c[[#This Row],[c]])))/(2*INDEX(Overview[a],9))</f>
        <v>9.8281105129119417E-2</v>
      </c>
      <c r="AJ69" s="19">
        <f>(-INDEX(Overview[b],10)+SQRT(POWER(INDEX(Overview[b],10),2)-(4*INDEX(Overview[a],10)*st_c[[#This Row],[c]])))/(2*INDEX(Overview[a],10))</f>
        <v>8.8452994616207342E-2</v>
      </c>
    </row>
    <row r="70" spans="1:36" x14ac:dyDescent="0.25">
      <c r="A70" s="2">
        <v>6.7000000000000002E-4</v>
      </c>
      <c r="B70" s="3" cm="1">
        <f t="array" ref="B70">SQRT((4*POWER(ttotal1,2)*st_a[[#This Row],[s(ta)]])/(9*s_t))</f>
        <v>0.31505437508350725</v>
      </c>
      <c r="C70" s="3" cm="1">
        <f t="array" ref="C70">SQRT((4*POWER(ttotal2,2)*st_a[[#This Row],[s(ta)]])/(9*s_t))</f>
        <v>0.15752718754175363</v>
      </c>
      <c r="D70" s="3" cm="1">
        <f t="array" ref="D70">SQRT((4*POWER(ttotal3,2)*st_a[[#This Row],[s(ta)]])/(9*s_t))</f>
        <v>0.10501812502783575</v>
      </c>
      <c r="E70" s="3" cm="1">
        <f t="array" ref="E70">SQRT((4*POWER(ttotal4,2)*st_a[[#This Row],[s(ta)]])/(9*s_t))</f>
        <v>7.8763593770876814E-2</v>
      </c>
      <c r="F70" s="3" cm="1">
        <f t="array" ref="F70">SQRT((4*POWER(ttotal5,2)*st_a[[#This Row],[s(ta)]])/(9*s_t))</f>
        <v>6.3010875016701454E-2</v>
      </c>
      <c r="G70" s="3" cm="1">
        <f t="array" ref="G70">SQRT((4*POWER(ttotal6,2)*st_a[[#This Row],[s(ta)]])/(9*s_t))</f>
        <v>5.2509062513917876E-2</v>
      </c>
      <c r="H70" s="3" cm="1">
        <f t="array" ref="H70">SQRT((4*POWER(ttotal7,2)*st_a[[#This Row],[s(ta)]])/(9*s_t))</f>
        <v>4.5007767869072464E-2</v>
      </c>
      <c r="I70" s="3" cm="1">
        <f t="array" ref="I70">SQRT((4*POWER(ttotal8,2)*st_a[[#This Row],[s(ta)]])/(9*s_t))</f>
        <v>3.9381796885438407E-2</v>
      </c>
      <c r="J70" s="3" cm="1">
        <f t="array" ref="J70">SQRT((4*POWER(ttotal9,2)*st_a[[#This Row],[s(ta)]])/(9*s_t))</f>
        <v>3.5006041675945246E-2</v>
      </c>
      <c r="K70" s="3" cm="1">
        <f t="array" ref="K70">SQRT((4*POWER(ttotal10,2)*st_a[[#This Row],[s(ta)]])/(9*s_t))</f>
        <v>3.1505437508350727E-2</v>
      </c>
      <c r="M70" s="8">
        <v>1.42E-3</v>
      </c>
      <c r="N70" s="3" cm="1">
        <f t="array" ref="N70">((2*ttotal1)/(3*s_t))*(st_b[[#This Row],[s(tb)]]+(s_t/4))</f>
        <v>0.48222222222222216</v>
      </c>
      <c r="O70" s="3" cm="1">
        <f t="array" ref="O70">((2*ttotal2)/(3*s_t))*(st_b[[#This Row],[s(tb)]]+(s_t/4))</f>
        <v>0.24111111111111108</v>
      </c>
      <c r="P70" s="3" cm="1">
        <f t="array" ref="P70">((2*ttotal3)/(3*s_t))*(st_b[[#This Row],[s(tb)]]+(s_t/4))</f>
        <v>0.16074074074074071</v>
      </c>
      <c r="Q70" s="3" cm="1">
        <f t="array" ref="Q70">((2*ttotal4)/(3*s_t))*(st_b[[#This Row],[s(tb)]]+(s_t/4))</f>
        <v>0.12055555555555554</v>
      </c>
      <c r="R70" s="3" cm="1">
        <f t="array" ref="R70">((2*ttotal5)/(3*s_t))*(st_b[[#This Row],[s(tb)]]+(s_t/4))</f>
        <v>9.6444444444444444E-2</v>
      </c>
      <c r="S70" s="3" cm="1">
        <f t="array" ref="S70">((2*ttotal6)/(3*s_t))*(st_b[[#This Row],[s(tb)]]+(s_t/4))</f>
        <v>8.0370370370370356E-2</v>
      </c>
      <c r="T70" s="3" cm="1">
        <f t="array" ref="T70">((2*ttotal7)/(3*s_t))*(st_b[[#This Row],[s(tb)]]+(s_t/4))</f>
        <v>6.8888888888888875E-2</v>
      </c>
      <c r="U70" s="3" cm="1">
        <f t="array" ref="U70">((2*ttotal8)/(3*s_t))*(st_b[[#This Row],[s(tb)]]+(s_t/4))</f>
        <v>6.027777777777777E-2</v>
      </c>
      <c r="V70" s="3" cm="1">
        <f t="array" ref="V70">((2*ttotal9)/(3*s_t))*(st_b[[#This Row],[s(tb)]]+(s_t/4))</f>
        <v>5.3580246913580237E-2</v>
      </c>
      <c r="W70" s="3" cm="1">
        <f t="array" ref="W70">((2*ttotal10)/(3*s_t))*(st_b[[#This Row],[s(tb)]]+(s_t/4))</f>
        <v>4.8222222222222222E-2</v>
      </c>
      <c r="Y70" s="8">
        <v>2.9200000000000003E-3</v>
      </c>
      <c r="Z70" s="3" cm="1">
        <f t="array" ref="Z70">(-5*s_t/4)-Y70</f>
        <v>-6.6700000000000006E-3</v>
      </c>
      <c r="AA70" s="3">
        <f>(-INDEX(Overview[b],1)+SQRT(POWER(INDEX(Overview[b],1),2)-(4*INDEX(Overview[a],1)*st_c[[#This Row],[c]])))/(2*INDEX(Overview[a],1))</f>
        <v>0.89113378920963748</v>
      </c>
      <c r="AB70" s="3">
        <f>(-INDEX(Overview[b],2)+SQRT(POWER(INDEX(Overview[b],2),2)-(4*INDEX(Overview[a],2)*st_c[[#This Row],[c]])))/(2*INDEX(Overview[a],2))</f>
        <v>0.44556689460481874</v>
      </c>
      <c r="AC70" s="3">
        <f>(-INDEX(Overview[b],3)+SQRT(POWER(INDEX(Overview[b],3),2)-(4*INDEX(Overview[a],3)*st_c[[#This Row],[c]])))/(2*INDEX(Overview[a],3))</f>
        <v>0.2970445964032119</v>
      </c>
      <c r="AD70" s="3">
        <f>(-INDEX(Overview[b],4)+SQRT(POWER(INDEX(Overview[b],4),2)-(4*INDEX(Overview[a],4)*st_c[[#This Row],[c]])))/(2*INDEX(Overview[a],4))</f>
        <v>0.22278344730240937</v>
      </c>
      <c r="AE70" s="3">
        <f>(-INDEX(Overview[b],5)+SQRT(POWER(INDEX(Overview[b],5),2)-(4*INDEX(Overview[a],5)*st_c[[#This Row],[c]])))/(2*INDEX(Overview[a],5))</f>
        <v>0.17822675784192715</v>
      </c>
      <c r="AF70" s="3">
        <f>(-INDEX(Overview[b],6)+SQRT(POWER(INDEX(Overview[b],6),2)-(4*INDEX(Overview[a],6)*st_c[[#This Row],[c]])))/(2*INDEX(Overview[a],6))</f>
        <v>0.14852229820160595</v>
      </c>
      <c r="AG70" s="3">
        <f>(-INDEX(Overview[b],7)+SQRT(POWER(INDEX(Overview[b],7),2)-(4*INDEX(Overview[a],7)*st_c[[#This Row],[c]])))/(2*INDEX(Overview[a],7))</f>
        <v>0.12730482702994811</v>
      </c>
      <c r="AH70" s="3">
        <f>(-INDEX(Overview[b],8)+SQRT(POWER(INDEX(Overview[b],8),2)-(4*INDEX(Overview[a],8)*st_c[[#This Row],[c]])))/(2*INDEX(Overview[a],8))</f>
        <v>0.11139172365120469</v>
      </c>
      <c r="AI70" s="3">
        <f>(-INDEX(Overview[b],9)+SQRT(POWER(INDEX(Overview[b],9),2)-(4*INDEX(Overview[a],9)*st_c[[#This Row],[c]])))/(2*INDEX(Overview[a],9))</f>
        <v>9.9014865467737398E-2</v>
      </c>
      <c r="AJ70" s="19">
        <f>(-INDEX(Overview[b],10)+SQRT(POWER(INDEX(Overview[b],10),2)-(4*INDEX(Overview[a],10)*st_c[[#This Row],[c]])))/(2*INDEX(Overview[a],10))</f>
        <v>8.9113378920963576E-2</v>
      </c>
    </row>
    <row r="71" spans="1:36" x14ac:dyDescent="0.25">
      <c r="A71" s="2">
        <v>6.8000000000000005E-4</v>
      </c>
      <c r="B71" s="3" cm="1">
        <f t="array" ref="B71">SQRT((4*POWER(ttotal1,2)*st_a[[#This Row],[s(ta)]])/(9*s_t))</f>
        <v>0.31739681904634892</v>
      </c>
      <c r="C71" s="3" cm="1">
        <f t="array" ref="C71">SQRT((4*POWER(ttotal2,2)*st_a[[#This Row],[s(ta)]])/(9*s_t))</f>
        <v>0.15869840952317446</v>
      </c>
      <c r="D71" s="3" cm="1">
        <f t="array" ref="D71">SQRT((4*POWER(ttotal3,2)*st_a[[#This Row],[s(ta)]])/(9*s_t))</f>
        <v>0.1057989396821163</v>
      </c>
      <c r="E71" s="3" cm="1">
        <f t="array" ref="E71">SQRT((4*POWER(ttotal4,2)*st_a[[#This Row],[s(ta)]])/(9*s_t))</f>
        <v>7.934920476158723E-2</v>
      </c>
      <c r="F71" s="3" cm="1">
        <f t="array" ref="F71">SQRT((4*POWER(ttotal5,2)*st_a[[#This Row],[s(ta)]])/(9*s_t))</f>
        <v>6.3479363809269787E-2</v>
      </c>
      <c r="G71" s="3" cm="1">
        <f t="array" ref="G71">SQRT((4*POWER(ttotal6,2)*st_a[[#This Row],[s(ta)]])/(9*s_t))</f>
        <v>5.2899469841058151E-2</v>
      </c>
      <c r="H71" s="3" cm="1">
        <f t="array" ref="H71">SQRT((4*POWER(ttotal7,2)*st_a[[#This Row],[s(ta)]])/(9*s_t))</f>
        <v>4.5342402720906984E-2</v>
      </c>
      <c r="I71" s="3" cm="1">
        <f t="array" ref="I71">SQRT((4*POWER(ttotal8,2)*st_a[[#This Row],[s(ta)]])/(9*s_t))</f>
        <v>3.9674602380793615E-2</v>
      </c>
      <c r="J71" s="3" cm="1">
        <f t="array" ref="J71">SQRT((4*POWER(ttotal9,2)*st_a[[#This Row],[s(ta)]])/(9*s_t))</f>
        <v>3.5266313227372101E-2</v>
      </c>
      <c r="K71" s="3" cm="1">
        <f t="array" ref="K71">SQRT((4*POWER(ttotal10,2)*st_a[[#This Row],[s(ta)]])/(9*s_t))</f>
        <v>3.1739681904634894E-2</v>
      </c>
      <c r="M71" s="8">
        <v>1.4300000000000001E-3</v>
      </c>
      <c r="N71" s="3" cm="1">
        <f t="array" ref="N71">((2*ttotal1)/(3*s_t))*(st_b[[#This Row],[s(tb)]]+(s_t/4))</f>
        <v>0.4844444444444444</v>
      </c>
      <c r="O71" s="3" cm="1">
        <f t="array" ref="O71">((2*ttotal2)/(3*s_t))*(st_b[[#This Row],[s(tb)]]+(s_t/4))</f>
        <v>0.2422222222222222</v>
      </c>
      <c r="P71" s="3" cm="1">
        <f t="array" ref="P71">((2*ttotal3)/(3*s_t))*(st_b[[#This Row],[s(tb)]]+(s_t/4))</f>
        <v>0.16148148148148145</v>
      </c>
      <c r="Q71" s="3" cm="1">
        <f t="array" ref="Q71">((2*ttotal4)/(3*s_t))*(st_b[[#This Row],[s(tb)]]+(s_t/4))</f>
        <v>0.1211111111111111</v>
      </c>
      <c r="R71" s="3" cm="1">
        <f t="array" ref="R71">((2*ttotal5)/(3*s_t))*(st_b[[#This Row],[s(tb)]]+(s_t/4))</f>
        <v>9.6888888888888886E-2</v>
      </c>
      <c r="S71" s="3" cm="1">
        <f t="array" ref="S71">((2*ttotal6)/(3*s_t))*(st_b[[#This Row],[s(tb)]]+(s_t/4))</f>
        <v>8.0740740740740724E-2</v>
      </c>
      <c r="T71" s="3" cm="1">
        <f t="array" ref="T71">((2*ttotal7)/(3*s_t))*(st_b[[#This Row],[s(tb)]]+(s_t/4))</f>
        <v>6.9206349206349202E-2</v>
      </c>
      <c r="U71" s="3" cm="1">
        <f t="array" ref="U71">((2*ttotal8)/(3*s_t))*(st_b[[#This Row],[s(tb)]]+(s_t/4))</f>
        <v>6.055555555555555E-2</v>
      </c>
      <c r="V71" s="3" cm="1">
        <f t="array" ref="V71">((2*ttotal9)/(3*s_t))*(st_b[[#This Row],[s(tb)]]+(s_t/4))</f>
        <v>5.3827160493827152E-2</v>
      </c>
      <c r="W71" s="3" cm="1">
        <f t="array" ref="W71">((2*ttotal10)/(3*s_t))*(st_b[[#This Row],[s(tb)]]+(s_t/4))</f>
        <v>4.8444444444444443E-2</v>
      </c>
      <c r="Y71" s="8">
        <v>2.9300000000000003E-3</v>
      </c>
      <c r="Z71" s="3" cm="1">
        <f t="array" ref="Z71">(-5*s_t/4)-Y71</f>
        <v>-6.6800000000000002E-3</v>
      </c>
      <c r="AA71" s="3">
        <f>(-INDEX(Overview[b],1)+SQRT(POWER(INDEX(Overview[b],1),2)-(4*INDEX(Overview[a],1)*st_c[[#This Row],[c]])))/(2*INDEX(Overview[a],1))</f>
        <v>0.8981649845565377</v>
      </c>
      <c r="AB71" s="3">
        <f>(-INDEX(Overview[b],2)+SQRT(POWER(INDEX(Overview[b],2),2)-(4*INDEX(Overview[a],2)*st_c[[#This Row],[c]])))/(2*INDEX(Overview[a],2))</f>
        <v>0.44908249227826885</v>
      </c>
      <c r="AC71" s="3">
        <f>(-INDEX(Overview[b],3)+SQRT(POWER(INDEX(Overview[b],3),2)-(4*INDEX(Overview[a],3)*st_c[[#This Row],[c]])))/(2*INDEX(Overview[a],3))</f>
        <v>0.29938832818551186</v>
      </c>
      <c r="AD71" s="3">
        <f>(-INDEX(Overview[b],4)+SQRT(POWER(INDEX(Overview[b],4),2)-(4*INDEX(Overview[a],4)*st_c[[#This Row],[c]])))/(2*INDEX(Overview[a],4))</f>
        <v>0.22454124613913443</v>
      </c>
      <c r="AE71" s="3">
        <f>(-INDEX(Overview[b],5)+SQRT(POWER(INDEX(Overview[b],5),2)-(4*INDEX(Overview[a],5)*st_c[[#This Row],[c]])))/(2*INDEX(Overview[a],5))</f>
        <v>0.17963299691130716</v>
      </c>
      <c r="AF71" s="3">
        <f>(-INDEX(Overview[b],6)+SQRT(POWER(INDEX(Overview[b],6),2)-(4*INDEX(Overview[a],6)*st_c[[#This Row],[c]])))/(2*INDEX(Overview[a],6))</f>
        <v>0.14969416409275593</v>
      </c>
      <c r="AG71" s="3">
        <f>(-INDEX(Overview[b],7)+SQRT(POWER(INDEX(Overview[b],7),2)-(4*INDEX(Overview[a],7)*st_c[[#This Row],[c]])))/(2*INDEX(Overview[a],7))</f>
        <v>0.12830928350807669</v>
      </c>
      <c r="AH71" s="3">
        <f>(-INDEX(Overview[b],8)+SQRT(POWER(INDEX(Overview[b],8),2)-(4*INDEX(Overview[a],8)*st_c[[#This Row],[c]])))/(2*INDEX(Overview[a],8))</f>
        <v>0.11227062306956721</v>
      </c>
      <c r="AI71" s="3">
        <f>(-INDEX(Overview[b],9)+SQRT(POWER(INDEX(Overview[b],9),2)-(4*INDEX(Overview[a],9)*st_c[[#This Row],[c]])))/(2*INDEX(Overview[a],9))</f>
        <v>9.9796109395170765E-2</v>
      </c>
      <c r="AJ71" s="19">
        <f>(-INDEX(Overview[b],10)+SQRT(POWER(INDEX(Overview[b],10),2)-(4*INDEX(Overview[a],10)*st_c[[#This Row],[c]])))/(2*INDEX(Overview[a],10))</f>
        <v>8.9816498455653579E-2</v>
      </c>
    </row>
    <row r="72" spans="1:36" x14ac:dyDescent="0.25">
      <c r="A72" s="2">
        <v>6.9000000000000008E-4</v>
      </c>
      <c r="B72" s="3" cm="1">
        <f t="array" ref="B72">SQRT((4*POWER(ttotal1,2)*st_a[[#This Row],[s(ta)]])/(9*s_t))</f>
        <v>0.31972210155418129</v>
      </c>
      <c r="C72" s="3" cm="1">
        <f t="array" ref="C72">SQRT((4*POWER(ttotal2,2)*st_a[[#This Row],[s(ta)]])/(9*s_t))</f>
        <v>0.15986105077709065</v>
      </c>
      <c r="D72" s="3" cm="1">
        <f t="array" ref="D72">SQRT((4*POWER(ttotal3,2)*st_a[[#This Row],[s(ta)]])/(9*s_t))</f>
        <v>0.10657403385139377</v>
      </c>
      <c r="E72" s="3" cm="1">
        <f t="array" ref="E72">SQRT((4*POWER(ttotal4,2)*st_a[[#This Row],[s(ta)]])/(9*s_t))</f>
        <v>7.9930525388545323E-2</v>
      </c>
      <c r="F72" s="3" cm="1">
        <f t="array" ref="F72">SQRT((4*POWER(ttotal5,2)*st_a[[#This Row],[s(ta)]])/(9*s_t))</f>
        <v>6.3944420310836275E-2</v>
      </c>
      <c r="G72" s="3" cm="1">
        <f t="array" ref="G72">SQRT((4*POWER(ttotal6,2)*st_a[[#This Row],[s(ta)]])/(9*s_t))</f>
        <v>5.3287016925696887E-2</v>
      </c>
      <c r="H72" s="3" cm="1">
        <f t="array" ref="H72">SQRT((4*POWER(ttotal7,2)*st_a[[#This Row],[s(ta)]])/(9*s_t))</f>
        <v>4.5674585936311615E-2</v>
      </c>
      <c r="I72" s="3" cm="1">
        <f t="array" ref="I72">SQRT((4*POWER(ttotal8,2)*st_a[[#This Row],[s(ta)]])/(9*s_t))</f>
        <v>3.9965262694272662E-2</v>
      </c>
      <c r="J72" s="3" cm="1">
        <f t="array" ref="J72">SQRT((4*POWER(ttotal9,2)*st_a[[#This Row],[s(ta)]])/(9*s_t))</f>
        <v>3.5524677950464593E-2</v>
      </c>
      <c r="K72" s="3" cm="1">
        <f t="array" ref="K72">SQRT((4*POWER(ttotal10,2)*st_a[[#This Row],[s(ta)]])/(9*s_t))</f>
        <v>3.1972210155418138E-2</v>
      </c>
      <c r="M72" s="8">
        <v>1.4400000000000001E-3</v>
      </c>
      <c r="N72" s="3" cm="1">
        <f t="array" ref="N72">((2*ttotal1)/(3*s_t))*(st_b[[#This Row],[s(tb)]]+(s_t/4))</f>
        <v>0.48666666666666664</v>
      </c>
      <c r="O72" s="3" cm="1">
        <f t="array" ref="O72">((2*ttotal2)/(3*s_t))*(st_b[[#This Row],[s(tb)]]+(s_t/4))</f>
        <v>0.24333333333333332</v>
      </c>
      <c r="P72" s="3" cm="1">
        <f t="array" ref="P72">((2*ttotal3)/(3*s_t))*(st_b[[#This Row],[s(tb)]]+(s_t/4))</f>
        <v>0.16222222222222221</v>
      </c>
      <c r="Q72" s="3" cm="1">
        <f t="array" ref="Q72">((2*ttotal4)/(3*s_t))*(st_b[[#This Row],[s(tb)]]+(s_t/4))</f>
        <v>0.12166666666666666</v>
      </c>
      <c r="R72" s="3" cm="1">
        <f t="array" ref="R72">((2*ttotal5)/(3*s_t))*(st_b[[#This Row],[s(tb)]]+(s_t/4))</f>
        <v>9.7333333333333341E-2</v>
      </c>
      <c r="S72" s="3" cm="1">
        <f t="array" ref="S72">((2*ttotal6)/(3*s_t))*(st_b[[#This Row],[s(tb)]]+(s_t/4))</f>
        <v>8.1111111111111106E-2</v>
      </c>
      <c r="T72" s="3" cm="1">
        <f t="array" ref="T72">((2*ttotal7)/(3*s_t))*(st_b[[#This Row],[s(tb)]]+(s_t/4))</f>
        <v>6.9523809523809516E-2</v>
      </c>
      <c r="U72" s="3" cm="1">
        <f t="array" ref="U72">((2*ttotal8)/(3*s_t))*(st_b[[#This Row],[s(tb)]]+(s_t/4))</f>
        <v>6.083333333333333E-2</v>
      </c>
      <c r="V72" s="3" cm="1">
        <f t="array" ref="V72">((2*ttotal9)/(3*s_t))*(st_b[[#This Row],[s(tb)]]+(s_t/4))</f>
        <v>5.4074074074074066E-2</v>
      </c>
      <c r="W72" s="3" cm="1">
        <f t="array" ref="W72">((2*ttotal10)/(3*s_t))*(st_b[[#This Row],[s(tb)]]+(s_t/4))</f>
        <v>4.8666666666666671E-2</v>
      </c>
      <c r="Y72" s="8">
        <v>2.9400000000000003E-3</v>
      </c>
      <c r="Z72" s="3" cm="1">
        <f t="array" ref="Z72">(-5*s_t/4)-Y72</f>
        <v>-6.6899999999999998E-3</v>
      </c>
      <c r="AA72" s="3">
        <f>(-INDEX(Overview[b],1)+SQRT(POWER(INDEX(Overview[b],1),2)-(4*INDEX(Overview[a],1)*st_c[[#This Row],[c]])))/(2*INDEX(Overview[a],1))</f>
        <v>0.90571909584179366</v>
      </c>
      <c r="AB72" s="3">
        <f>(-INDEX(Overview[b],2)+SQRT(POWER(INDEX(Overview[b],2),2)-(4*INDEX(Overview[a],2)*st_c[[#This Row],[c]])))/(2*INDEX(Overview[a],2))</f>
        <v>0.45285954792089683</v>
      </c>
      <c r="AC72" s="3">
        <f>(-INDEX(Overview[b],3)+SQRT(POWER(INDEX(Overview[b],3),2)-(4*INDEX(Overview[a],3)*st_c[[#This Row],[c]])))/(2*INDEX(Overview[a],3))</f>
        <v>0.30190636528059728</v>
      </c>
      <c r="AD72" s="3">
        <f>(-INDEX(Overview[b],4)+SQRT(POWER(INDEX(Overview[b],4),2)-(4*INDEX(Overview[a],4)*st_c[[#This Row],[c]])))/(2*INDEX(Overview[a],4))</f>
        <v>0.22642977396044842</v>
      </c>
      <c r="AE72" s="3">
        <f>(-INDEX(Overview[b],5)+SQRT(POWER(INDEX(Overview[b],5),2)-(4*INDEX(Overview[a],5)*st_c[[#This Row],[c]])))/(2*INDEX(Overview[a],5))</f>
        <v>0.18114381916835845</v>
      </c>
      <c r="AF72" s="3">
        <f>(-INDEX(Overview[b],6)+SQRT(POWER(INDEX(Overview[b],6),2)-(4*INDEX(Overview[a],6)*st_c[[#This Row],[c]])))/(2*INDEX(Overview[a],6))</f>
        <v>0.15095318264029864</v>
      </c>
      <c r="AG72" s="3">
        <f>(-INDEX(Overview[b],7)+SQRT(POWER(INDEX(Overview[b],7),2)-(4*INDEX(Overview[a],7)*st_c[[#This Row],[c]])))/(2*INDEX(Overview[a],7))</f>
        <v>0.12938844226311333</v>
      </c>
      <c r="AH72" s="3">
        <f>(-INDEX(Overview[b],8)+SQRT(POWER(INDEX(Overview[b],8),2)-(4*INDEX(Overview[a],8)*st_c[[#This Row],[c]])))/(2*INDEX(Overview[a],8))</f>
        <v>0.11321488698022421</v>
      </c>
      <c r="AI72" s="3">
        <f>(-INDEX(Overview[b],9)+SQRT(POWER(INDEX(Overview[b],9),2)-(4*INDEX(Overview[a],9)*st_c[[#This Row],[c]])))/(2*INDEX(Overview[a],9))</f>
        <v>0.10063545509353258</v>
      </c>
      <c r="AJ72" s="19">
        <f>(-INDEX(Overview[b],10)+SQRT(POWER(INDEX(Overview[b],10),2)-(4*INDEX(Overview[a],10)*st_c[[#This Row],[c]])))/(2*INDEX(Overview[a],10))</f>
        <v>9.0571909584179225E-2</v>
      </c>
    </row>
    <row r="73" spans="1:36" x14ac:dyDescent="0.25">
      <c r="A73" s="2">
        <v>7.000000000000001E-4</v>
      </c>
      <c r="B73" s="3" cm="1">
        <f t="array" ref="B73">SQRT((4*POWER(ttotal1,2)*st_a[[#This Row],[s(ta)]])/(9*s_t))</f>
        <v>0.32203059435976533</v>
      </c>
      <c r="C73" s="3" cm="1">
        <f t="array" ref="C73">SQRT((4*POWER(ttotal2,2)*st_a[[#This Row],[s(ta)]])/(9*s_t))</f>
        <v>0.16101529717988267</v>
      </c>
      <c r="D73" s="3" cm="1">
        <f t="array" ref="D73">SQRT((4*POWER(ttotal3,2)*st_a[[#This Row],[s(ta)]])/(9*s_t))</f>
        <v>0.10734353145325511</v>
      </c>
      <c r="E73" s="3" cm="1">
        <f t="array" ref="E73">SQRT((4*POWER(ttotal4,2)*st_a[[#This Row],[s(ta)]])/(9*s_t))</f>
        <v>8.0507648589941333E-2</v>
      </c>
      <c r="F73" s="3" cm="1">
        <f t="array" ref="F73">SQRT((4*POWER(ttotal5,2)*st_a[[#This Row],[s(ta)]])/(9*s_t))</f>
        <v>6.4406118871953077E-2</v>
      </c>
      <c r="G73" s="3" cm="1">
        <f t="array" ref="G73">SQRT((4*POWER(ttotal6,2)*st_a[[#This Row],[s(ta)]])/(9*s_t))</f>
        <v>5.3671765726627553E-2</v>
      </c>
      <c r="H73" s="3" cm="1">
        <f t="array" ref="H73">SQRT((4*POWER(ttotal7,2)*st_a[[#This Row],[s(ta)]])/(9*s_t))</f>
        <v>4.6004370622823615E-2</v>
      </c>
      <c r="I73" s="3" cm="1">
        <f t="array" ref="I73">SQRT((4*POWER(ttotal8,2)*st_a[[#This Row],[s(ta)]])/(9*s_t))</f>
        <v>4.0253824294970666E-2</v>
      </c>
      <c r="J73" s="3" cm="1">
        <f t="array" ref="J73">SQRT((4*POWER(ttotal9,2)*st_a[[#This Row],[s(ta)]])/(9*s_t))</f>
        <v>3.5781177151085038E-2</v>
      </c>
      <c r="K73" s="3" cm="1">
        <f t="array" ref="K73">SQRT((4*POWER(ttotal10,2)*st_a[[#This Row],[s(ta)]])/(9*s_t))</f>
        <v>3.2203059435976539E-2</v>
      </c>
      <c r="M73" s="8">
        <v>1.4500000000000001E-3</v>
      </c>
      <c r="N73" s="3" cm="1">
        <f t="array" ref="N73">((2*ttotal1)/(3*s_t))*(st_b[[#This Row],[s(tb)]]+(s_t/4))</f>
        <v>0.48888888888888887</v>
      </c>
      <c r="O73" s="3" cm="1">
        <f t="array" ref="O73">((2*ttotal2)/(3*s_t))*(st_b[[#This Row],[s(tb)]]+(s_t/4))</f>
        <v>0.24444444444444444</v>
      </c>
      <c r="P73" s="3" cm="1">
        <f t="array" ref="P73">((2*ttotal3)/(3*s_t))*(st_b[[#This Row],[s(tb)]]+(s_t/4))</f>
        <v>0.16296296296296295</v>
      </c>
      <c r="Q73" s="3" cm="1">
        <f t="array" ref="Q73">((2*ttotal4)/(3*s_t))*(st_b[[#This Row],[s(tb)]]+(s_t/4))</f>
        <v>0.12222222222222222</v>
      </c>
      <c r="R73" s="3" cm="1">
        <f t="array" ref="R73">((2*ttotal5)/(3*s_t))*(st_b[[#This Row],[s(tb)]]+(s_t/4))</f>
        <v>9.7777777777777783E-2</v>
      </c>
      <c r="S73" s="3" cm="1">
        <f t="array" ref="S73">((2*ttotal6)/(3*s_t))*(st_b[[#This Row],[s(tb)]]+(s_t/4))</f>
        <v>8.1481481481481474E-2</v>
      </c>
      <c r="T73" s="3" cm="1">
        <f t="array" ref="T73">((2*ttotal7)/(3*s_t))*(st_b[[#This Row],[s(tb)]]+(s_t/4))</f>
        <v>6.9841269841269829E-2</v>
      </c>
      <c r="U73" s="3" cm="1">
        <f t="array" ref="U73">((2*ttotal8)/(3*s_t))*(st_b[[#This Row],[s(tb)]]+(s_t/4))</f>
        <v>6.1111111111111109E-2</v>
      </c>
      <c r="V73" s="3" cm="1">
        <f t="array" ref="V73">((2*ttotal9)/(3*s_t))*(st_b[[#This Row],[s(tb)]]+(s_t/4))</f>
        <v>5.432098765432098E-2</v>
      </c>
      <c r="W73" s="3" cm="1">
        <f t="array" ref="W73">((2*ttotal10)/(3*s_t))*(st_b[[#This Row],[s(tb)]]+(s_t/4))</f>
        <v>4.8888888888888891E-2</v>
      </c>
      <c r="Y73" s="8">
        <v>2.9500000000000004E-3</v>
      </c>
      <c r="Z73" s="3" cm="1">
        <f t="array" ref="Z73">(-5*s_t/4)-Y73</f>
        <v>-6.7000000000000002E-3</v>
      </c>
      <c r="AA73" s="3">
        <f>(-INDEX(Overview[b],1)+SQRT(POWER(INDEX(Overview[b],1),2)-(4*INDEX(Overview[a],1)*st_c[[#This Row],[c]])))/(2*INDEX(Overview[a],1))</f>
        <v>0.9139337034176136</v>
      </c>
      <c r="AB73" s="3">
        <f>(-INDEX(Overview[b],2)+SQRT(POWER(INDEX(Overview[b],2),2)-(4*INDEX(Overview[a],2)*st_c[[#This Row],[c]])))/(2*INDEX(Overview[a],2))</f>
        <v>0.4569668517088068</v>
      </c>
      <c r="AC73" s="3">
        <f>(-INDEX(Overview[b],3)+SQRT(POWER(INDEX(Overview[b],3),2)-(4*INDEX(Overview[a],3)*st_c[[#This Row],[c]])))/(2*INDEX(Overview[a],3))</f>
        <v>0.3046445678058704</v>
      </c>
      <c r="AD73" s="3">
        <f>(-INDEX(Overview[b],4)+SQRT(POWER(INDEX(Overview[b],4),2)-(4*INDEX(Overview[a],4)*st_c[[#This Row],[c]])))/(2*INDEX(Overview[a],4))</f>
        <v>0.2284834258544034</v>
      </c>
      <c r="AE73" s="3">
        <f>(-INDEX(Overview[b],5)+SQRT(POWER(INDEX(Overview[b],5),2)-(4*INDEX(Overview[a],5)*st_c[[#This Row],[c]])))/(2*INDEX(Overview[a],5))</f>
        <v>0.18278674068352221</v>
      </c>
      <c r="AF73" s="3">
        <f>(-INDEX(Overview[b],6)+SQRT(POWER(INDEX(Overview[b],6),2)-(4*INDEX(Overview[a],6)*st_c[[#This Row],[c]])))/(2*INDEX(Overview[a],6))</f>
        <v>0.1523222839029352</v>
      </c>
      <c r="AG73" s="3">
        <f>(-INDEX(Overview[b],7)+SQRT(POWER(INDEX(Overview[b],7),2)-(4*INDEX(Overview[a],7)*st_c[[#This Row],[c]])))/(2*INDEX(Overview[a],7))</f>
        <v>0.13056195763108763</v>
      </c>
      <c r="AH73" s="3">
        <f>(-INDEX(Overview[b],8)+SQRT(POWER(INDEX(Overview[b],8),2)-(4*INDEX(Overview[a],8)*st_c[[#This Row],[c]])))/(2*INDEX(Overview[a],8))</f>
        <v>0.1142417129272017</v>
      </c>
      <c r="AI73" s="3">
        <f>(-INDEX(Overview[b],9)+SQRT(POWER(INDEX(Overview[b],9),2)-(4*INDEX(Overview[a],9)*st_c[[#This Row],[c]])))/(2*INDEX(Overview[a],9))</f>
        <v>0.10154818926862361</v>
      </c>
      <c r="AJ73" s="19">
        <f>(-INDEX(Overview[b],10)+SQRT(POWER(INDEX(Overview[b],10),2)-(4*INDEX(Overview[a],10)*st_c[[#This Row],[c]])))/(2*INDEX(Overview[a],10))</f>
        <v>9.1393370341761107E-2</v>
      </c>
    </row>
    <row r="74" spans="1:36" x14ac:dyDescent="0.25">
      <c r="A74" s="2">
        <v>7.1000000000000002E-4</v>
      </c>
      <c r="B74" s="3" cm="1">
        <f t="array" ref="B74">SQRT((4*POWER(ttotal1,2)*st_a[[#This Row],[s(ta)]])/(9*s_t))</f>
        <v>0.32432265598503163</v>
      </c>
      <c r="C74" s="3" cm="1">
        <f t="array" ref="C74">SQRT((4*POWER(ttotal2,2)*st_a[[#This Row],[s(ta)]])/(9*s_t))</f>
        <v>0.16216132799251581</v>
      </c>
      <c r="D74" s="3" cm="1">
        <f t="array" ref="D74">SQRT((4*POWER(ttotal3,2)*st_a[[#This Row],[s(ta)]])/(9*s_t))</f>
        <v>0.10810755199501054</v>
      </c>
      <c r="E74" s="3" cm="1">
        <f t="array" ref="E74">SQRT((4*POWER(ttotal4,2)*st_a[[#This Row],[s(ta)]])/(9*s_t))</f>
        <v>8.1080663996257907E-2</v>
      </c>
      <c r="F74" s="3" cm="1">
        <f t="array" ref="F74">SQRT((4*POWER(ttotal5,2)*st_a[[#This Row],[s(ta)]])/(9*s_t))</f>
        <v>6.4864531197006331E-2</v>
      </c>
      <c r="G74" s="3" cm="1">
        <f t="array" ref="G74">SQRT((4*POWER(ttotal6,2)*st_a[[#This Row],[s(ta)]])/(9*s_t))</f>
        <v>5.4053775997505271E-2</v>
      </c>
      <c r="H74" s="3" cm="1">
        <f t="array" ref="H74">SQRT((4*POWER(ttotal7,2)*st_a[[#This Row],[s(ta)]])/(9*s_t))</f>
        <v>4.6331807997861664E-2</v>
      </c>
      <c r="I74" s="3" cm="1">
        <f t="array" ref="I74">SQRT((4*POWER(ttotal8,2)*st_a[[#This Row],[s(ta)]])/(9*s_t))</f>
        <v>4.0540331998128953E-2</v>
      </c>
      <c r="J74" s="3" cm="1">
        <f t="array" ref="J74">SQRT((4*POWER(ttotal9,2)*st_a[[#This Row],[s(ta)]])/(9*s_t))</f>
        <v>3.6035850665003519E-2</v>
      </c>
      <c r="K74" s="3" cm="1">
        <f t="array" ref="K74">SQRT((4*POWER(ttotal10,2)*st_a[[#This Row],[s(ta)]])/(9*s_t))</f>
        <v>3.2432265598503165E-2</v>
      </c>
      <c r="M74" s="8">
        <v>1.4600000000000001E-3</v>
      </c>
      <c r="N74" s="3" cm="1">
        <f t="array" ref="N74">((2*ttotal1)/(3*s_t))*(st_b[[#This Row],[s(tb)]]+(s_t/4))</f>
        <v>0.49111111111111111</v>
      </c>
      <c r="O74" s="3" cm="1">
        <f t="array" ref="O74">((2*ttotal2)/(3*s_t))*(st_b[[#This Row],[s(tb)]]+(s_t/4))</f>
        <v>0.24555555555555555</v>
      </c>
      <c r="P74" s="3" cm="1">
        <f t="array" ref="P74">((2*ttotal3)/(3*s_t))*(st_b[[#This Row],[s(tb)]]+(s_t/4))</f>
        <v>0.16370370370370368</v>
      </c>
      <c r="Q74" s="3" cm="1">
        <f t="array" ref="Q74">((2*ttotal4)/(3*s_t))*(st_b[[#This Row],[s(tb)]]+(s_t/4))</f>
        <v>0.12277777777777778</v>
      </c>
      <c r="R74" s="3" cm="1">
        <f t="array" ref="R74">((2*ttotal5)/(3*s_t))*(st_b[[#This Row],[s(tb)]]+(s_t/4))</f>
        <v>9.8222222222222225E-2</v>
      </c>
      <c r="S74" s="3" cm="1">
        <f t="array" ref="S74">((2*ttotal6)/(3*s_t))*(st_b[[#This Row],[s(tb)]]+(s_t/4))</f>
        <v>8.1851851851851842E-2</v>
      </c>
      <c r="T74" s="3" cm="1">
        <f t="array" ref="T74">((2*ttotal7)/(3*s_t))*(st_b[[#This Row],[s(tb)]]+(s_t/4))</f>
        <v>7.0158730158730157E-2</v>
      </c>
      <c r="U74" s="3" cm="1">
        <f t="array" ref="U74">((2*ttotal8)/(3*s_t))*(st_b[[#This Row],[s(tb)]]+(s_t/4))</f>
        <v>6.1388888888888889E-2</v>
      </c>
      <c r="V74" s="3" cm="1">
        <f t="array" ref="V74">((2*ttotal9)/(3*s_t))*(st_b[[#This Row],[s(tb)]]+(s_t/4))</f>
        <v>5.4567901234567895E-2</v>
      </c>
      <c r="W74" s="3" cm="1">
        <f t="array" ref="W74">((2*ttotal10)/(3*s_t))*(st_b[[#This Row],[s(tb)]]+(s_t/4))</f>
        <v>4.9111111111111112E-2</v>
      </c>
      <c r="Y74" s="8">
        <v>2.9600000000000004E-3</v>
      </c>
      <c r="Z74" s="3" cm="1">
        <f t="array" ref="Z74">(-5*s_t/4)-Y74</f>
        <v>-6.7100000000000007E-3</v>
      </c>
      <c r="AA74" s="3">
        <f>(-INDEX(Overview[b],1)+SQRT(POWER(INDEX(Overview[b],1),2)-(4*INDEX(Overview[a],1)*st_c[[#This Row],[c]])))/(2*INDEX(Overview[a],1))</f>
        <v>0.92301996410805143</v>
      </c>
      <c r="AB74" s="3">
        <f>(-INDEX(Overview[b],2)+SQRT(POWER(INDEX(Overview[b],2),2)-(4*INDEX(Overview[a],2)*st_c[[#This Row],[c]])))/(2*INDEX(Overview[a],2))</f>
        <v>0.46150998205402571</v>
      </c>
      <c r="AC74" s="3">
        <f>(-INDEX(Overview[b],3)+SQRT(POWER(INDEX(Overview[b],3),2)-(4*INDEX(Overview[a],3)*st_c[[#This Row],[c]])))/(2*INDEX(Overview[a],3))</f>
        <v>0.3076733213693495</v>
      </c>
      <c r="AD74" s="3">
        <f>(-INDEX(Overview[b],4)+SQRT(POWER(INDEX(Overview[b],4),2)-(4*INDEX(Overview[a],4)*st_c[[#This Row],[c]])))/(2*INDEX(Overview[a],4))</f>
        <v>0.23075499102701286</v>
      </c>
      <c r="AE74" s="3">
        <f>(-INDEX(Overview[b],5)+SQRT(POWER(INDEX(Overview[b],5),2)-(4*INDEX(Overview[a],5)*st_c[[#This Row],[c]])))/(2*INDEX(Overview[a],5))</f>
        <v>0.18460399282160977</v>
      </c>
      <c r="AF74" s="3">
        <f>(-INDEX(Overview[b],6)+SQRT(POWER(INDEX(Overview[b],6),2)-(4*INDEX(Overview[a],6)*st_c[[#This Row],[c]])))/(2*INDEX(Overview[a],6))</f>
        <v>0.15383666068467475</v>
      </c>
      <c r="AG74" s="3">
        <f>(-INDEX(Overview[b],7)+SQRT(POWER(INDEX(Overview[b],7),2)-(4*INDEX(Overview[a],7)*st_c[[#This Row],[c]])))/(2*INDEX(Overview[a],7))</f>
        <v>0.13185999487257877</v>
      </c>
      <c r="AH74" s="3">
        <f>(-INDEX(Overview[b],8)+SQRT(POWER(INDEX(Overview[b],8),2)-(4*INDEX(Overview[a],8)*st_c[[#This Row],[c]])))/(2*INDEX(Overview[a],8))</f>
        <v>0.11537749551350643</v>
      </c>
      <c r="AI74" s="3">
        <f>(-INDEX(Overview[b],9)+SQRT(POWER(INDEX(Overview[b],9),2)-(4*INDEX(Overview[a],9)*st_c[[#This Row],[c]])))/(2*INDEX(Overview[a],9))</f>
        <v>0.10255777378978335</v>
      </c>
      <c r="AJ74" s="19">
        <f>(-INDEX(Overview[b],10)+SQRT(POWER(INDEX(Overview[b],10),2)-(4*INDEX(Overview[a],10)*st_c[[#This Row],[c]])))/(2*INDEX(Overview[a],10))</f>
        <v>9.2301996410804887E-2</v>
      </c>
    </row>
    <row r="75" spans="1:36" x14ac:dyDescent="0.25">
      <c r="A75" s="2">
        <v>7.2000000000000005E-4</v>
      </c>
      <c r="B75" s="3" cm="1">
        <f t="array" ref="B75">SQRT((4*POWER(ttotal1,2)*st_a[[#This Row],[s(ta)]])/(9*s_t))</f>
        <v>0.32659863237109044</v>
      </c>
      <c r="C75" s="3" cm="1">
        <f t="array" ref="C75">SQRT((4*POWER(ttotal2,2)*st_a[[#This Row],[s(ta)]])/(9*s_t))</f>
        <v>0.16329931618554522</v>
      </c>
      <c r="D75" s="3" cm="1">
        <f t="array" ref="D75">SQRT((4*POWER(ttotal3,2)*st_a[[#This Row],[s(ta)]])/(9*s_t))</f>
        <v>0.10886621079036347</v>
      </c>
      <c r="E75" s="3" cm="1">
        <f t="array" ref="E75">SQRT((4*POWER(ttotal4,2)*st_a[[#This Row],[s(ta)]])/(9*s_t))</f>
        <v>8.1649658092772609E-2</v>
      </c>
      <c r="F75" s="3" cm="1">
        <f t="array" ref="F75">SQRT((4*POWER(ttotal5,2)*st_a[[#This Row],[s(ta)]])/(9*s_t))</f>
        <v>6.531972647421809E-2</v>
      </c>
      <c r="G75" s="3" cm="1">
        <f t="array" ref="G75">SQRT((4*POWER(ttotal6,2)*st_a[[#This Row],[s(ta)]])/(9*s_t))</f>
        <v>5.4433105395181737E-2</v>
      </c>
      <c r="H75" s="3" cm="1">
        <f t="array" ref="H75">SQRT((4*POWER(ttotal7,2)*st_a[[#This Row],[s(ta)]])/(9*s_t))</f>
        <v>4.6656947481584346E-2</v>
      </c>
      <c r="I75" s="3" cm="1">
        <f t="array" ref="I75">SQRT((4*POWER(ttotal8,2)*st_a[[#This Row],[s(ta)]])/(9*s_t))</f>
        <v>4.0824829046386304E-2</v>
      </c>
      <c r="J75" s="3" cm="1">
        <f t="array" ref="J75">SQRT((4*POWER(ttotal9,2)*st_a[[#This Row],[s(ta)]])/(9*s_t))</f>
        <v>3.6288736930121156E-2</v>
      </c>
      <c r="K75" s="3" cm="1">
        <f t="array" ref="K75">SQRT((4*POWER(ttotal10,2)*st_a[[#This Row],[s(ta)]])/(9*s_t))</f>
        <v>3.2659863237109045E-2</v>
      </c>
      <c r="M75" s="8">
        <v>1.4700000000000002E-3</v>
      </c>
      <c r="N75" s="3" cm="1">
        <f t="array" ref="N75">((2*ttotal1)/(3*s_t))*(st_b[[#This Row],[s(tb)]]+(s_t/4))</f>
        <v>0.49333333333333335</v>
      </c>
      <c r="O75" s="3" cm="1">
        <f t="array" ref="O75">((2*ttotal2)/(3*s_t))*(st_b[[#This Row],[s(tb)]]+(s_t/4))</f>
        <v>0.24666666666666667</v>
      </c>
      <c r="P75" s="3" cm="1">
        <f t="array" ref="P75">((2*ttotal3)/(3*s_t))*(st_b[[#This Row],[s(tb)]]+(s_t/4))</f>
        <v>0.16444444444444442</v>
      </c>
      <c r="Q75" s="3" cm="1">
        <f t="array" ref="Q75">((2*ttotal4)/(3*s_t))*(st_b[[#This Row],[s(tb)]]+(s_t/4))</f>
        <v>0.12333333333333334</v>
      </c>
      <c r="R75" s="3" cm="1">
        <f t="array" ref="R75">((2*ttotal5)/(3*s_t))*(st_b[[#This Row],[s(tb)]]+(s_t/4))</f>
        <v>9.8666666666666666E-2</v>
      </c>
      <c r="S75" s="3" cm="1">
        <f t="array" ref="S75">((2*ttotal6)/(3*s_t))*(st_b[[#This Row],[s(tb)]]+(s_t/4))</f>
        <v>8.222222222222221E-2</v>
      </c>
      <c r="T75" s="3" cm="1">
        <f t="array" ref="T75">((2*ttotal7)/(3*s_t))*(st_b[[#This Row],[s(tb)]]+(s_t/4))</f>
        <v>7.047619047619047E-2</v>
      </c>
      <c r="U75" s="3" cm="1">
        <f t="array" ref="U75">((2*ttotal8)/(3*s_t))*(st_b[[#This Row],[s(tb)]]+(s_t/4))</f>
        <v>6.1666666666666668E-2</v>
      </c>
      <c r="V75" s="3" cm="1">
        <f t="array" ref="V75">((2*ttotal9)/(3*s_t))*(st_b[[#This Row],[s(tb)]]+(s_t/4))</f>
        <v>5.4814814814814809E-2</v>
      </c>
      <c r="W75" s="3" cm="1">
        <f t="array" ref="W75">((2*ttotal10)/(3*s_t))*(st_b[[#This Row],[s(tb)]]+(s_t/4))</f>
        <v>4.9333333333333333E-2</v>
      </c>
      <c r="Y75" s="8">
        <v>2.9700000000000004E-3</v>
      </c>
      <c r="Z75" s="3" cm="1">
        <f t="array" ref="Z75">(-5*s_t/4)-Y75</f>
        <v>-6.7200000000000003E-3</v>
      </c>
      <c r="AA75" s="3">
        <f>(-INDEX(Overview[b],1)+SQRT(POWER(INDEX(Overview[b],1),2)-(4*INDEX(Overview[a],1)*st_c[[#This Row],[c]])))/(2*INDEX(Overview[a],1))</f>
        <v>0.9333333333333339</v>
      </c>
      <c r="AB75" s="3">
        <f>(-INDEX(Overview[b],2)+SQRT(POWER(INDEX(Overview[b],2),2)-(4*INDEX(Overview[a],2)*st_c[[#This Row],[c]])))/(2*INDEX(Overview[a],2))</f>
        <v>0.46666666666666695</v>
      </c>
      <c r="AC75" s="3">
        <f>(-INDEX(Overview[b],3)+SQRT(POWER(INDEX(Overview[b],3),2)-(4*INDEX(Overview[a],3)*st_c[[#This Row],[c]])))/(2*INDEX(Overview[a],3))</f>
        <v>0.31111111111111039</v>
      </c>
      <c r="AD75" s="3">
        <f>(-INDEX(Overview[b],4)+SQRT(POWER(INDEX(Overview[b],4),2)-(4*INDEX(Overview[a],4)*st_c[[#This Row],[c]])))/(2*INDEX(Overview[a],4))</f>
        <v>0.23333333333333348</v>
      </c>
      <c r="AE75" s="3">
        <f>(-INDEX(Overview[b],5)+SQRT(POWER(INDEX(Overview[b],5),2)-(4*INDEX(Overview[a],5)*st_c[[#This Row],[c]])))/(2*INDEX(Overview[a],5))</f>
        <v>0.18666666666666634</v>
      </c>
      <c r="AF75" s="3">
        <f>(-INDEX(Overview[b],6)+SQRT(POWER(INDEX(Overview[b],6),2)-(4*INDEX(Overview[a],6)*st_c[[#This Row],[c]])))/(2*INDEX(Overview[a],6))</f>
        <v>0.1555555555555552</v>
      </c>
      <c r="AG75" s="3">
        <f>(-INDEX(Overview[b],7)+SQRT(POWER(INDEX(Overview[b],7),2)-(4*INDEX(Overview[a],7)*st_c[[#This Row],[c]])))/(2*INDEX(Overview[a],7))</f>
        <v>0.1333333333333335</v>
      </c>
      <c r="AH75" s="3">
        <f>(-INDEX(Overview[b],8)+SQRT(POWER(INDEX(Overview[b],8),2)-(4*INDEX(Overview[a],8)*st_c[[#This Row],[c]])))/(2*INDEX(Overview[a],8))</f>
        <v>0.11666666666666674</v>
      </c>
      <c r="AI75" s="3">
        <f>(-INDEX(Overview[b],9)+SQRT(POWER(INDEX(Overview[b],9),2)-(4*INDEX(Overview[a],9)*st_c[[#This Row],[c]])))/(2*INDEX(Overview[a],9))</f>
        <v>0.10370370370370366</v>
      </c>
      <c r="AJ75" s="19">
        <f>(-INDEX(Overview[b],10)+SQRT(POWER(INDEX(Overview[b],10),2)-(4*INDEX(Overview[a],10)*st_c[[#This Row],[c]])))/(2*INDEX(Overview[a],10))</f>
        <v>9.3333333333333171E-2</v>
      </c>
    </row>
    <row r="76" spans="1:36" x14ac:dyDescent="0.25">
      <c r="A76" s="2">
        <v>7.3000000000000007E-4</v>
      </c>
      <c r="B76" s="3" cm="1">
        <f t="array" ref="B76">SQRT((4*POWER(ttotal1,2)*st_a[[#This Row],[s(ta)]])/(9*s_t))</f>
        <v>0.32885885748774984</v>
      </c>
      <c r="C76" s="3" cm="1">
        <f t="array" ref="C76">SQRT((4*POWER(ttotal2,2)*st_a[[#This Row],[s(ta)]])/(9*s_t))</f>
        <v>0.16442942874387492</v>
      </c>
      <c r="D76" s="3" cm="1">
        <f t="array" ref="D76">SQRT((4*POWER(ttotal3,2)*st_a[[#This Row],[s(ta)]])/(9*s_t))</f>
        <v>0.10961961916258328</v>
      </c>
      <c r="E76" s="3" cm="1">
        <f t="array" ref="E76">SQRT((4*POWER(ttotal4,2)*st_a[[#This Row],[s(ta)]])/(9*s_t))</f>
        <v>8.2214714371937461E-2</v>
      </c>
      <c r="F76" s="3" cm="1">
        <f t="array" ref="F76">SQRT((4*POWER(ttotal5,2)*st_a[[#This Row],[s(ta)]])/(9*s_t))</f>
        <v>6.577177149754998E-2</v>
      </c>
      <c r="G76" s="3" cm="1">
        <f t="array" ref="G76">SQRT((4*POWER(ttotal6,2)*st_a[[#This Row],[s(ta)]])/(9*s_t))</f>
        <v>5.4809809581291641E-2</v>
      </c>
      <c r="H76" s="3" cm="1">
        <f t="array" ref="H76">SQRT((4*POWER(ttotal7,2)*st_a[[#This Row],[s(ta)]])/(9*s_t))</f>
        <v>4.6979836783964266E-2</v>
      </c>
      <c r="I76" s="3" cm="1">
        <f t="array" ref="I76">SQRT((4*POWER(ttotal8,2)*st_a[[#This Row],[s(ta)]])/(9*s_t))</f>
        <v>4.1107357185968731E-2</v>
      </c>
      <c r="J76" s="3" cm="1">
        <f t="array" ref="J76">SQRT((4*POWER(ttotal9,2)*st_a[[#This Row],[s(ta)]])/(9*s_t))</f>
        <v>3.6539873054194427E-2</v>
      </c>
      <c r="K76" s="3" cm="1">
        <f t="array" ref="K76">SQRT((4*POWER(ttotal10,2)*st_a[[#This Row],[s(ta)]])/(9*s_t))</f>
        <v>3.288588574877499E-2</v>
      </c>
      <c r="M76" s="8">
        <v>1.4800000000000002E-3</v>
      </c>
      <c r="N76" s="3" cm="1">
        <f t="array" ref="N76">((2*ttotal1)/(3*s_t))*(st_b[[#This Row],[s(tb)]]+(s_t/4))</f>
        <v>0.49555555555555553</v>
      </c>
      <c r="O76" s="3" cm="1">
        <f t="array" ref="O76">((2*ttotal2)/(3*s_t))*(st_b[[#This Row],[s(tb)]]+(s_t/4))</f>
        <v>0.24777777777777776</v>
      </c>
      <c r="P76" s="3" cm="1">
        <f t="array" ref="P76">((2*ttotal3)/(3*s_t))*(st_b[[#This Row],[s(tb)]]+(s_t/4))</f>
        <v>0.16518518518518518</v>
      </c>
      <c r="Q76" s="3" cm="1">
        <f t="array" ref="Q76">((2*ttotal4)/(3*s_t))*(st_b[[#This Row],[s(tb)]]+(s_t/4))</f>
        <v>0.12388888888888888</v>
      </c>
      <c r="R76" s="3" cm="1">
        <f t="array" ref="R76">((2*ttotal5)/(3*s_t))*(st_b[[#This Row],[s(tb)]]+(s_t/4))</f>
        <v>9.9111111111111122E-2</v>
      </c>
      <c r="S76" s="3" cm="1">
        <f t="array" ref="S76">((2*ttotal6)/(3*s_t))*(st_b[[#This Row],[s(tb)]]+(s_t/4))</f>
        <v>8.2592592592592592E-2</v>
      </c>
      <c r="T76" s="3" cm="1">
        <f t="array" ref="T76">((2*ttotal7)/(3*s_t))*(st_b[[#This Row],[s(tb)]]+(s_t/4))</f>
        <v>7.0793650793650784E-2</v>
      </c>
      <c r="U76" s="3" cm="1">
        <f t="array" ref="U76">((2*ttotal8)/(3*s_t))*(st_b[[#This Row],[s(tb)]]+(s_t/4))</f>
        <v>6.1944444444444441E-2</v>
      </c>
      <c r="V76" s="3" cm="1">
        <f t="array" ref="V76">((2*ttotal9)/(3*s_t))*(st_b[[#This Row],[s(tb)]]+(s_t/4))</f>
        <v>5.5061728395061724E-2</v>
      </c>
      <c r="W76" s="3" cm="1">
        <f t="array" ref="W76">((2*ttotal10)/(3*s_t))*(st_b[[#This Row],[s(tb)]]+(s_t/4))</f>
        <v>4.9555555555555561E-2</v>
      </c>
      <c r="Y76" s="8">
        <v>2.9800000000000004E-3</v>
      </c>
      <c r="Z76" s="3" cm="1">
        <f t="array" ref="Z76">(-5*s_t/4)-Y76</f>
        <v>-6.7299999999999999E-3</v>
      </c>
      <c r="AA76" s="3">
        <f>(-INDEX(Overview[b],1)+SQRT(POWER(INDEX(Overview[b],1),2)-(4*INDEX(Overview[a],1)*st_c[[#This Row],[c]])))/(2*INDEX(Overview[a],1))</f>
        <v>0.94556689460481869</v>
      </c>
      <c r="AB76" s="3">
        <f>(-INDEX(Overview[b],2)+SQRT(POWER(INDEX(Overview[b],2),2)-(4*INDEX(Overview[a],2)*st_c[[#This Row],[c]])))/(2*INDEX(Overview[a],2))</f>
        <v>0.47278344730240934</v>
      </c>
      <c r="AC76" s="3">
        <f>(-INDEX(Overview[b],3)+SQRT(POWER(INDEX(Overview[b],3),2)-(4*INDEX(Overview[a],3)*st_c[[#This Row],[c]])))/(2*INDEX(Overview[a],3))</f>
        <v>0.31518896486827164</v>
      </c>
      <c r="AD76" s="3">
        <f>(-INDEX(Overview[b],4)+SQRT(POWER(INDEX(Overview[b],4),2)-(4*INDEX(Overview[a],4)*st_c[[#This Row],[c]])))/(2*INDEX(Overview[a],4))</f>
        <v>0.23639172365120467</v>
      </c>
      <c r="AE76" s="3">
        <f>(-INDEX(Overview[b],5)+SQRT(POWER(INDEX(Overview[b],5),2)-(4*INDEX(Overview[a],5)*st_c[[#This Row],[c]])))/(2*INDEX(Overview[a],5))</f>
        <v>0.18911337892096319</v>
      </c>
      <c r="AF76" s="3">
        <f>(-INDEX(Overview[b],6)+SQRT(POWER(INDEX(Overview[b],6),2)-(4*INDEX(Overview[a],6)*st_c[[#This Row],[c]])))/(2*INDEX(Overview[a],6))</f>
        <v>0.15759448243413582</v>
      </c>
      <c r="AG76" s="3">
        <f>(-INDEX(Overview[b],7)+SQRT(POWER(INDEX(Overview[b],7),2)-(4*INDEX(Overview[a],7)*st_c[[#This Row],[c]])))/(2*INDEX(Overview[a],7))</f>
        <v>0.13508098494354562</v>
      </c>
      <c r="AH76" s="3">
        <f>(-INDEX(Overview[b],8)+SQRT(POWER(INDEX(Overview[b],8),2)-(4*INDEX(Overview[a],8)*st_c[[#This Row],[c]])))/(2*INDEX(Overview[a],8))</f>
        <v>0.11819586182560234</v>
      </c>
      <c r="AI76" s="3">
        <f>(-INDEX(Overview[b],9)+SQRT(POWER(INDEX(Overview[b],9),2)-(4*INDEX(Overview[a],9)*st_c[[#This Row],[c]])))/(2*INDEX(Overview[a],9))</f>
        <v>0.10506298828942422</v>
      </c>
      <c r="AJ76" s="19">
        <f>(-INDEX(Overview[b],10)+SQRT(POWER(INDEX(Overview[b],10),2)-(4*INDEX(Overview[a],10)*st_c[[#This Row],[c]])))/(2*INDEX(Overview[a],10))</f>
        <v>9.4556689460481597E-2</v>
      </c>
    </row>
    <row r="77" spans="1:36" x14ac:dyDescent="0.25">
      <c r="A77" s="2">
        <v>7.400000000000001E-4</v>
      </c>
      <c r="B77" s="3" cm="1">
        <f t="array" ref="B77">SQRT((4*POWER(ttotal1,2)*st_a[[#This Row],[s(ta)]])/(9*s_t))</f>
        <v>0.33110365390558533</v>
      </c>
      <c r="C77" s="3" cm="1">
        <f t="array" ref="C77">SQRT((4*POWER(ttotal2,2)*st_a[[#This Row],[s(ta)]])/(9*s_t))</f>
        <v>0.16555182695279266</v>
      </c>
      <c r="D77" s="3" cm="1">
        <f t="array" ref="D77">SQRT((4*POWER(ttotal3,2)*st_a[[#This Row],[s(ta)]])/(9*s_t))</f>
        <v>0.11036788463519512</v>
      </c>
      <c r="E77" s="3" cm="1">
        <f t="array" ref="E77">SQRT((4*POWER(ttotal4,2)*st_a[[#This Row],[s(ta)]])/(9*s_t))</f>
        <v>8.2775913476396332E-2</v>
      </c>
      <c r="F77" s="3" cm="1">
        <f t="array" ref="F77">SQRT((4*POWER(ttotal5,2)*st_a[[#This Row],[s(ta)]])/(9*s_t))</f>
        <v>6.6220730781117079E-2</v>
      </c>
      <c r="G77" s="3" cm="1">
        <f t="array" ref="G77">SQRT((4*POWER(ttotal6,2)*st_a[[#This Row],[s(ta)]])/(9*s_t))</f>
        <v>5.5183942317597559E-2</v>
      </c>
      <c r="H77" s="3" cm="1">
        <f t="array" ref="H77">SQRT((4*POWER(ttotal7,2)*st_a[[#This Row],[s(ta)]])/(9*s_t))</f>
        <v>4.730052198651219E-2</v>
      </c>
      <c r="I77" s="3" cm="1">
        <f t="array" ref="I77">SQRT((4*POWER(ttotal8,2)*st_a[[#This Row],[s(ta)]])/(9*s_t))</f>
        <v>4.1387956738198166E-2</v>
      </c>
      <c r="J77" s="3" cm="1">
        <f t="array" ref="J77">SQRT((4*POWER(ttotal9,2)*st_a[[#This Row],[s(ta)]])/(9*s_t))</f>
        <v>3.6789294878398375E-2</v>
      </c>
      <c r="K77" s="3" cm="1">
        <f t="array" ref="K77">SQRT((4*POWER(ttotal10,2)*st_a[[#This Row],[s(ta)]])/(9*s_t))</f>
        <v>3.311036539055854E-2</v>
      </c>
      <c r="M77" s="8">
        <v>1.4900000000000002E-3</v>
      </c>
      <c r="N77" s="3" cm="1">
        <f t="array" ref="N77">((2*ttotal1)/(3*s_t))*(st_b[[#This Row],[s(tb)]]+(s_t/4))</f>
        <v>0.49777777777777776</v>
      </c>
      <c r="O77" s="3" cm="1">
        <f t="array" ref="O77">((2*ttotal2)/(3*s_t))*(st_b[[#This Row],[s(tb)]]+(s_t/4))</f>
        <v>0.24888888888888888</v>
      </c>
      <c r="P77" s="3" cm="1">
        <f t="array" ref="P77">((2*ttotal3)/(3*s_t))*(st_b[[#This Row],[s(tb)]]+(s_t/4))</f>
        <v>0.16592592592592592</v>
      </c>
      <c r="Q77" s="3" cm="1">
        <f t="array" ref="Q77">((2*ttotal4)/(3*s_t))*(st_b[[#This Row],[s(tb)]]+(s_t/4))</f>
        <v>0.12444444444444444</v>
      </c>
      <c r="R77" s="3" cm="1">
        <f t="array" ref="R77">((2*ttotal5)/(3*s_t))*(st_b[[#This Row],[s(tb)]]+(s_t/4))</f>
        <v>9.9555555555555564E-2</v>
      </c>
      <c r="S77" s="3" cm="1">
        <f t="array" ref="S77">((2*ttotal6)/(3*s_t))*(st_b[[#This Row],[s(tb)]]+(s_t/4))</f>
        <v>8.2962962962962961E-2</v>
      </c>
      <c r="T77" s="3" cm="1">
        <f t="array" ref="T77">((2*ttotal7)/(3*s_t))*(st_b[[#This Row],[s(tb)]]+(s_t/4))</f>
        <v>7.1111111111111111E-2</v>
      </c>
      <c r="U77" s="3" cm="1">
        <f t="array" ref="U77">((2*ttotal8)/(3*s_t))*(st_b[[#This Row],[s(tb)]]+(s_t/4))</f>
        <v>6.222222222222222E-2</v>
      </c>
      <c r="V77" s="3" cm="1">
        <f t="array" ref="V77">((2*ttotal9)/(3*s_t))*(st_b[[#This Row],[s(tb)]]+(s_t/4))</f>
        <v>5.5308641975308638E-2</v>
      </c>
      <c r="W77" s="3" cm="1">
        <f t="array" ref="W77">((2*ttotal10)/(3*s_t))*(st_b[[#This Row],[s(tb)]]+(s_t/4))</f>
        <v>4.9777777777777782E-2</v>
      </c>
      <c r="Y77" s="8">
        <v>2.99E-3</v>
      </c>
      <c r="Z77" s="3" cm="1">
        <f t="array" ref="Z77">(-5*s_t/4)-Y77</f>
        <v>-6.7399999999999995E-3</v>
      </c>
      <c r="AA77" s="3">
        <f>(-INDEX(Overview[b],1)+SQRT(POWER(INDEX(Overview[b],1),2)-(4*INDEX(Overview[a],1)*st_c[[#This Row],[c]])))/(2*INDEX(Overview[a],1))</f>
        <v>0.96150998205402527</v>
      </c>
      <c r="AB77" s="3">
        <f>(-INDEX(Overview[b],2)+SQRT(POWER(INDEX(Overview[b],2),2)-(4*INDEX(Overview[a],2)*st_c[[#This Row],[c]])))/(2*INDEX(Overview[a],2))</f>
        <v>0.48075499102701263</v>
      </c>
      <c r="AC77" s="3">
        <f>(-INDEX(Overview[b],3)+SQRT(POWER(INDEX(Overview[b],3),2)-(4*INDEX(Overview[a],3)*st_c[[#This Row],[c]])))/(2*INDEX(Overview[a],3))</f>
        <v>0.32050332735134029</v>
      </c>
      <c r="AD77" s="3">
        <f>(-INDEX(Overview[b],4)+SQRT(POWER(INDEX(Overview[b],4),2)-(4*INDEX(Overview[a],4)*st_c[[#This Row],[c]])))/(2*INDEX(Overview[a],4))</f>
        <v>0.24037749551350632</v>
      </c>
      <c r="AE77" s="3">
        <f>(-INDEX(Overview[b],5)+SQRT(POWER(INDEX(Overview[b],5),2)-(4*INDEX(Overview[a],5)*st_c[[#This Row],[c]])))/(2*INDEX(Overview[a],5))</f>
        <v>0.19230199641080414</v>
      </c>
      <c r="AF77" s="3">
        <f>(-INDEX(Overview[b],6)+SQRT(POWER(INDEX(Overview[b],6),2)-(4*INDEX(Overview[a],6)*st_c[[#This Row],[c]])))/(2*INDEX(Overview[a],6))</f>
        <v>0.16025166367567015</v>
      </c>
      <c r="AG77" s="3">
        <f>(-INDEX(Overview[b],7)+SQRT(POWER(INDEX(Overview[b],7),2)-(4*INDEX(Overview[a],7)*st_c[[#This Row],[c]])))/(2*INDEX(Overview[a],7))</f>
        <v>0.13735856886486081</v>
      </c>
      <c r="AH77" s="3">
        <f>(-INDEX(Overview[b],8)+SQRT(POWER(INDEX(Overview[b],8),2)-(4*INDEX(Overview[a],8)*st_c[[#This Row],[c]])))/(2*INDEX(Overview[a],8))</f>
        <v>0.12018874775675316</v>
      </c>
      <c r="AI77" s="3">
        <f>(-INDEX(Overview[b],9)+SQRT(POWER(INDEX(Overview[b],9),2)-(4*INDEX(Overview[a],9)*st_c[[#This Row],[c]])))/(2*INDEX(Overview[a],9))</f>
        <v>0.10683444245044703</v>
      </c>
      <c r="AJ77" s="19">
        <f>(-INDEX(Overview[b],10)+SQRT(POWER(INDEX(Overview[b],10),2)-(4*INDEX(Overview[a],10)*st_c[[#This Row],[c]])))/(2*INDEX(Overview[a],10))</f>
        <v>9.6150998205402072E-2</v>
      </c>
    </row>
    <row r="78" spans="1:36" x14ac:dyDescent="0.25">
      <c r="A78" s="2">
        <v>7.5000000000000002E-4</v>
      </c>
      <c r="B78" s="3" cm="1">
        <f t="array" ref="B78">SQRT((4*POWER(ttotal1,2)*st_a[[#This Row],[s(ta)]])/(9*s_t))</f>
        <v>0.33333333333333337</v>
      </c>
      <c r="C78" s="3" cm="1">
        <f t="array" ref="C78">SQRT((4*POWER(ttotal2,2)*st_a[[#This Row],[s(ta)]])/(9*s_t))</f>
        <v>0.16666666666666669</v>
      </c>
      <c r="D78" s="3" cm="1">
        <f t="array" ref="D78">SQRT((4*POWER(ttotal3,2)*st_a[[#This Row],[s(ta)]])/(9*s_t))</f>
        <v>0.1111111111111111</v>
      </c>
      <c r="E78" s="3" cm="1">
        <f t="array" ref="E78">SQRT((4*POWER(ttotal4,2)*st_a[[#This Row],[s(ta)]])/(9*s_t))</f>
        <v>8.3333333333333343E-2</v>
      </c>
      <c r="F78" s="3" cm="1">
        <f t="array" ref="F78">SQRT((4*POWER(ttotal5,2)*st_a[[#This Row],[s(ta)]])/(9*s_t))</f>
        <v>6.666666666666668E-2</v>
      </c>
      <c r="G78" s="3" cm="1">
        <f t="array" ref="G78">SQRT((4*POWER(ttotal6,2)*st_a[[#This Row],[s(ta)]])/(9*s_t))</f>
        <v>5.5555555555555552E-2</v>
      </c>
      <c r="H78" s="3" cm="1">
        <f t="array" ref="H78">SQRT((4*POWER(ttotal7,2)*st_a[[#This Row],[s(ta)]])/(9*s_t))</f>
        <v>4.7619047619047616E-2</v>
      </c>
      <c r="I78" s="3" cm="1">
        <f t="array" ref="I78">SQRT((4*POWER(ttotal8,2)*st_a[[#This Row],[s(ta)]])/(9*s_t))</f>
        <v>4.1666666666666671E-2</v>
      </c>
      <c r="J78" s="3" cm="1">
        <f t="array" ref="J78">SQRT((4*POWER(ttotal9,2)*st_a[[#This Row],[s(ta)]])/(9*s_t))</f>
        <v>3.7037037037037035E-2</v>
      </c>
      <c r="K78" s="3" cm="1">
        <f t="array" ref="K78">SQRT((4*POWER(ttotal10,2)*st_a[[#This Row],[s(ta)]])/(9*s_t))</f>
        <v>3.333333333333334E-2</v>
      </c>
      <c r="M78" s="8">
        <v>1.5E-3</v>
      </c>
      <c r="N78" s="3" cm="1">
        <f t="array" ref="N78">((2*ttotal1)/(3*s_t))*(st_b[[#This Row],[s(tb)]]+(s_t/4))</f>
        <v>0.5</v>
      </c>
      <c r="O78" s="3" cm="1">
        <f t="array" ref="O78">((2*ttotal2)/(3*s_t))*(st_b[[#This Row],[s(tb)]]+(s_t/4))</f>
        <v>0.25</v>
      </c>
      <c r="P78" s="3" cm="1">
        <f t="array" ref="P78">((2*ttotal3)/(3*s_t))*(st_b[[#This Row],[s(tb)]]+(s_t/4))</f>
        <v>0.16666666666666666</v>
      </c>
      <c r="Q78" s="3" cm="1">
        <f t="array" ref="Q78">((2*ttotal4)/(3*s_t))*(st_b[[#This Row],[s(tb)]]+(s_t/4))</f>
        <v>0.125</v>
      </c>
      <c r="R78" s="3" cm="1">
        <f t="array" ref="R78">((2*ttotal5)/(3*s_t))*(st_b[[#This Row],[s(tb)]]+(s_t/4))</f>
        <v>0.1</v>
      </c>
      <c r="S78" s="3" cm="1">
        <f t="array" ref="S78">((2*ttotal6)/(3*s_t))*(st_b[[#This Row],[s(tb)]]+(s_t/4))</f>
        <v>8.3333333333333329E-2</v>
      </c>
      <c r="T78" s="3" cm="1">
        <f t="array" ref="T78">((2*ttotal7)/(3*s_t))*(st_b[[#This Row],[s(tb)]]+(s_t/4))</f>
        <v>7.1428571428571425E-2</v>
      </c>
      <c r="U78" s="3" cm="1">
        <f t="array" ref="U78">((2*ttotal8)/(3*s_t))*(st_b[[#This Row],[s(tb)]]+(s_t/4))</f>
        <v>6.25E-2</v>
      </c>
      <c r="V78" s="3" cm="1">
        <f t="array" ref="V78">((2*ttotal9)/(3*s_t))*(st_b[[#This Row],[s(tb)]]+(s_t/4))</f>
        <v>5.5555555555555552E-2</v>
      </c>
      <c r="W78" s="3" cm="1">
        <f t="array" ref="W78">((2*ttotal10)/(3*s_t))*(st_b[[#This Row],[s(tb)]]+(s_t/4))</f>
        <v>0.05</v>
      </c>
      <c r="Y78" s="8">
        <v>3.0000000000000001E-3</v>
      </c>
      <c r="Z78" s="3" cm="1">
        <f t="array" ref="Z78">(-5*s_t/4)-Y78</f>
        <v>-6.7499999999999999E-3</v>
      </c>
      <c r="AA78" s="3">
        <f>(-INDEX(Overview[b],1)+SQRT(POWER(INDEX(Overview[b],1),2)-(4*INDEX(Overview[a],1)*st_c[[#This Row],[c]])))/(2*INDEX(Overview[a],1))</f>
        <v>1</v>
      </c>
      <c r="AB78" s="3">
        <f>(-INDEX(Overview[b],2)+SQRT(POWER(INDEX(Overview[b],2),2)-(4*INDEX(Overview[a],2)*st_c[[#This Row],[c]])))/(2*INDEX(Overview[a],2))</f>
        <v>0.5</v>
      </c>
      <c r="AC78" s="3">
        <f>(-INDEX(Overview[b],3)+SQRT(POWER(INDEX(Overview[b],3),2)-(4*INDEX(Overview[a],3)*st_c[[#This Row],[c]])))/(2*INDEX(Overview[a],3))</f>
        <v>0.33333332791321396</v>
      </c>
      <c r="AD78" s="3">
        <f>(-INDEX(Overview[b],4)+SQRT(POWER(INDEX(Overview[b],4),2)-(4*INDEX(Overview[a],4)*st_c[[#This Row],[c]])))/(2*INDEX(Overview[a],4))</f>
        <v>0.25</v>
      </c>
      <c r="AE78" s="3">
        <f>(-INDEX(Overview[b],5)+SQRT(POWER(INDEX(Overview[b],5),2)-(4*INDEX(Overview[a],5)*st_c[[#This Row],[c]])))/(2*INDEX(Overview[a],5))</f>
        <v>0.19999999609751407</v>
      </c>
      <c r="AF78" s="3">
        <f>(-INDEX(Overview[b],6)+SQRT(POWER(INDEX(Overview[b],6),2)-(4*INDEX(Overview[a],6)*st_c[[#This Row],[c]])))/(2*INDEX(Overview[a],6))</f>
        <v>0.16666666395660698</v>
      </c>
      <c r="AG78" s="3">
        <f>(-INDEX(Overview[b],7)+SQRT(POWER(INDEX(Overview[b],7),2)-(4*INDEX(Overview[a],7)*st_c[[#This Row],[c]])))/(2*INDEX(Overview[a],7))</f>
        <v>0.14285714285714285</v>
      </c>
      <c r="AH78" s="3">
        <f>(-INDEX(Overview[b],8)+SQRT(POWER(INDEX(Overview[b],8),2)-(4*INDEX(Overview[a],8)*st_c[[#This Row],[c]])))/(2*INDEX(Overview[a],8))</f>
        <v>0.125</v>
      </c>
      <c r="AI78" s="3">
        <f>(-INDEX(Overview[b],9)+SQRT(POWER(INDEX(Overview[b],9),2)-(4*INDEX(Overview[a],9)*st_c[[#This Row],[c]])))/(2*INDEX(Overview[a],9))</f>
        <v>0.11111110990664012</v>
      </c>
      <c r="AJ78" s="19">
        <f>(-INDEX(Overview[b],10)+SQRT(POWER(INDEX(Overview[b],10),2)-(4*INDEX(Overview[a],10)*st_c[[#This Row],[c]])))/(2*INDEX(Overview[a],10))</f>
        <v>9.9999998048757033E-2</v>
      </c>
    </row>
    <row r="79" spans="1:36" x14ac:dyDescent="0.25">
      <c r="M79" s="8">
        <v>1.5100000000000001E-3</v>
      </c>
      <c r="N79" s="3" cm="1">
        <f t="array" ref="N79">((2*ttotal1)/(3*s_t))*(st_b[[#This Row],[s(tb)]]+(s_t/4))</f>
        <v>0.50222222222222213</v>
      </c>
      <c r="O79" s="3" cm="1">
        <f t="array" ref="O79">((2*ttotal2)/(3*s_t))*(st_b[[#This Row],[s(tb)]]+(s_t/4))</f>
        <v>0.25111111111111106</v>
      </c>
      <c r="P79" s="3" cm="1">
        <f t="array" ref="P79">((2*ttotal3)/(3*s_t))*(st_b[[#This Row],[s(tb)]]+(s_t/4))</f>
        <v>0.16740740740740737</v>
      </c>
      <c r="Q79" s="3" cm="1">
        <f t="array" ref="Q79">((2*ttotal4)/(3*s_t))*(st_b[[#This Row],[s(tb)]]+(s_t/4))</f>
        <v>0.12555555555555553</v>
      </c>
      <c r="R79" s="3" cm="1">
        <f t="array" ref="R79">((2*ttotal5)/(3*s_t))*(st_b[[#This Row],[s(tb)]]+(s_t/4))</f>
        <v>0.10044444444444443</v>
      </c>
      <c r="S79" s="3" cm="1">
        <f t="array" ref="S79">((2*ttotal6)/(3*s_t))*(st_b[[#This Row],[s(tb)]]+(s_t/4))</f>
        <v>8.3703703703703683E-2</v>
      </c>
      <c r="T79" s="3" cm="1">
        <f t="array" ref="T79">((2*ttotal7)/(3*s_t))*(st_b[[#This Row],[s(tb)]]+(s_t/4))</f>
        <v>7.1746031746031724E-2</v>
      </c>
      <c r="U79" s="3" cm="1">
        <f t="array" ref="U79">((2*ttotal8)/(3*s_t))*(st_b[[#This Row],[s(tb)]]+(s_t/4))</f>
        <v>6.2777777777777766E-2</v>
      </c>
      <c r="V79" s="3" cm="1">
        <f t="array" ref="V79">((2*ttotal9)/(3*s_t))*(st_b[[#This Row],[s(tb)]]+(s_t/4))</f>
        <v>5.580246913580246E-2</v>
      </c>
      <c r="W79" s="3" cm="1">
        <f t="array" ref="W79">((2*ttotal10)/(3*s_t))*(st_b[[#This Row],[s(tb)]]+(s_t/4))</f>
        <v>5.0222222222222217E-2</v>
      </c>
    </row>
    <row r="80" spans="1:36" x14ac:dyDescent="0.25">
      <c r="M80" s="8">
        <v>1.5200000000000001E-3</v>
      </c>
      <c r="N80" s="3" cm="1">
        <f t="array" ref="N80">((2*ttotal1)/(3*s_t))*(st_b[[#This Row],[s(tb)]]+(s_t/4))</f>
        <v>0.50444444444444447</v>
      </c>
      <c r="O80" s="3" cm="1">
        <f t="array" ref="O80">((2*ttotal2)/(3*s_t))*(st_b[[#This Row],[s(tb)]]+(s_t/4))</f>
        <v>0.25222222222222224</v>
      </c>
      <c r="P80" s="3" cm="1">
        <f t="array" ref="P80">((2*ttotal3)/(3*s_t))*(st_b[[#This Row],[s(tb)]]+(s_t/4))</f>
        <v>0.16814814814814816</v>
      </c>
      <c r="Q80" s="3" cm="1">
        <f t="array" ref="Q80">((2*ttotal4)/(3*s_t))*(st_b[[#This Row],[s(tb)]]+(s_t/4))</f>
        <v>0.12611111111111112</v>
      </c>
      <c r="R80" s="3" cm="1">
        <f t="array" ref="R80">((2*ttotal5)/(3*s_t))*(st_b[[#This Row],[s(tb)]]+(s_t/4))</f>
        <v>0.1008888888888889</v>
      </c>
      <c r="S80" s="3" cm="1">
        <f t="array" ref="S80">((2*ttotal6)/(3*s_t))*(st_b[[#This Row],[s(tb)]]+(s_t/4))</f>
        <v>8.4074074074074079E-2</v>
      </c>
      <c r="T80" s="3" cm="1">
        <f t="array" ref="T80">((2*ttotal7)/(3*s_t))*(st_b[[#This Row],[s(tb)]]+(s_t/4))</f>
        <v>7.2063492063492066E-2</v>
      </c>
      <c r="U80" s="3" cm="1">
        <f t="array" ref="U80">((2*ttotal8)/(3*s_t))*(st_b[[#This Row],[s(tb)]]+(s_t/4))</f>
        <v>6.3055555555555559E-2</v>
      </c>
      <c r="V80" s="3" cm="1">
        <f t="array" ref="V80">((2*ttotal9)/(3*s_t))*(st_b[[#This Row],[s(tb)]]+(s_t/4))</f>
        <v>5.6049382716049381E-2</v>
      </c>
      <c r="W80" s="3" cm="1">
        <f t="array" ref="W80">((2*ttotal10)/(3*s_t))*(st_b[[#This Row],[s(tb)]]+(s_t/4))</f>
        <v>5.0444444444444451E-2</v>
      </c>
    </row>
    <row r="81" spans="13:23" x14ac:dyDescent="0.25">
      <c r="M81" s="8">
        <v>1.5300000000000001E-3</v>
      </c>
      <c r="N81" s="3" cm="1">
        <f t="array" ref="N81">((2*ttotal1)/(3*s_t))*(st_b[[#This Row],[s(tb)]]+(s_t/4))</f>
        <v>0.5066666666666666</v>
      </c>
      <c r="O81" s="3" cm="1">
        <f t="array" ref="O81">((2*ttotal2)/(3*s_t))*(st_b[[#This Row],[s(tb)]]+(s_t/4))</f>
        <v>0.2533333333333333</v>
      </c>
      <c r="P81" s="3" cm="1">
        <f t="array" ref="P81">((2*ttotal3)/(3*s_t))*(st_b[[#This Row],[s(tb)]]+(s_t/4))</f>
        <v>0.16888888888888887</v>
      </c>
      <c r="Q81" s="3" cm="1">
        <f t="array" ref="Q81">((2*ttotal4)/(3*s_t))*(st_b[[#This Row],[s(tb)]]+(s_t/4))</f>
        <v>0.12666666666666665</v>
      </c>
      <c r="R81" s="3" cm="1">
        <f t="array" ref="R81">((2*ttotal5)/(3*s_t))*(st_b[[#This Row],[s(tb)]]+(s_t/4))</f>
        <v>0.10133333333333333</v>
      </c>
      <c r="S81" s="3" cm="1">
        <f t="array" ref="S81">((2*ttotal6)/(3*s_t))*(st_b[[#This Row],[s(tb)]]+(s_t/4))</f>
        <v>8.4444444444444433E-2</v>
      </c>
      <c r="T81" s="3" cm="1">
        <f t="array" ref="T81">((2*ttotal7)/(3*s_t))*(st_b[[#This Row],[s(tb)]]+(s_t/4))</f>
        <v>7.2380952380952365E-2</v>
      </c>
      <c r="U81" s="3" cm="1">
        <f t="array" ref="U81">((2*ttotal8)/(3*s_t))*(st_b[[#This Row],[s(tb)]]+(s_t/4))</f>
        <v>6.3333333333333325E-2</v>
      </c>
      <c r="V81" s="3" cm="1">
        <f t="array" ref="V81">((2*ttotal9)/(3*s_t))*(st_b[[#This Row],[s(tb)]]+(s_t/4))</f>
        <v>5.6296296296296282E-2</v>
      </c>
      <c r="W81" s="3" cm="1">
        <f t="array" ref="W81">((2*ttotal10)/(3*s_t))*(st_b[[#This Row],[s(tb)]]+(s_t/4))</f>
        <v>5.0666666666666665E-2</v>
      </c>
    </row>
    <row r="82" spans="13:23" x14ac:dyDescent="0.25">
      <c r="M82" s="8">
        <v>1.5400000000000001E-3</v>
      </c>
      <c r="N82" s="3" cm="1">
        <f t="array" ref="N82">((2*ttotal1)/(3*s_t))*(st_b[[#This Row],[s(tb)]]+(s_t/4))</f>
        <v>0.50888888888888895</v>
      </c>
      <c r="O82" s="3" cm="1">
        <f t="array" ref="O82">((2*ttotal2)/(3*s_t))*(st_b[[#This Row],[s(tb)]]+(s_t/4))</f>
        <v>0.25444444444444447</v>
      </c>
      <c r="P82" s="3" cm="1">
        <f t="array" ref="P82">((2*ttotal3)/(3*s_t))*(st_b[[#This Row],[s(tb)]]+(s_t/4))</f>
        <v>0.16962962962962963</v>
      </c>
      <c r="Q82" s="3" cm="1">
        <f t="array" ref="Q82">((2*ttotal4)/(3*s_t))*(st_b[[#This Row],[s(tb)]]+(s_t/4))</f>
        <v>0.12722222222222224</v>
      </c>
      <c r="R82" s="3" cm="1">
        <f t="array" ref="R82">((2*ttotal5)/(3*s_t))*(st_b[[#This Row],[s(tb)]]+(s_t/4))</f>
        <v>0.10177777777777779</v>
      </c>
      <c r="S82" s="3" cm="1">
        <f t="array" ref="S82">((2*ttotal6)/(3*s_t))*(st_b[[#This Row],[s(tb)]]+(s_t/4))</f>
        <v>8.4814814814814815E-2</v>
      </c>
      <c r="T82" s="3" cm="1">
        <f t="array" ref="T82">((2*ttotal7)/(3*s_t))*(st_b[[#This Row],[s(tb)]]+(s_t/4))</f>
        <v>7.2698412698412693E-2</v>
      </c>
      <c r="U82" s="3" cm="1">
        <f t="array" ref="U82">((2*ttotal8)/(3*s_t))*(st_b[[#This Row],[s(tb)]]+(s_t/4))</f>
        <v>6.3611111111111118E-2</v>
      </c>
      <c r="V82" s="3" cm="1">
        <f t="array" ref="V82">((2*ttotal9)/(3*s_t))*(st_b[[#This Row],[s(tb)]]+(s_t/4))</f>
        <v>5.654320987654321E-2</v>
      </c>
      <c r="W82" s="3" cm="1">
        <f t="array" ref="W82">((2*ttotal10)/(3*s_t))*(st_b[[#This Row],[s(tb)]]+(s_t/4))</f>
        <v>5.0888888888888893E-2</v>
      </c>
    </row>
    <row r="83" spans="13:23" x14ac:dyDescent="0.25">
      <c r="M83" s="8">
        <v>1.5500000000000002E-3</v>
      </c>
      <c r="N83" s="3" cm="1">
        <f t="array" ref="N83">((2*ttotal1)/(3*s_t))*(st_b[[#This Row],[s(tb)]]+(s_t/4))</f>
        <v>0.51111111111111107</v>
      </c>
      <c r="O83" s="3" cm="1">
        <f t="array" ref="O83">((2*ttotal2)/(3*s_t))*(st_b[[#This Row],[s(tb)]]+(s_t/4))</f>
        <v>0.25555555555555554</v>
      </c>
      <c r="P83" s="3" cm="1">
        <f t="array" ref="P83">((2*ttotal3)/(3*s_t))*(st_b[[#This Row],[s(tb)]]+(s_t/4))</f>
        <v>0.17037037037037034</v>
      </c>
      <c r="Q83" s="3" cm="1">
        <f t="array" ref="Q83">((2*ttotal4)/(3*s_t))*(st_b[[#This Row],[s(tb)]]+(s_t/4))</f>
        <v>0.12777777777777777</v>
      </c>
      <c r="R83" s="3" cm="1">
        <f t="array" ref="R83">((2*ttotal5)/(3*s_t))*(st_b[[#This Row],[s(tb)]]+(s_t/4))</f>
        <v>0.10222222222222221</v>
      </c>
      <c r="S83" s="3" cm="1">
        <f t="array" ref="S83">((2*ttotal6)/(3*s_t))*(st_b[[#This Row],[s(tb)]]+(s_t/4))</f>
        <v>8.5185185185185169E-2</v>
      </c>
      <c r="T83" s="3" cm="1">
        <f t="array" ref="T83">((2*ttotal7)/(3*s_t))*(st_b[[#This Row],[s(tb)]]+(s_t/4))</f>
        <v>7.3015873015873006E-2</v>
      </c>
      <c r="U83" s="3" cm="1">
        <f t="array" ref="U83">((2*ttotal8)/(3*s_t))*(st_b[[#This Row],[s(tb)]]+(s_t/4))</f>
        <v>6.3888888888888884E-2</v>
      </c>
      <c r="V83" s="3" cm="1">
        <f t="array" ref="V83">((2*ttotal9)/(3*s_t))*(st_b[[#This Row],[s(tb)]]+(s_t/4))</f>
        <v>5.6790123456790111E-2</v>
      </c>
      <c r="W83" s="3" cm="1">
        <f t="array" ref="W83">((2*ttotal10)/(3*s_t))*(st_b[[#This Row],[s(tb)]]+(s_t/4))</f>
        <v>5.1111111111111107E-2</v>
      </c>
    </row>
    <row r="84" spans="13:23" x14ac:dyDescent="0.25">
      <c r="M84" s="8">
        <v>1.5600000000000002E-3</v>
      </c>
      <c r="N84" s="3" cm="1">
        <f t="array" ref="N84">((2*ttotal1)/(3*s_t))*(st_b[[#This Row],[s(tb)]]+(s_t/4))</f>
        <v>0.51333333333333342</v>
      </c>
      <c r="O84" s="3" cm="1">
        <f t="array" ref="O84">((2*ttotal2)/(3*s_t))*(st_b[[#This Row],[s(tb)]]+(s_t/4))</f>
        <v>0.25666666666666671</v>
      </c>
      <c r="P84" s="3" cm="1">
        <f t="array" ref="P84">((2*ttotal3)/(3*s_t))*(st_b[[#This Row],[s(tb)]]+(s_t/4))</f>
        <v>0.1711111111111111</v>
      </c>
      <c r="Q84" s="3" cm="1">
        <f t="array" ref="Q84">((2*ttotal4)/(3*s_t))*(st_b[[#This Row],[s(tb)]]+(s_t/4))</f>
        <v>0.12833333333333335</v>
      </c>
      <c r="R84" s="3" cm="1">
        <f t="array" ref="R84">((2*ttotal5)/(3*s_t))*(st_b[[#This Row],[s(tb)]]+(s_t/4))</f>
        <v>0.10266666666666668</v>
      </c>
      <c r="S84" s="3" cm="1">
        <f t="array" ref="S84">((2*ttotal6)/(3*s_t))*(st_b[[#This Row],[s(tb)]]+(s_t/4))</f>
        <v>8.5555555555555551E-2</v>
      </c>
      <c r="T84" s="3" cm="1">
        <f t="array" ref="T84">((2*ttotal7)/(3*s_t))*(st_b[[#This Row],[s(tb)]]+(s_t/4))</f>
        <v>7.3333333333333334E-2</v>
      </c>
      <c r="U84" s="3" cm="1">
        <f t="array" ref="U84">((2*ttotal8)/(3*s_t))*(st_b[[#This Row],[s(tb)]]+(s_t/4))</f>
        <v>6.4166666666666677E-2</v>
      </c>
      <c r="V84" s="3" cm="1">
        <f t="array" ref="V84">((2*ttotal9)/(3*s_t))*(st_b[[#This Row],[s(tb)]]+(s_t/4))</f>
        <v>5.7037037037037039E-2</v>
      </c>
      <c r="W84" s="3" cm="1">
        <f t="array" ref="W84">((2*ttotal10)/(3*s_t))*(st_b[[#This Row],[s(tb)]]+(s_t/4))</f>
        <v>5.1333333333333342E-2</v>
      </c>
    </row>
    <row r="85" spans="13:23" x14ac:dyDescent="0.25">
      <c r="M85" s="8">
        <v>1.5700000000000002E-3</v>
      </c>
      <c r="N85" s="3" cm="1">
        <f t="array" ref="N85">((2*ttotal1)/(3*s_t))*(st_b[[#This Row],[s(tb)]]+(s_t/4))</f>
        <v>0.51555555555555554</v>
      </c>
      <c r="O85" s="3" cm="1">
        <f t="array" ref="O85">((2*ttotal2)/(3*s_t))*(st_b[[#This Row],[s(tb)]]+(s_t/4))</f>
        <v>0.25777777777777777</v>
      </c>
      <c r="P85" s="3" cm="1">
        <f t="array" ref="P85">((2*ttotal3)/(3*s_t))*(st_b[[#This Row],[s(tb)]]+(s_t/4))</f>
        <v>0.17185185185185181</v>
      </c>
      <c r="Q85" s="3" cm="1">
        <f t="array" ref="Q85">((2*ttotal4)/(3*s_t))*(st_b[[#This Row],[s(tb)]]+(s_t/4))</f>
        <v>0.12888888888888889</v>
      </c>
      <c r="R85" s="3" cm="1">
        <f t="array" ref="R85">((2*ttotal5)/(3*s_t))*(st_b[[#This Row],[s(tb)]]+(s_t/4))</f>
        <v>0.10311111111111111</v>
      </c>
      <c r="S85" s="3" cm="1">
        <f t="array" ref="S85">((2*ttotal6)/(3*s_t))*(st_b[[#This Row],[s(tb)]]+(s_t/4))</f>
        <v>8.5925925925925906E-2</v>
      </c>
      <c r="T85" s="3" cm="1">
        <f t="array" ref="T85">((2*ttotal7)/(3*s_t))*(st_b[[#This Row],[s(tb)]]+(s_t/4))</f>
        <v>7.3650793650793633E-2</v>
      </c>
      <c r="U85" s="3" cm="1">
        <f t="array" ref="U85">((2*ttotal8)/(3*s_t))*(st_b[[#This Row],[s(tb)]]+(s_t/4))</f>
        <v>6.4444444444444443E-2</v>
      </c>
      <c r="V85" s="3" cm="1">
        <f t="array" ref="V85">((2*ttotal9)/(3*s_t))*(st_b[[#This Row],[s(tb)]]+(s_t/4))</f>
        <v>5.7283950617283939E-2</v>
      </c>
      <c r="W85" s="3" cm="1">
        <f t="array" ref="W85">((2*ttotal10)/(3*s_t))*(st_b[[#This Row],[s(tb)]]+(s_t/4))</f>
        <v>5.1555555555555556E-2</v>
      </c>
    </row>
    <row r="86" spans="13:23" x14ac:dyDescent="0.25">
      <c r="M86" s="8">
        <v>1.58E-3</v>
      </c>
      <c r="N86" s="3" cm="1">
        <f t="array" ref="N86">((2*ttotal1)/(3*s_t))*(st_b[[#This Row],[s(tb)]]+(s_t/4))</f>
        <v>0.51777777777777778</v>
      </c>
      <c r="O86" s="3" cm="1">
        <f t="array" ref="O86">((2*ttotal2)/(3*s_t))*(st_b[[#This Row],[s(tb)]]+(s_t/4))</f>
        <v>0.25888888888888889</v>
      </c>
      <c r="P86" s="3" cm="1">
        <f t="array" ref="P86">((2*ttotal3)/(3*s_t))*(st_b[[#This Row],[s(tb)]]+(s_t/4))</f>
        <v>0.17259259259259258</v>
      </c>
      <c r="Q86" s="3" cm="1">
        <f t="array" ref="Q86">((2*ttotal4)/(3*s_t))*(st_b[[#This Row],[s(tb)]]+(s_t/4))</f>
        <v>0.12944444444444445</v>
      </c>
      <c r="R86" s="3" cm="1">
        <f t="array" ref="R86">((2*ttotal5)/(3*s_t))*(st_b[[#This Row],[s(tb)]]+(s_t/4))</f>
        <v>0.10355555555555555</v>
      </c>
      <c r="S86" s="3" cm="1">
        <f t="array" ref="S86">((2*ttotal6)/(3*s_t))*(st_b[[#This Row],[s(tb)]]+(s_t/4))</f>
        <v>8.6296296296296288E-2</v>
      </c>
      <c r="T86" s="3" cm="1">
        <f t="array" ref="T86">((2*ttotal7)/(3*s_t))*(st_b[[#This Row],[s(tb)]]+(s_t/4))</f>
        <v>7.3968253968253961E-2</v>
      </c>
      <c r="U86" s="3" cm="1">
        <f t="array" ref="U86">((2*ttotal8)/(3*s_t))*(st_b[[#This Row],[s(tb)]]+(s_t/4))</f>
        <v>6.4722222222222223E-2</v>
      </c>
      <c r="V86" s="3" cm="1">
        <f t="array" ref="V86">((2*ttotal9)/(3*s_t))*(st_b[[#This Row],[s(tb)]]+(s_t/4))</f>
        <v>5.7530864197530854E-2</v>
      </c>
      <c r="W86" s="3" cm="1">
        <f t="array" ref="W86">((2*ttotal10)/(3*s_t))*(st_b[[#This Row],[s(tb)]]+(s_t/4))</f>
        <v>5.1777777777777777E-2</v>
      </c>
    </row>
    <row r="87" spans="13:23" x14ac:dyDescent="0.25">
      <c r="M87" s="8">
        <v>1.5900000000000001E-3</v>
      </c>
      <c r="N87" s="3" cm="1">
        <f t="array" ref="N87">((2*ttotal1)/(3*s_t))*(st_b[[#This Row],[s(tb)]]+(s_t/4))</f>
        <v>0.52</v>
      </c>
      <c r="O87" s="3" cm="1">
        <f t="array" ref="O87">((2*ttotal2)/(3*s_t))*(st_b[[#This Row],[s(tb)]]+(s_t/4))</f>
        <v>0.26</v>
      </c>
      <c r="P87" s="3" cm="1">
        <f t="array" ref="P87">((2*ttotal3)/(3*s_t))*(st_b[[#This Row],[s(tb)]]+(s_t/4))</f>
        <v>0.17333333333333331</v>
      </c>
      <c r="Q87" s="3" cm="1">
        <f t="array" ref="Q87">((2*ttotal4)/(3*s_t))*(st_b[[#This Row],[s(tb)]]+(s_t/4))</f>
        <v>0.13</v>
      </c>
      <c r="R87" s="3" cm="1">
        <f t="array" ref="R87">((2*ttotal5)/(3*s_t))*(st_b[[#This Row],[s(tb)]]+(s_t/4))</f>
        <v>0.104</v>
      </c>
      <c r="S87" s="3" cm="1">
        <f t="array" ref="S87">((2*ttotal6)/(3*s_t))*(st_b[[#This Row],[s(tb)]]+(s_t/4))</f>
        <v>8.6666666666666656E-2</v>
      </c>
      <c r="T87" s="3" cm="1">
        <f t="array" ref="T87">((2*ttotal7)/(3*s_t))*(st_b[[#This Row],[s(tb)]]+(s_t/4))</f>
        <v>7.4285714285714274E-2</v>
      </c>
      <c r="U87" s="3" cm="1">
        <f t="array" ref="U87">((2*ttotal8)/(3*s_t))*(st_b[[#This Row],[s(tb)]]+(s_t/4))</f>
        <v>6.5000000000000002E-2</v>
      </c>
      <c r="V87" s="3" cm="1">
        <f t="array" ref="V87">((2*ttotal9)/(3*s_t))*(st_b[[#This Row],[s(tb)]]+(s_t/4))</f>
        <v>5.7777777777777768E-2</v>
      </c>
      <c r="W87" s="3" cm="1">
        <f t="array" ref="W87">((2*ttotal10)/(3*s_t))*(st_b[[#This Row],[s(tb)]]+(s_t/4))</f>
        <v>5.1999999999999998E-2</v>
      </c>
    </row>
    <row r="88" spans="13:23" x14ac:dyDescent="0.25">
      <c r="M88" s="8">
        <v>1.6000000000000001E-3</v>
      </c>
      <c r="N88" s="3" cm="1">
        <f t="array" ref="N88">((2*ttotal1)/(3*s_t))*(st_b[[#This Row],[s(tb)]]+(s_t/4))</f>
        <v>0.52222222222222214</v>
      </c>
      <c r="O88" s="3" cm="1">
        <f t="array" ref="O88">((2*ttotal2)/(3*s_t))*(st_b[[#This Row],[s(tb)]]+(s_t/4))</f>
        <v>0.26111111111111107</v>
      </c>
      <c r="P88" s="3" cm="1">
        <f t="array" ref="P88">((2*ttotal3)/(3*s_t))*(st_b[[#This Row],[s(tb)]]+(s_t/4))</f>
        <v>0.17407407407407405</v>
      </c>
      <c r="Q88" s="3" cm="1">
        <f t="array" ref="Q88">((2*ttotal4)/(3*s_t))*(st_b[[#This Row],[s(tb)]]+(s_t/4))</f>
        <v>0.13055555555555554</v>
      </c>
      <c r="R88" s="3" cm="1">
        <f t="array" ref="R88">((2*ttotal5)/(3*s_t))*(st_b[[#This Row],[s(tb)]]+(s_t/4))</f>
        <v>0.10444444444444445</v>
      </c>
      <c r="S88" s="3" cm="1">
        <f t="array" ref="S88">((2*ttotal6)/(3*s_t))*(st_b[[#This Row],[s(tb)]]+(s_t/4))</f>
        <v>8.7037037037037024E-2</v>
      </c>
      <c r="T88" s="3" cm="1">
        <f t="array" ref="T88">((2*ttotal7)/(3*s_t))*(st_b[[#This Row],[s(tb)]]+(s_t/4))</f>
        <v>7.4603174603174588E-2</v>
      </c>
      <c r="U88" s="3" cm="1">
        <f t="array" ref="U88">((2*ttotal8)/(3*s_t))*(st_b[[#This Row],[s(tb)]]+(s_t/4))</f>
        <v>6.5277777777777768E-2</v>
      </c>
      <c r="V88" s="3" cm="1">
        <f t="array" ref="V88">((2*ttotal9)/(3*s_t))*(st_b[[#This Row],[s(tb)]]+(s_t/4))</f>
        <v>5.8024691358024683E-2</v>
      </c>
      <c r="W88" s="3" cm="1">
        <f t="array" ref="W88">((2*ttotal10)/(3*s_t))*(st_b[[#This Row],[s(tb)]]+(s_t/4))</f>
        <v>5.2222222222222225E-2</v>
      </c>
    </row>
    <row r="89" spans="13:23" x14ac:dyDescent="0.25">
      <c r="M89" s="8">
        <v>1.6100000000000001E-3</v>
      </c>
      <c r="N89" s="3" cm="1">
        <f t="array" ref="N89">((2*ttotal1)/(3*s_t))*(st_b[[#This Row],[s(tb)]]+(s_t/4))</f>
        <v>0.52444444444444438</v>
      </c>
      <c r="O89" s="3" cm="1">
        <f t="array" ref="O89">((2*ttotal2)/(3*s_t))*(st_b[[#This Row],[s(tb)]]+(s_t/4))</f>
        <v>0.26222222222222219</v>
      </c>
      <c r="P89" s="3" cm="1">
        <f t="array" ref="P89">((2*ttotal3)/(3*s_t))*(st_b[[#This Row],[s(tb)]]+(s_t/4))</f>
        <v>0.17481481481481478</v>
      </c>
      <c r="Q89" s="3" cm="1">
        <f t="array" ref="Q89">((2*ttotal4)/(3*s_t))*(st_b[[#This Row],[s(tb)]]+(s_t/4))</f>
        <v>0.13111111111111109</v>
      </c>
      <c r="R89" s="3" cm="1">
        <f t="array" ref="R89">((2*ttotal5)/(3*s_t))*(st_b[[#This Row],[s(tb)]]+(s_t/4))</f>
        <v>0.10488888888888889</v>
      </c>
      <c r="S89" s="3" cm="1">
        <f t="array" ref="S89">((2*ttotal6)/(3*s_t))*(st_b[[#This Row],[s(tb)]]+(s_t/4))</f>
        <v>8.7407407407407392E-2</v>
      </c>
      <c r="T89" s="3" cm="1">
        <f t="array" ref="T89">((2*ttotal7)/(3*s_t))*(st_b[[#This Row],[s(tb)]]+(s_t/4))</f>
        <v>7.4920634920634915E-2</v>
      </c>
      <c r="U89" s="3" cm="1">
        <f t="array" ref="U89">((2*ttotal8)/(3*s_t))*(st_b[[#This Row],[s(tb)]]+(s_t/4))</f>
        <v>6.5555555555555547E-2</v>
      </c>
      <c r="V89" s="3" cm="1">
        <f t="array" ref="V89">((2*ttotal9)/(3*s_t))*(st_b[[#This Row],[s(tb)]]+(s_t/4))</f>
        <v>5.8271604938271597E-2</v>
      </c>
      <c r="W89" s="3" cm="1">
        <f t="array" ref="W89">((2*ttotal10)/(3*s_t))*(st_b[[#This Row],[s(tb)]]+(s_t/4))</f>
        <v>5.2444444444444446E-2</v>
      </c>
    </row>
    <row r="90" spans="13:23" x14ac:dyDescent="0.25">
      <c r="M90" s="8">
        <v>1.6200000000000001E-3</v>
      </c>
      <c r="N90" s="3" cm="1">
        <f t="array" ref="N90">((2*ttotal1)/(3*s_t))*(st_b[[#This Row],[s(tb)]]+(s_t/4))</f>
        <v>0.52666666666666662</v>
      </c>
      <c r="O90" s="3" cm="1">
        <f t="array" ref="O90">((2*ttotal2)/(3*s_t))*(st_b[[#This Row],[s(tb)]]+(s_t/4))</f>
        <v>0.26333333333333331</v>
      </c>
      <c r="P90" s="3" cm="1">
        <f t="array" ref="P90">((2*ttotal3)/(3*s_t))*(st_b[[#This Row],[s(tb)]]+(s_t/4))</f>
        <v>0.17555555555555555</v>
      </c>
      <c r="Q90" s="3" cm="1">
        <f t="array" ref="Q90">((2*ttotal4)/(3*s_t))*(st_b[[#This Row],[s(tb)]]+(s_t/4))</f>
        <v>0.13166666666666665</v>
      </c>
      <c r="R90" s="3" cm="1">
        <f t="array" ref="R90">((2*ttotal5)/(3*s_t))*(st_b[[#This Row],[s(tb)]]+(s_t/4))</f>
        <v>0.10533333333333333</v>
      </c>
      <c r="S90" s="3" cm="1">
        <f t="array" ref="S90">((2*ttotal6)/(3*s_t))*(st_b[[#This Row],[s(tb)]]+(s_t/4))</f>
        <v>8.7777777777777774E-2</v>
      </c>
      <c r="T90" s="3" cm="1">
        <f t="array" ref="T90">((2*ttotal7)/(3*s_t))*(st_b[[#This Row],[s(tb)]]+(s_t/4))</f>
        <v>7.5238095238095229E-2</v>
      </c>
      <c r="U90" s="3" cm="1">
        <f t="array" ref="U90">((2*ttotal8)/(3*s_t))*(st_b[[#This Row],[s(tb)]]+(s_t/4))</f>
        <v>6.5833333333333327E-2</v>
      </c>
      <c r="V90" s="3" cm="1">
        <f t="array" ref="V90">((2*ttotal9)/(3*s_t))*(st_b[[#This Row],[s(tb)]]+(s_t/4))</f>
        <v>5.8518518518518511E-2</v>
      </c>
      <c r="W90" s="3" cm="1">
        <f t="array" ref="W90">((2*ttotal10)/(3*s_t))*(st_b[[#This Row],[s(tb)]]+(s_t/4))</f>
        <v>5.2666666666666667E-2</v>
      </c>
    </row>
    <row r="91" spans="13:23" x14ac:dyDescent="0.25">
      <c r="M91" s="8">
        <v>1.6300000000000002E-3</v>
      </c>
      <c r="N91" s="3" cm="1">
        <f t="array" ref="N91">((2*ttotal1)/(3*s_t))*(st_b[[#This Row],[s(tb)]]+(s_t/4))</f>
        <v>0.52888888888888885</v>
      </c>
      <c r="O91" s="3" cm="1">
        <f t="array" ref="O91">((2*ttotal2)/(3*s_t))*(st_b[[#This Row],[s(tb)]]+(s_t/4))</f>
        <v>0.26444444444444443</v>
      </c>
      <c r="P91" s="3" cm="1">
        <f t="array" ref="P91">((2*ttotal3)/(3*s_t))*(st_b[[#This Row],[s(tb)]]+(s_t/4))</f>
        <v>0.17629629629629628</v>
      </c>
      <c r="Q91" s="3" cm="1">
        <f t="array" ref="Q91">((2*ttotal4)/(3*s_t))*(st_b[[#This Row],[s(tb)]]+(s_t/4))</f>
        <v>0.13222222222222221</v>
      </c>
      <c r="R91" s="3" cm="1">
        <f t="array" ref="R91">((2*ttotal5)/(3*s_t))*(st_b[[#This Row],[s(tb)]]+(s_t/4))</f>
        <v>0.10577777777777778</v>
      </c>
      <c r="S91" s="3" cm="1">
        <f t="array" ref="S91">((2*ttotal6)/(3*s_t))*(st_b[[#This Row],[s(tb)]]+(s_t/4))</f>
        <v>8.8148148148148142E-2</v>
      </c>
      <c r="T91" s="3" cm="1">
        <f t="array" ref="T91">((2*ttotal7)/(3*s_t))*(st_b[[#This Row],[s(tb)]]+(s_t/4))</f>
        <v>7.5555555555555542E-2</v>
      </c>
      <c r="U91" s="3" cm="1">
        <f t="array" ref="U91">((2*ttotal8)/(3*s_t))*(st_b[[#This Row],[s(tb)]]+(s_t/4))</f>
        <v>6.6111111111111107E-2</v>
      </c>
      <c r="V91" s="3" cm="1">
        <f t="array" ref="V91">((2*ttotal9)/(3*s_t))*(st_b[[#This Row],[s(tb)]]+(s_t/4))</f>
        <v>5.8765432098765426E-2</v>
      </c>
      <c r="W91" s="3" cm="1">
        <f t="array" ref="W91">((2*ttotal10)/(3*s_t))*(st_b[[#This Row],[s(tb)]]+(s_t/4))</f>
        <v>5.2888888888888888E-2</v>
      </c>
    </row>
    <row r="92" spans="13:23" x14ac:dyDescent="0.25">
      <c r="M92" s="8">
        <v>1.6400000000000002E-3</v>
      </c>
      <c r="N92" s="3" cm="1">
        <f t="array" ref="N92">((2*ttotal1)/(3*s_t))*(st_b[[#This Row],[s(tb)]]+(s_t/4))</f>
        <v>0.53111111111111109</v>
      </c>
      <c r="O92" s="3" cm="1">
        <f t="array" ref="O92">((2*ttotal2)/(3*s_t))*(st_b[[#This Row],[s(tb)]]+(s_t/4))</f>
        <v>0.26555555555555554</v>
      </c>
      <c r="P92" s="3" cm="1">
        <f t="array" ref="P92">((2*ttotal3)/(3*s_t))*(st_b[[#This Row],[s(tb)]]+(s_t/4))</f>
        <v>0.17703703703703702</v>
      </c>
      <c r="Q92" s="3" cm="1">
        <f t="array" ref="Q92">((2*ttotal4)/(3*s_t))*(st_b[[#This Row],[s(tb)]]+(s_t/4))</f>
        <v>0.13277777777777777</v>
      </c>
      <c r="R92" s="3" cm="1">
        <f t="array" ref="R92">((2*ttotal5)/(3*s_t))*(st_b[[#This Row],[s(tb)]]+(s_t/4))</f>
        <v>0.10622222222222223</v>
      </c>
      <c r="S92" s="3" cm="1">
        <f t="array" ref="S92">((2*ttotal6)/(3*s_t))*(st_b[[#This Row],[s(tb)]]+(s_t/4))</f>
        <v>8.851851851851851E-2</v>
      </c>
      <c r="T92" s="3" cm="1">
        <f t="array" ref="T92">((2*ttotal7)/(3*s_t))*(st_b[[#This Row],[s(tb)]]+(s_t/4))</f>
        <v>7.587301587301587E-2</v>
      </c>
      <c r="U92" s="3" cm="1">
        <f t="array" ref="U92">((2*ttotal8)/(3*s_t))*(st_b[[#This Row],[s(tb)]]+(s_t/4))</f>
        <v>6.6388888888888886E-2</v>
      </c>
      <c r="V92" s="3" cm="1">
        <f t="array" ref="V92">((2*ttotal9)/(3*s_t))*(st_b[[#This Row],[s(tb)]]+(s_t/4))</f>
        <v>5.901234567901234E-2</v>
      </c>
      <c r="W92" s="3" cm="1">
        <f t="array" ref="W92">((2*ttotal10)/(3*s_t))*(st_b[[#This Row],[s(tb)]]+(s_t/4))</f>
        <v>5.3111111111111116E-2</v>
      </c>
    </row>
    <row r="93" spans="13:23" x14ac:dyDescent="0.25">
      <c r="M93" s="8">
        <v>1.6500000000000002E-3</v>
      </c>
      <c r="N93" s="3" cm="1">
        <f t="array" ref="N93">((2*ttotal1)/(3*s_t))*(st_b[[#This Row],[s(tb)]]+(s_t/4))</f>
        <v>0.53333333333333333</v>
      </c>
      <c r="O93" s="3" cm="1">
        <f t="array" ref="O93">((2*ttotal2)/(3*s_t))*(st_b[[#This Row],[s(tb)]]+(s_t/4))</f>
        <v>0.26666666666666666</v>
      </c>
      <c r="P93" s="3" cm="1">
        <f t="array" ref="P93">((2*ttotal3)/(3*s_t))*(st_b[[#This Row],[s(tb)]]+(s_t/4))</f>
        <v>0.17777777777777776</v>
      </c>
      <c r="Q93" s="3" cm="1">
        <f t="array" ref="Q93">((2*ttotal4)/(3*s_t))*(st_b[[#This Row],[s(tb)]]+(s_t/4))</f>
        <v>0.13333333333333333</v>
      </c>
      <c r="R93" s="3" cm="1">
        <f t="array" ref="R93">((2*ttotal5)/(3*s_t))*(st_b[[#This Row],[s(tb)]]+(s_t/4))</f>
        <v>0.10666666666666667</v>
      </c>
      <c r="S93" s="3" cm="1">
        <f t="array" ref="S93">((2*ttotal6)/(3*s_t))*(st_b[[#This Row],[s(tb)]]+(s_t/4))</f>
        <v>8.8888888888888878E-2</v>
      </c>
      <c r="T93" s="3" cm="1">
        <f t="array" ref="T93">((2*ttotal7)/(3*s_t))*(st_b[[#This Row],[s(tb)]]+(s_t/4))</f>
        <v>7.6190476190476183E-2</v>
      </c>
      <c r="U93" s="3" cm="1">
        <f t="array" ref="U93">((2*ttotal8)/(3*s_t))*(st_b[[#This Row],[s(tb)]]+(s_t/4))</f>
        <v>6.6666666666666666E-2</v>
      </c>
      <c r="V93" s="3" cm="1">
        <f t="array" ref="V93">((2*ttotal9)/(3*s_t))*(st_b[[#This Row],[s(tb)]]+(s_t/4))</f>
        <v>5.9259259259259255E-2</v>
      </c>
      <c r="W93" s="3" cm="1">
        <f t="array" ref="W93">((2*ttotal10)/(3*s_t))*(st_b[[#This Row],[s(tb)]]+(s_t/4))</f>
        <v>5.3333333333333337E-2</v>
      </c>
    </row>
    <row r="94" spans="13:23" x14ac:dyDescent="0.25">
      <c r="M94" s="8">
        <v>1.6600000000000002E-3</v>
      </c>
      <c r="N94" s="3" cm="1">
        <f t="array" ref="N94">((2*ttotal1)/(3*s_t))*(st_b[[#This Row],[s(tb)]]+(s_t/4))</f>
        <v>0.53555555555555556</v>
      </c>
      <c r="O94" s="3" cm="1">
        <f t="array" ref="O94">((2*ttotal2)/(3*s_t))*(st_b[[#This Row],[s(tb)]]+(s_t/4))</f>
        <v>0.26777777777777778</v>
      </c>
      <c r="P94" s="3" cm="1">
        <f t="array" ref="P94">((2*ttotal3)/(3*s_t))*(st_b[[#This Row],[s(tb)]]+(s_t/4))</f>
        <v>0.17851851851851852</v>
      </c>
      <c r="Q94" s="3" cm="1">
        <f t="array" ref="Q94">((2*ttotal4)/(3*s_t))*(st_b[[#This Row],[s(tb)]]+(s_t/4))</f>
        <v>0.13388888888888889</v>
      </c>
      <c r="R94" s="3" cm="1">
        <f t="array" ref="R94">((2*ttotal5)/(3*s_t))*(st_b[[#This Row],[s(tb)]]+(s_t/4))</f>
        <v>0.10711111111111112</v>
      </c>
      <c r="S94" s="3" cm="1">
        <f t="array" ref="S94">((2*ttotal6)/(3*s_t))*(st_b[[#This Row],[s(tb)]]+(s_t/4))</f>
        <v>8.925925925925926E-2</v>
      </c>
      <c r="T94" s="3" cm="1">
        <f t="array" ref="T94">((2*ttotal7)/(3*s_t))*(st_b[[#This Row],[s(tb)]]+(s_t/4))</f>
        <v>7.6507936507936497E-2</v>
      </c>
      <c r="U94" s="3" cm="1">
        <f t="array" ref="U94">((2*ttotal8)/(3*s_t))*(st_b[[#This Row],[s(tb)]]+(s_t/4))</f>
        <v>6.6944444444444445E-2</v>
      </c>
      <c r="V94" s="3" cm="1">
        <f t="array" ref="V94">((2*ttotal9)/(3*s_t))*(st_b[[#This Row],[s(tb)]]+(s_t/4))</f>
        <v>5.9506172839506169E-2</v>
      </c>
      <c r="W94" s="3" cm="1">
        <f t="array" ref="W94">((2*ttotal10)/(3*s_t))*(st_b[[#This Row],[s(tb)]]+(s_t/4))</f>
        <v>5.3555555555555558E-2</v>
      </c>
    </row>
    <row r="95" spans="13:23" x14ac:dyDescent="0.25">
      <c r="M95" s="8">
        <v>1.67E-3</v>
      </c>
      <c r="N95" s="3" cm="1">
        <f t="array" ref="N95">((2*ttotal1)/(3*s_t))*(st_b[[#This Row],[s(tb)]]+(s_t/4))</f>
        <v>0.5377777777777778</v>
      </c>
      <c r="O95" s="3" cm="1">
        <f t="array" ref="O95">((2*ttotal2)/(3*s_t))*(st_b[[#This Row],[s(tb)]]+(s_t/4))</f>
        <v>0.2688888888888889</v>
      </c>
      <c r="P95" s="3" cm="1">
        <f t="array" ref="P95">((2*ttotal3)/(3*s_t))*(st_b[[#This Row],[s(tb)]]+(s_t/4))</f>
        <v>0.17925925925925926</v>
      </c>
      <c r="Q95" s="3" cm="1">
        <f t="array" ref="Q95">((2*ttotal4)/(3*s_t))*(st_b[[#This Row],[s(tb)]]+(s_t/4))</f>
        <v>0.13444444444444445</v>
      </c>
      <c r="R95" s="3" cm="1">
        <f t="array" ref="R95">((2*ttotal5)/(3*s_t))*(st_b[[#This Row],[s(tb)]]+(s_t/4))</f>
        <v>0.10755555555555557</v>
      </c>
      <c r="S95" s="3" cm="1">
        <f t="array" ref="S95">((2*ttotal6)/(3*s_t))*(st_b[[#This Row],[s(tb)]]+(s_t/4))</f>
        <v>8.9629629629629629E-2</v>
      </c>
      <c r="T95" s="3" cm="1">
        <f t="array" ref="T95">((2*ttotal7)/(3*s_t))*(st_b[[#This Row],[s(tb)]]+(s_t/4))</f>
        <v>7.6825396825396824E-2</v>
      </c>
      <c r="U95" s="3" cm="1">
        <f t="array" ref="U95">((2*ttotal8)/(3*s_t))*(st_b[[#This Row],[s(tb)]]+(s_t/4))</f>
        <v>6.7222222222222225E-2</v>
      </c>
      <c r="V95" s="3" cm="1">
        <f t="array" ref="V95">((2*ttotal9)/(3*s_t))*(st_b[[#This Row],[s(tb)]]+(s_t/4))</f>
        <v>5.9753086419753083E-2</v>
      </c>
      <c r="W95" s="3" cm="1">
        <f t="array" ref="W95">((2*ttotal10)/(3*s_t))*(st_b[[#This Row],[s(tb)]]+(s_t/4))</f>
        <v>5.3777777777777785E-2</v>
      </c>
    </row>
    <row r="96" spans="13:23" x14ac:dyDescent="0.25">
      <c r="M96" s="8">
        <v>1.6800000000000001E-3</v>
      </c>
      <c r="N96" s="3" cm="1">
        <f t="array" ref="N96">((2*ttotal1)/(3*s_t))*(st_b[[#This Row],[s(tb)]]+(s_t/4))</f>
        <v>0.53999999999999992</v>
      </c>
      <c r="O96" s="3" cm="1">
        <f t="array" ref="O96">((2*ttotal2)/(3*s_t))*(st_b[[#This Row],[s(tb)]]+(s_t/4))</f>
        <v>0.26999999999999996</v>
      </c>
      <c r="P96" s="3" cm="1">
        <f t="array" ref="P96">((2*ttotal3)/(3*s_t))*(st_b[[#This Row],[s(tb)]]+(s_t/4))</f>
        <v>0.17999999999999997</v>
      </c>
      <c r="Q96" s="3" cm="1">
        <f t="array" ref="Q96">((2*ttotal4)/(3*s_t))*(st_b[[#This Row],[s(tb)]]+(s_t/4))</f>
        <v>0.13499999999999998</v>
      </c>
      <c r="R96" s="3" cm="1">
        <f t="array" ref="R96">((2*ttotal5)/(3*s_t))*(st_b[[#This Row],[s(tb)]]+(s_t/4))</f>
        <v>0.10799999999999998</v>
      </c>
      <c r="S96" s="3" cm="1">
        <f t="array" ref="S96">((2*ttotal6)/(3*s_t))*(st_b[[#This Row],[s(tb)]]+(s_t/4))</f>
        <v>8.9999999999999983E-2</v>
      </c>
      <c r="T96" s="3" cm="1">
        <f t="array" ref="T96">((2*ttotal7)/(3*s_t))*(st_b[[#This Row],[s(tb)]]+(s_t/4))</f>
        <v>7.7142857142857124E-2</v>
      </c>
      <c r="U96" s="3" cm="1">
        <f t="array" ref="U96">((2*ttotal8)/(3*s_t))*(st_b[[#This Row],[s(tb)]]+(s_t/4))</f>
        <v>6.7499999999999991E-2</v>
      </c>
      <c r="V96" s="3" cm="1">
        <f t="array" ref="V96">((2*ttotal9)/(3*s_t))*(st_b[[#This Row],[s(tb)]]+(s_t/4))</f>
        <v>5.9999999999999984E-2</v>
      </c>
      <c r="W96" s="3" cm="1">
        <f t="array" ref="W96">((2*ttotal10)/(3*s_t))*(st_b[[#This Row],[s(tb)]]+(s_t/4))</f>
        <v>5.3999999999999992E-2</v>
      </c>
    </row>
    <row r="97" spans="13:23" x14ac:dyDescent="0.25">
      <c r="M97" s="8">
        <v>1.6900000000000001E-3</v>
      </c>
      <c r="N97" s="3" cm="1">
        <f t="array" ref="N97">((2*ttotal1)/(3*s_t))*(st_b[[#This Row],[s(tb)]]+(s_t/4))</f>
        <v>0.54222222222222227</v>
      </c>
      <c r="O97" s="3" cm="1">
        <f t="array" ref="O97">((2*ttotal2)/(3*s_t))*(st_b[[#This Row],[s(tb)]]+(s_t/4))</f>
        <v>0.27111111111111114</v>
      </c>
      <c r="P97" s="3" cm="1">
        <f t="array" ref="P97">((2*ttotal3)/(3*s_t))*(st_b[[#This Row],[s(tb)]]+(s_t/4))</f>
        <v>0.18074074074074073</v>
      </c>
      <c r="Q97" s="3" cm="1">
        <f t="array" ref="Q97">((2*ttotal4)/(3*s_t))*(st_b[[#This Row],[s(tb)]]+(s_t/4))</f>
        <v>0.13555555555555557</v>
      </c>
      <c r="R97" s="3" cm="1">
        <f t="array" ref="R97">((2*ttotal5)/(3*s_t))*(st_b[[#This Row],[s(tb)]]+(s_t/4))</f>
        <v>0.10844444444444445</v>
      </c>
      <c r="S97" s="3" cm="1">
        <f t="array" ref="S97">((2*ttotal6)/(3*s_t))*(st_b[[#This Row],[s(tb)]]+(s_t/4))</f>
        <v>9.0370370370370365E-2</v>
      </c>
      <c r="T97" s="3" cm="1">
        <f t="array" ref="T97">((2*ttotal7)/(3*s_t))*(st_b[[#This Row],[s(tb)]]+(s_t/4))</f>
        <v>7.7460317460317452E-2</v>
      </c>
      <c r="U97" s="3" cm="1">
        <f t="array" ref="U97">((2*ttotal8)/(3*s_t))*(st_b[[#This Row],[s(tb)]]+(s_t/4))</f>
        <v>6.7777777777777784E-2</v>
      </c>
      <c r="V97" s="3" cm="1">
        <f t="array" ref="V97">((2*ttotal9)/(3*s_t))*(st_b[[#This Row],[s(tb)]]+(s_t/4))</f>
        <v>6.0246913580246912E-2</v>
      </c>
      <c r="W97" s="3" cm="1">
        <f t="array" ref="W97">((2*ttotal10)/(3*s_t))*(st_b[[#This Row],[s(tb)]]+(s_t/4))</f>
        <v>5.4222222222222227E-2</v>
      </c>
    </row>
    <row r="98" spans="13:23" x14ac:dyDescent="0.25">
      <c r="M98" s="8">
        <v>1.7000000000000001E-3</v>
      </c>
      <c r="N98" s="3" cm="1">
        <f t="array" ref="N98">((2*ttotal1)/(3*s_t))*(st_b[[#This Row],[s(tb)]]+(s_t/4))</f>
        <v>0.5444444444444444</v>
      </c>
      <c r="O98" s="3" cm="1">
        <f t="array" ref="O98">((2*ttotal2)/(3*s_t))*(st_b[[#This Row],[s(tb)]]+(s_t/4))</f>
        <v>0.2722222222222222</v>
      </c>
      <c r="P98" s="3" cm="1">
        <f t="array" ref="P98">((2*ttotal3)/(3*s_t))*(st_b[[#This Row],[s(tb)]]+(s_t/4))</f>
        <v>0.18148148148148144</v>
      </c>
      <c r="Q98" s="3" cm="1">
        <f t="array" ref="Q98">((2*ttotal4)/(3*s_t))*(st_b[[#This Row],[s(tb)]]+(s_t/4))</f>
        <v>0.1361111111111111</v>
      </c>
      <c r="R98" s="3" cm="1">
        <f t="array" ref="R98">((2*ttotal5)/(3*s_t))*(st_b[[#This Row],[s(tb)]]+(s_t/4))</f>
        <v>0.10888888888888888</v>
      </c>
      <c r="S98" s="3" cm="1">
        <f t="array" ref="S98">((2*ttotal6)/(3*s_t))*(st_b[[#This Row],[s(tb)]]+(s_t/4))</f>
        <v>9.0740740740740719E-2</v>
      </c>
      <c r="T98" s="3" cm="1">
        <f t="array" ref="T98">((2*ttotal7)/(3*s_t))*(st_b[[#This Row],[s(tb)]]+(s_t/4))</f>
        <v>7.7777777777777765E-2</v>
      </c>
      <c r="U98" s="3" cm="1">
        <f t="array" ref="U98">((2*ttotal8)/(3*s_t))*(st_b[[#This Row],[s(tb)]]+(s_t/4))</f>
        <v>6.805555555555555E-2</v>
      </c>
      <c r="V98" s="3" cm="1">
        <f t="array" ref="V98">((2*ttotal9)/(3*s_t))*(st_b[[#This Row],[s(tb)]]+(s_t/4))</f>
        <v>6.0493827160493813E-2</v>
      </c>
      <c r="W98" s="3" cm="1">
        <f t="array" ref="W98">((2*ttotal10)/(3*s_t))*(st_b[[#This Row],[s(tb)]]+(s_t/4))</f>
        <v>5.4444444444444441E-2</v>
      </c>
    </row>
    <row r="99" spans="13:23" x14ac:dyDescent="0.25">
      <c r="M99" s="8">
        <v>1.7100000000000001E-3</v>
      </c>
      <c r="N99" s="3" cm="1">
        <f t="array" ref="N99">((2*ttotal1)/(3*s_t))*(st_b[[#This Row],[s(tb)]]+(s_t/4))</f>
        <v>0.54666666666666675</v>
      </c>
      <c r="O99" s="3" cm="1">
        <f t="array" ref="O99">((2*ttotal2)/(3*s_t))*(st_b[[#This Row],[s(tb)]]+(s_t/4))</f>
        <v>0.27333333333333337</v>
      </c>
      <c r="P99" s="3" cm="1">
        <f t="array" ref="P99">((2*ttotal3)/(3*s_t))*(st_b[[#This Row],[s(tb)]]+(s_t/4))</f>
        <v>0.18222222222222223</v>
      </c>
      <c r="Q99" s="3" cm="1">
        <f t="array" ref="Q99">((2*ttotal4)/(3*s_t))*(st_b[[#This Row],[s(tb)]]+(s_t/4))</f>
        <v>0.13666666666666669</v>
      </c>
      <c r="R99" s="3" cm="1">
        <f t="array" ref="R99">((2*ttotal5)/(3*s_t))*(st_b[[#This Row],[s(tb)]]+(s_t/4))</f>
        <v>0.10933333333333335</v>
      </c>
      <c r="S99" s="3" cm="1">
        <f t="array" ref="S99">((2*ttotal6)/(3*s_t))*(st_b[[#This Row],[s(tb)]]+(s_t/4))</f>
        <v>9.1111111111111115E-2</v>
      </c>
      <c r="T99" s="3" cm="1">
        <f t="array" ref="T99">((2*ttotal7)/(3*s_t))*(st_b[[#This Row],[s(tb)]]+(s_t/4))</f>
        <v>7.8095238095238093E-2</v>
      </c>
      <c r="U99" s="3" cm="1">
        <f t="array" ref="U99">((2*ttotal8)/(3*s_t))*(st_b[[#This Row],[s(tb)]]+(s_t/4))</f>
        <v>6.8333333333333343E-2</v>
      </c>
      <c r="V99" s="3" cm="1">
        <f t="array" ref="V99">((2*ttotal9)/(3*s_t))*(st_b[[#This Row],[s(tb)]]+(s_t/4))</f>
        <v>6.0740740740740741E-2</v>
      </c>
      <c r="W99" s="3" cm="1">
        <f t="array" ref="W99">((2*ttotal10)/(3*s_t))*(st_b[[#This Row],[s(tb)]]+(s_t/4))</f>
        <v>5.4666666666666676E-2</v>
      </c>
    </row>
    <row r="100" spans="13:23" x14ac:dyDescent="0.25">
      <c r="M100" s="8">
        <v>1.7200000000000002E-3</v>
      </c>
      <c r="N100" s="3" cm="1">
        <f t="array" ref="N100">((2*ttotal1)/(3*s_t))*(st_b[[#This Row],[s(tb)]]+(s_t/4))</f>
        <v>0.54888888888888887</v>
      </c>
      <c r="O100" s="3" cm="1">
        <f t="array" ref="O100">((2*ttotal2)/(3*s_t))*(st_b[[#This Row],[s(tb)]]+(s_t/4))</f>
        <v>0.27444444444444444</v>
      </c>
      <c r="P100" s="3" cm="1">
        <f t="array" ref="P100">((2*ttotal3)/(3*s_t))*(st_b[[#This Row],[s(tb)]]+(s_t/4))</f>
        <v>0.18296296296296294</v>
      </c>
      <c r="Q100" s="3" cm="1">
        <f t="array" ref="Q100">((2*ttotal4)/(3*s_t))*(st_b[[#This Row],[s(tb)]]+(s_t/4))</f>
        <v>0.13722222222222222</v>
      </c>
      <c r="R100" s="3" cm="1">
        <f t="array" ref="R100">((2*ttotal5)/(3*s_t))*(st_b[[#This Row],[s(tb)]]+(s_t/4))</f>
        <v>0.10977777777777777</v>
      </c>
      <c r="S100" s="3" cm="1">
        <f t="array" ref="S100">((2*ttotal6)/(3*s_t))*(st_b[[#This Row],[s(tb)]]+(s_t/4))</f>
        <v>9.1481481481481469E-2</v>
      </c>
      <c r="T100" s="3" cm="1">
        <f t="array" ref="T100">((2*ttotal7)/(3*s_t))*(st_b[[#This Row],[s(tb)]]+(s_t/4))</f>
        <v>7.8412698412698392E-2</v>
      </c>
      <c r="U100" s="3" cm="1">
        <f t="array" ref="U100">((2*ttotal8)/(3*s_t))*(st_b[[#This Row],[s(tb)]]+(s_t/4))</f>
        <v>6.8611111111111109E-2</v>
      </c>
      <c r="V100" s="3" cm="1">
        <f t="array" ref="V100">((2*ttotal9)/(3*s_t))*(st_b[[#This Row],[s(tb)]]+(s_t/4))</f>
        <v>6.0987654320987641E-2</v>
      </c>
      <c r="W100" s="3" cm="1">
        <f t="array" ref="W100">((2*ttotal10)/(3*s_t))*(st_b[[#This Row],[s(tb)]]+(s_t/4))</f>
        <v>5.4888888888888883E-2</v>
      </c>
    </row>
    <row r="101" spans="13:23" x14ac:dyDescent="0.25">
      <c r="M101" s="8">
        <v>1.7300000000000002E-3</v>
      </c>
      <c r="N101" s="3" cm="1">
        <f t="array" ref="N101">((2*ttotal1)/(3*s_t))*(st_b[[#This Row],[s(tb)]]+(s_t/4))</f>
        <v>0.55111111111111111</v>
      </c>
      <c r="O101" s="3" cm="1">
        <f t="array" ref="O101">((2*ttotal2)/(3*s_t))*(st_b[[#This Row],[s(tb)]]+(s_t/4))</f>
        <v>0.27555555555555555</v>
      </c>
      <c r="P101" s="3" cm="1">
        <f t="array" ref="P101">((2*ttotal3)/(3*s_t))*(st_b[[#This Row],[s(tb)]]+(s_t/4))</f>
        <v>0.1837037037037037</v>
      </c>
      <c r="Q101" s="3" cm="1">
        <f t="array" ref="Q101">((2*ttotal4)/(3*s_t))*(st_b[[#This Row],[s(tb)]]+(s_t/4))</f>
        <v>0.13777777777777778</v>
      </c>
      <c r="R101" s="3" cm="1">
        <f t="array" ref="R101">((2*ttotal5)/(3*s_t))*(st_b[[#This Row],[s(tb)]]+(s_t/4))</f>
        <v>0.11022222222222224</v>
      </c>
      <c r="S101" s="3" cm="1">
        <f t="array" ref="S101">((2*ttotal6)/(3*s_t))*(st_b[[#This Row],[s(tb)]]+(s_t/4))</f>
        <v>9.1851851851851851E-2</v>
      </c>
      <c r="T101" s="3" cm="1">
        <f t="array" ref="T101">((2*ttotal7)/(3*s_t))*(st_b[[#This Row],[s(tb)]]+(s_t/4))</f>
        <v>7.8730158730158734E-2</v>
      </c>
      <c r="U101" s="3" cm="1">
        <f t="array" ref="U101">((2*ttotal8)/(3*s_t))*(st_b[[#This Row],[s(tb)]]+(s_t/4))</f>
        <v>6.8888888888888888E-2</v>
      </c>
      <c r="V101" s="3" cm="1">
        <f t="array" ref="V101">((2*ttotal9)/(3*s_t))*(st_b[[#This Row],[s(tb)]]+(s_t/4))</f>
        <v>6.123456790123457E-2</v>
      </c>
      <c r="W101" s="3" cm="1">
        <f t="array" ref="W101">((2*ttotal10)/(3*s_t))*(st_b[[#This Row],[s(tb)]]+(s_t/4))</f>
        <v>5.5111111111111118E-2</v>
      </c>
    </row>
    <row r="102" spans="13:23" x14ac:dyDescent="0.25">
      <c r="M102" s="8">
        <v>1.7400000000000002E-3</v>
      </c>
      <c r="N102" s="3" cm="1">
        <f t="array" ref="N102">((2*ttotal1)/(3*s_t))*(st_b[[#This Row],[s(tb)]]+(s_t/4))</f>
        <v>0.55333333333333323</v>
      </c>
      <c r="O102" s="3" cm="1">
        <f t="array" ref="O102">((2*ttotal2)/(3*s_t))*(st_b[[#This Row],[s(tb)]]+(s_t/4))</f>
        <v>0.27666666666666662</v>
      </c>
      <c r="P102" s="3" cm="1">
        <f t="array" ref="P102">((2*ttotal3)/(3*s_t))*(st_b[[#This Row],[s(tb)]]+(s_t/4))</f>
        <v>0.18444444444444441</v>
      </c>
      <c r="Q102" s="3" cm="1">
        <f t="array" ref="Q102">((2*ttotal4)/(3*s_t))*(st_b[[#This Row],[s(tb)]]+(s_t/4))</f>
        <v>0.13833333333333331</v>
      </c>
      <c r="R102" s="3" cm="1">
        <f t="array" ref="R102">((2*ttotal5)/(3*s_t))*(st_b[[#This Row],[s(tb)]]+(s_t/4))</f>
        <v>0.11066666666666666</v>
      </c>
      <c r="S102" s="3" cm="1">
        <f t="array" ref="S102">((2*ttotal6)/(3*s_t))*(st_b[[#This Row],[s(tb)]]+(s_t/4))</f>
        <v>9.2222222222222205E-2</v>
      </c>
      <c r="T102" s="3" cm="1">
        <f t="array" ref="T102">((2*ttotal7)/(3*s_t))*(st_b[[#This Row],[s(tb)]]+(s_t/4))</f>
        <v>7.9047619047619033E-2</v>
      </c>
      <c r="U102" s="3" cm="1">
        <f t="array" ref="U102">((2*ttotal8)/(3*s_t))*(st_b[[#This Row],[s(tb)]]+(s_t/4))</f>
        <v>6.9166666666666654E-2</v>
      </c>
      <c r="V102" s="3" cm="1">
        <f t="array" ref="V102">((2*ttotal9)/(3*s_t))*(st_b[[#This Row],[s(tb)]]+(s_t/4))</f>
        <v>6.148148148148147E-2</v>
      </c>
      <c r="W102" s="3" cm="1">
        <f t="array" ref="W102">((2*ttotal10)/(3*s_t))*(st_b[[#This Row],[s(tb)]]+(s_t/4))</f>
        <v>5.5333333333333332E-2</v>
      </c>
    </row>
    <row r="103" spans="13:23" x14ac:dyDescent="0.25">
      <c r="M103" s="8">
        <v>1.75E-3</v>
      </c>
      <c r="N103" s="3" cm="1">
        <f t="array" ref="N103">((2*ttotal1)/(3*s_t))*(st_b[[#This Row],[s(tb)]]+(s_t/4))</f>
        <v>0.55555555555555547</v>
      </c>
      <c r="O103" s="3" cm="1">
        <f t="array" ref="O103">((2*ttotal2)/(3*s_t))*(st_b[[#This Row],[s(tb)]]+(s_t/4))</f>
        <v>0.27777777777777773</v>
      </c>
      <c r="P103" s="3" cm="1">
        <f t="array" ref="P103">((2*ttotal3)/(3*s_t))*(st_b[[#This Row],[s(tb)]]+(s_t/4))</f>
        <v>0.18518518518518515</v>
      </c>
      <c r="Q103" s="3" cm="1">
        <f t="array" ref="Q103">((2*ttotal4)/(3*s_t))*(st_b[[#This Row],[s(tb)]]+(s_t/4))</f>
        <v>0.13888888888888887</v>
      </c>
      <c r="R103" s="3" cm="1">
        <f t="array" ref="R103">((2*ttotal5)/(3*s_t))*(st_b[[#This Row],[s(tb)]]+(s_t/4))</f>
        <v>0.1111111111111111</v>
      </c>
      <c r="S103" s="3" cm="1">
        <f t="array" ref="S103">((2*ttotal6)/(3*s_t))*(st_b[[#This Row],[s(tb)]]+(s_t/4))</f>
        <v>9.2592592592592574E-2</v>
      </c>
      <c r="T103" s="3" cm="1">
        <f t="array" ref="T103">((2*ttotal7)/(3*s_t))*(st_b[[#This Row],[s(tb)]]+(s_t/4))</f>
        <v>7.9365079365079347E-2</v>
      </c>
      <c r="U103" s="3" cm="1">
        <f t="array" ref="U103">((2*ttotal8)/(3*s_t))*(st_b[[#This Row],[s(tb)]]+(s_t/4))</f>
        <v>6.9444444444444434E-2</v>
      </c>
      <c r="V103" s="3" cm="1">
        <f t="array" ref="V103">((2*ttotal9)/(3*s_t))*(st_b[[#This Row],[s(tb)]]+(s_t/4))</f>
        <v>6.1728395061728385E-2</v>
      </c>
      <c r="W103" s="3" cm="1">
        <f t="array" ref="W103">((2*ttotal10)/(3*s_t))*(st_b[[#This Row],[s(tb)]]+(s_t/4))</f>
        <v>5.5555555555555552E-2</v>
      </c>
    </row>
    <row r="104" spans="13:23" x14ac:dyDescent="0.25">
      <c r="M104" s="8">
        <v>1.7600000000000001E-3</v>
      </c>
      <c r="N104" s="3" cm="1">
        <f t="array" ref="N104">((2*ttotal1)/(3*s_t))*(st_b[[#This Row],[s(tb)]]+(s_t/4))</f>
        <v>0.55777777777777771</v>
      </c>
      <c r="O104" s="3" cm="1">
        <f t="array" ref="O104">((2*ttotal2)/(3*s_t))*(st_b[[#This Row],[s(tb)]]+(s_t/4))</f>
        <v>0.27888888888888885</v>
      </c>
      <c r="P104" s="3" cm="1">
        <f t="array" ref="P104">((2*ttotal3)/(3*s_t))*(st_b[[#This Row],[s(tb)]]+(s_t/4))</f>
        <v>0.18592592592592591</v>
      </c>
      <c r="Q104" s="3" cm="1">
        <f t="array" ref="Q104">((2*ttotal4)/(3*s_t))*(st_b[[#This Row],[s(tb)]]+(s_t/4))</f>
        <v>0.13944444444444443</v>
      </c>
      <c r="R104" s="3" cm="1">
        <f t="array" ref="R104">((2*ttotal5)/(3*s_t))*(st_b[[#This Row],[s(tb)]]+(s_t/4))</f>
        <v>0.11155555555555556</v>
      </c>
      <c r="S104" s="3" cm="1">
        <f t="array" ref="S104">((2*ttotal6)/(3*s_t))*(st_b[[#This Row],[s(tb)]]+(s_t/4))</f>
        <v>9.2962962962962956E-2</v>
      </c>
      <c r="T104" s="3" cm="1">
        <f t="array" ref="T104">((2*ttotal7)/(3*s_t))*(st_b[[#This Row],[s(tb)]]+(s_t/4))</f>
        <v>7.9682539682539674E-2</v>
      </c>
      <c r="U104" s="3" cm="1">
        <f t="array" ref="U104">((2*ttotal8)/(3*s_t))*(st_b[[#This Row],[s(tb)]]+(s_t/4))</f>
        <v>6.9722222222222213E-2</v>
      </c>
      <c r="V104" s="3" cm="1">
        <f t="array" ref="V104">((2*ttotal9)/(3*s_t))*(st_b[[#This Row],[s(tb)]]+(s_t/4))</f>
        <v>6.1975308641975299E-2</v>
      </c>
      <c r="W104" s="3" cm="1">
        <f t="array" ref="W104">((2*ttotal10)/(3*s_t))*(st_b[[#This Row],[s(tb)]]+(s_t/4))</f>
        <v>5.577777777777778E-2</v>
      </c>
    </row>
    <row r="105" spans="13:23" x14ac:dyDescent="0.25">
      <c r="M105" s="8">
        <v>1.7700000000000001E-3</v>
      </c>
      <c r="N105" s="3" cm="1">
        <f t="array" ref="N105">((2*ttotal1)/(3*s_t))*(st_b[[#This Row],[s(tb)]]+(s_t/4))</f>
        <v>0.55999999999999994</v>
      </c>
      <c r="O105" s="3" cm="1">
        <f t="array" ref="O105">((2*ttotal2)/(3*s_t))*(st_b[[#This Row],[s(tb)]]+(s_t/4))</f>
        <v>0.27999999999999997</v>
      </c>
      <c r="P105" s="3" cm="1">
        <f t="array" ref="P105">((2*ttotal3)/(3*s_t))*(st_b[[#This Row],[s(tb)]]+(s_t/4))</f>
        <v>0.18666666666666665</v>
      </c>
      <c r="Q105" s="3" cm="1">
        <f t="array" ref="Q105">((2*ttotal4)/(3*s_t))*(st_b[[#This Row],[s(tb)]]+(s_t/4))</f>
        <v>0.13999999999999999</v>
      </c>
      <c r="R105" s="3" cm="1">
        <f t="array" ref="R105">((2*ttotal5)/(3*s_t))*(st_b[[#This Row],[s(tb)]]+(s_t/4))</f>
        <v>0.112</v>
      </c>
      <c r="S105" s="3" cm="1">
        <f t="array" ref="S105">((2*ttotal6)/(3*s_t))*(st_b[[#This Row],[s(tb)]]+(s_t/4))</f>
        <v>9.3333333333333324E-2</v>
      </c>
      <c r="T105" s="3" cm="1">
        <f t="array" ref="T105">((2*ttotal7)/(3*s_t))*(st_b[[#This Row],[s(tb)]]+(s_t/4))</f>
        <v>7.9999999999999988E-2</v>
      </c>
      <c r="U105" s="3" cm="1">
        <f t="array" ref="U105">((2*ttotal8)/(3*s_t))*(st_b[[#This Row],[s(tb)]]+(s_t/4))</f>
        <v>6.9999999999999993E-2</v>
      </c>
      <c r="V105" s="3" cm="1">
        <f t="array" ref="V105">((2*ttotal9)/(3*s_t))*(st_b[[#This Row],[s(tb)]]+(s_t/4))</f>
        <v>6.2222222222222213E-2</v>
      </c>
      <c r="W105" s="3" cm="1">
        <f t="array" ref="W105">((2*ttotal10)/(3*s_t))*(st_b[[#This Row],[s(tb)]]+(s_t/4))</f>
        <v>5.6000000000000001E-2</v>
      </c>
    </row>
    <row r="106" spans="13:23" x14ac:dyDescent="0.25">
      <c r="M106" s="8">
        <v>1.7800000000000001E-3</v>
      </c>
      <c r="N106" s="3" cm="1">
        <f t="array" ref="N106">((2*ttotal1)/(3*s_t))*(st_b[[#This Row],[s(tb)]]+(s_t/4))</f>
        <v>0.56222222222222218</v>
      </c>
      <c r="O106" s="3" cm="1">
        <f t="array" ref="O106">((2*ttotal2)/(3*s_t))*(st_b[[#This Row],[s(tb)]]+(s_t/4))</f>
        <v>0.28111111111111109</v>
      </c>
      <c r="P106" s="3" cm="1">
        <f t="array" ref="P106">((2*ttotal3)/(3*s_t))*(st_b[[#This Row],[s(tb)]]+(s_t/4))</f>
        <v>0.18740740740740738</v>
      </c>
      <c r="Q106" s="3" cm="1">
        <f t="array" ref="Q106">((2*ttotal4)/(3*s_t))*(st_b[[#This Row],[s(tb)]]+(s_t/4))</f>
        <v>0.14055555555555554</v>
      </c>
      <c r="R106" s="3" cm="1">
        <f t="array" ref="R106">((2*ttotal5)/(3*s_t))*(st_b[[#This Row],[s(tb)]]+(s_t/4))</f>
        <v>0.11244444444444444</v>
      </c>
      <c r="S106" s="3" cm="1">
        <f t="array" ref="S106">((2*ttotal6)/(3*s_t))*(st_b[[#This Row],[s(tb)]]+(s_t/4))</f>
        <v>9.3703703703703692E-2</v>
      </c>
      <c r="T106" s="3" cm="1">
        <f t="array" ref="T106">((2*ttotal7)/(3*s_t))*(st_b[[#This Row],[s(tb)]]+(s_t/4))</f>
        <v>8.0317460317460301E-2</v>
      </c>
      <c r="U106" s="3" cm="1">
        <f t="array" ref="U106">((2*ttotal8)/(3*s_t))*(st_b[[#This Row],[s(tb)]]+(s_t/4))</f>
        <v>7.0277777777777772E-2</v>
      </c>
      <c r="V106" s="3" cm="1">
        <f t="array" ref="V106">((2*ttotal9)/(3*s_t))*(st_b[[#This Row],[s(tb)]]+(s_t/4))</f>
        <v>6.2469135802469128E-2</v>
      </c>
      <c r="W106" s="3" cm="1">
        <f t="array" ref="W106">((2*ttotal10)/(3*s_t))*(st_b[[#This Row],[s(tb)]]+(s_t/4))</f>
        <v>5.6222222222222222E-2</v>
      </c>
    </row>
    <row r="107" spans="13:23" x14ac:dyDescent="0.25">
      <c r="M107" s="8">
        <v>1.7900000000000001E-3</v>
      </c>
      <c r="N107" s="3" cm="1">
        <f t="array" ref="N107">((2*ttotal1)/(3*s_t))*(st_b[[#This Row],[s(tb)]]+(s_t/4))</f>
        <v>0.56444444444444442</v>
      </c>
      <c r="O107" s="3" cm="1">
        <f t="array" ref="O107">((2*ttotal2)/(3*s_t))*(st_b[[#This Row],[s(tb)]]+(s_t/4))</f>
        <v>0.28222222222222221</v>
      </c>
      <c r="P107" s="3" cm="1">
        <f t="array" ref="P107">((2*ttotal3)/(3*s_t))*(st_b[[#This Row],[s(tb)]]+(s_t/4))</f>
        <v>0.18814814814814812</v>
      </c>
      <c r="Q107" s="3" cm="1">
        <f t="array" ref="Q107">((2*ttotal4)/(3*s_t))*(st_b[[#This Row],[s(tb)]]+(s_t/4))</f>
        <v>0.1411111111111111</v>
      </c>
      <c r="R107" s="3" cm="1">
        <f t="array" ref="R107">((2*ttotal5)/(3*s_t))*(st_b[[#This Row],[s(tb)]]+(s_t/4))</f>
        <v>0.11288888888888889</v>
      </c>
      <c r="S107" s="3" cm="1">
        <f t="array" ref="S107">((2*ttotal6)/(3*s_t))*(st_b[[#This Row],[s(tb)]]+(s_t/4))</f>
        <v>9.407407407407406E-2</v>
      </c>
      <c r="T107" s="3" cm="1">
        <f t="array" ref="T107">((2*ttotal7)/(3*s_t))*(st_b[[#This Row],[s(tb)]]+(s_t/4))</f>
        <v>8.0634920634920629E-2</v>
      </c>
      <c r="U107" s="3" cm="1">
        <f t="array" ref="U107">((2*ttotal8)/(3*s_t))*(st_b[[#This Row],[s(tb)]]+(s_t/4))</f>
        <v>7.0555555555555552E-2</v>
      </c>
      <c r="V107" s="3" cm="1">
        <f t="array" ref="V107">((2*ttotal9)/(3*s_t))*(st_b[[#This Row],[s(tb)]]+(s_t/4))</f>
        <v>6.2716049382716049E-2</v>
      </c>
      <c r="W107" s="3" cm="1">
        <f t="array" ref="W107">((2*ttotal10)/(3*s_t))*(st_b[[#This Row],[s(tb)]]+(s_t/4))</f>
        <v>5.6444444444444443E-2</v>
      </c>
    </row>
    <row r="108" spans="13:23" x14ac:dyDescent="0.25">
      <c r="M108" s="8">
        <v>1.8000000000000002E-3</v>
      </c>
      <c r="N108" s="3" cm="1">
        <f t="array" ref="N108">((2*ttotal1)/(3*s_t))*(st_b[[#This Row],[s(tb)]]+(s_t/4))</f>
        <v>0.56666666666666665</v>
      </c>
      <c r="O108" s="3" cm="1">
        <f t="array" ref="O108">((2*ttotal2)/(3*s_t))*(st_b[[#This Row],[s(tb)]]+(s_t/4))</f>
        <v>0.28333333333333333</v>
      </c>
      <c r="P108" s="3" cm="1">
        <f t="array" ref="P108">((2*ttotal3)/(3*s_t))*(st_b[[#This Row],[s(tb)]]+(s_t/4))</f>
        <v>0.18888888888888888</v>
      </c>
      <c r="Q108" s="3" cm="1">
        <f t="array" ref="Q108">((2*ttotal4)/(3*s_t))*(st_b[[#This Row],[s(tb)]]+(s_t/4))</f>
        <v>0.14166666666666666</v>
      </c>
      <c r="R108" s="3" cm="1">
        <f t="array" ref="R108">((2*ttotal5)/(3*s_t))*(st_b[[#This Row],[s(tb)]]+(s_t/4))</f>
        <v>0.11333333333333334</v>
      </c>
      <c r="S108" s="3" cm="1">
        <f t="array" ref="S108">((2*ttotal6)/(3*s_t))*(st_b[[#This Row],[s(tb)]]+(s_t/4))</f>
        <v>9.4444444444444442E-2</v>
      </c>
      <c r="T108" s="3" cm="1">
        <f t="array" ref="T108">((2*ttotal7)/(3*s_t))*(st_b[[#This Row],[s(tb)]]+(s_t/4))</f>
        <v>8.0952380952380942E-2</v>
      </c>
      <c r="U108" s="3" cm="1">
        <f t="array" ref="U108">((2*ttotal8)/(3*s_t))*(st_b[[#This Row],[s(tb)]]+(s_t/4))</f>
        <v>7.0833333333333331E-2</v>
      </c>
      <c r="V108" s="3" cm="1">
        <f t="array" ref="V108">((2*ttotal9)/(3*s_t))*(st_b[[#This Row],[s(tb)]]+(s_t/4))</f>
        <v>6.2962962962962957E-2</v>
      </c>
      <c r="W108" s="3" cm="1">
        <f t="array" ref="W108">((2*ttotal10)/(3*s_t))*(st_b[[#This Row],[s(tb)]]+(s_t/4))</f>
        <v>5.6666666666666671E-2</v>
      </c>
    </row>
    <row r="109" spans="13:23" x14ac:dyDescent="0.25">
      <c r="M109" s="8">
        <v>1.8100000000000002E-3</v>
      </c>
      <c r="N109" s="3" cm="1">
        <f t="array" ref="N109">((2*ttotal1)/(3*s_t))*(st_b[[#This Row],[s(tb)]]+(s_t/4))</f>
        <v>0.56888888888888889</v>
      </c>
      <c r="O109" s="3" cm="1">
        <f t="array" ref="O109">((2*ttotal2)/(3*s_t))*(st_b[[#This Row],[s(tb)]]+(s_t/4))</f>
        <v>0.28444444444444444</v>
      </c>
      <c r="P109" s="3" cm="1">
        <f t="array" ref="P109">((2*ttotal3)/(3*s_t))*(st_b[[#This Row],[s(tb)]]+(s_t/4))</f>
        <v>0.18962962962962962</v>
      </c>
      <c r="Q109" s="3" cm="1">
        <f t="array" ref="Q109">((2*ttotal4)/(3*s_t))*(st_b[[#This Row],[s(tb)]]+(s_t/4))</f>
        <v>0.14222222222222222</v>
      </c>
      <c r="R109" s="3" cm="1">
        <f t="array" ref="R109">((2*ttotal5)/(3*s_t))*(st_b[[#This Row],[s(tb)]]+(s_t/4))</f>
        <v>0.11377777777777778</v>
      </c>
      <c r="S109" s="3" cm="1">
        <f t="array" ref="S109">((2*ttotal6)/(3*s_t))*(st_b[[#This Row],[s(tb)]]+(s_t/4))</f>
        <v>9.481481481481481E-2</v>
      </c>
      <c r="T109" s="3" cm="1">
        <f t="array" ref="T109">((2*ttotal7)/(3*s_t))*(st_b[[#This Row],[s(tb)]]+(s_t/4))</f>
        <v>8.1269841269841256E-2</v>
      </c>
      <c r="U109" s="3" cm="1">
        <f t="array" ref="U109">((2*ttotal8)/(3*s_t))*(st_b[[#This Row],[s(tb)]]+(s_t/4))</f>
        <v>7.1111111111111111E-2</v>
      </c>
      <c r="V109" s="3" cm="1">
        <f t="array" ref="V109">((2*ttotal9)/(3*s_t))*(st_b[[#This Row],[s(tb)]]+(s_t/4))</f>
        <v>6.3209876543209878E-2</v>
      </c>
      <c r="W109" s="3" cm="1">
        <f t="array" ref="W109">((2*ttotal10)/(3*s_t))*(st_b[[#This Row],[s(tb)]]+(s_t/4))</f>
        <v>5.6888888888888892E-2</v>
      </c>
    </row>
    <row r="110" spans="13:23" x14ac:dyDescent="0.25">
      <c r="M110" s="8">
        <v>1.8200000000000002E-3</v>
      </c>
      <c r="N110" s="3" cm="1">
        <f t="array" ref="N110">((2*ttotal1)/(3*s_t))*(st_b[[#This Row],[s(tb)]]+(s_t/4))</f>
        <v>0.57111111111111112</v>
      </c>
      <c r="O110" s="3" cm="1">
        <f t="array" ref="O110">((2*ttotal2)/(3*s_t))*(st_b[[#This Row],[s(tb)]]+(s_t/4))</f>
        <v>0.28555555555555556</v>
      </c>
      <c r="P110" s="3" cm="1">
        <f t="array" ref="P110">((2*ttotal3)/(3*s_t))*(st_b[[#This Row],[s(tb)]]+(s_t/4))</f>
        <v>0.19037037037037036</v>
      </c>
      <c r="Q110" s="3" cm="1">
        <f t="array" ref="Q110">((2*ttotal4)/(3*s_t))*(st_b[[#This Row],[s(tb)]]+(s_t/4))</f>
        <v>0.14277777777777778</v>
      </c>
      <c r="R110" s="3" cm="1">
        <f t="array" ref="R110">((2*ttotal5)/(3*s_t))*(st_b[[#This Row],[s(tb)]]+(s_t/4))</f>
        <v>0.11422222222222222</v>
      </c>
      <c r="S110" s="3" cm="1">
        <f t="array" ref="S110">((2*ttotal6)/(3*s_t))*(st_b[[#This Row],[s(tb)]]+(s_t/4))</f>
        <v>9.5185185185185178E-2</v>
      </c>
      <c r="T110" s="3" cm="1">
        <f t="array" ref="T110">((2*ttotal7)/(3*s_t))*(st_b[[#This Row],[s(tb)]]+(s_t/4))</f>
        <v>8.1587301587301583E-2</v>
      </c>
      <c r="U110" s="3" cm="1">
        <f t="array" ref="U110">((2*ttotal8)/(3*s_t))*(st_b[[#This Row],[s(tb)]]+(s_t/4))</f>
        <v>7.1388888888888891E-2</v>
      </c>
      <c r="V110" s="3" cm="1">
        <f t="array" ref="V110">((2*ttotal9)/(3*s_t))*(st_b[[#This Row],[s(tb)]]+(s_t/4))</f>
        <v>6.3456790123456785E-2</v>
      </c>
      <c r="W110" s="3" cm="1">
        <f t="array" ref="W110">((2*ttotal10)/(3*s_t))*(st_b[[#This Row],[s(tb)]]+(s_t/4))</f>
        <v>5.7111111111111112E-2</v>
      </c>
    </row>
    <row r="111" spans="13:23" x14ac:dyDescent="0.25">
      <c r="M111" s="8">
        <v>1.8300000000000002E-3</v>
      </c>
      <c r="N111" s="3" cm="1">
        <f t="array" ref="N111">((2*ttotal1)/(3*s_t))*(st_b[[#This Row],[s(tb)]]+(s_t/4))</f>
        <v>0.57333333333333336</v>
      </c>
      <c r="O111" s="3" cm="1">
        <f t="array" ref="O111">((2*ttotal2)/(3*s_t))*(st_b[[#This Row],[s(tb)]]+(s_t/4))</f>
        <v>0.28666666666666668</v>
      </c>
      <c r="P111" s="3" cm="1">
        <f t="array" ref="P111">((2*ttotal3)/(3*s_t))*(st_b[[#This Row],[s(tb)]]+(s_t/4))</f>
        <v>0.19111111111111109</v>
      </c>
      <c r="Q111" s="3" cm="1">
        <f t="array" ref="Q111">((2*ttotal4)/(3*s_t))*(st_b[[#This Row],[s(tb)]]+(s_t/4))</f>
        <v>0.14333333333333334</v>
      </c>
      <c r="R111" s="3" cm="1">
        <f t="array" ref="R111">((2*ttotal5)/(3*s_t))*(st_b[[#This Row],[s(tb)]]+(s_t/4))</f>
        <v>0.11466666666666668</v>
      </c>
      <c r="S111" s="3" cm="1">
        <f t="array" ref="S111">((2*ttotal6)/(3*s_t))*(st_b[[#This Row],[s(tb)]]+(s_t/4))</f>
        <v>9.5555555555555546E-2</v>
      </c>
      <c r="T111" s="3" cm="1">
        <f t="array" ref="T111">((2*ttotal7)/(3*s_t))*(st_b[[#This Row],[s(tb)]]+(s_t/4))</f>
        <v>8.1904761904761897E-2</v>
      </c>
      <c r="U111" s="3" cm="1">
        <f t="array" ref="U111">((2*ttotal8)/(3*s_t))*(st_b[[#This Row],[s(tb)]]+(s_t/4))</f>
        <v>7.166666666666667E-2</v>
      </c>
      <c r="V111" s="3" cm="1">
        <f t="array" ref="V111">((2*ttotal9)/(3*s_t))*(st_b[[#This Row],[s(tb)]]+(s_t/4))</f>
        <v>6.3703703703703693E-2</v>
      </c>
      <c r="W111" s="3" cm="1">
        <f t="array" ref="W111">((2*ttotal10)/(3*s_t))*(st_b[[#This Row],[s(tb)]]+(s_t/4))</f>
        <v>5.733333333333334E-2</v>
      </c>
    </row>
    <row r="112" spans="13:23" x14ac:dyDescent="0.25">
      <c r="M112" s="8">
        <v>1.8400000000000001E-3</v>
      </c>
      <c r="N112" s="3" cm="1">
        <f t="array" ref="N112">((2*ttotal1)/(3*s_t))*(st_b[[#This Row],[s(tb)]]+(s_t/4))</f>
        <v>0.5755555555555556</v>
      </c>
      <c r="O112" s="3" cm="1">
        <f t="array" ref="O112">((2*ttotal2)/(3*s_t))*(st_b[[#This Row],[s(tb)]]+(s_t/4))</f>
        <v>0.2877777777777778</v>
      </c>
      <c r="P112" s="3" cm="1">
        <f t="array" ref="P112">((2*ttotal3)/(3*s_t))*(st_b[[#This Row],[s(tb)]]+(s_t/4))</f>
        <v>0.19185185185185183</v>
      </c>
      <c r="Q112" s="3" cm="1">
        <f t="array" ref="Q112">((2*ttotal4)/(3*s_t))*(st_b[[#This Row],[s(tb)]]+(s_t/4))</f>
        <v>0.1438888888888889</v>
      </c>
      <c r="R112" s="3" cm="1">
        <f t="array" ref="R112">((2*ttotal5)/(3*s_t))*(st_b[[#This Row],[s(tb)]]+(s_t/4))</f>
        <v>0.11511111111111112</v>
      </c>
      <c r="S112" s="3" cm="1">
        <f t="array" ref="S112">((2*ttotal6)/(3*s_t))*(st_b[[#This Row],[s(tb)]]+(s_t/4))</f>
        <v>9.5925925925925914E-2</v>
      </c>
      <c r="T112" s="3" cm="1">
        <f t="array" ref="T112">((2*ttotal7)/(3*s_t))*(st_b[[#This Row],[s(tb)]]+(s_t/4))</f>
        <v>8.222222222222221E-2</v>
      </c>
      <c r="U112" s="3" cm="1">
        <f t="array" ref="U112">((2*ttotal8)/(3*s_t))*(st_b[[#This Row],[s(tb)]]+(s_t/4))</f>
        <v>7.194444444444445E-2</v>
      </c>
      <c r="V112" s="3" cm="1">
        <f t="array" ref="V112">((2*ttotal9)/(3*s_t))*(st_b[[#This Row],[s(tb)]]+(s_t/4))</f>
        <v>6.3950617283950614E-2</v>
      </c>
      <c r="W112" s="3" cm="1">
        <f t="array" ref="W112">((2*ttotal10)/(3*s_t))*(st_b[[#This Row],[s(tb)]]+(s_t/4))</f>
        <v>5.7555555555555561E-2</v>
      </c>
    </row>
    <row r="113" spans="13:23" x14ac:dyDescent="0.25">
      <c r="M113" s="8">
        <v>1.8500000000000001E-3</v>
      </c>
      <c r="N113" s="3" cm="1">
        <f t="array" ref="N113">((2*ttotal1)/(3*s_t))*(st_b[[#This Row],[s(tb)]]+(s_t/4))</f>
        <v>0.57777777777777772</v>
      </c>
      <c r="O113" s="3" cm="1">
        <f t="array" ref="O113">((2*ttotal2)/(3*s_t))*(st_b[[#This Row],[s(tb)]]+(s_t/4))</f>
        <v>0.28888888888888886</v>
      </c>
      <c r="P113" s="3" cm="1">
        <f t="array" ref="P113">((2*ttotal3)/(3*s_t))*(st_b[[#This Row],[s(tb)]]+(s_t/4))</f>
        <v>0.19259259259259257</v>
      </c>
      <c r="Q113" s="3" cm="1">
        <f t="array" ref="Q113">((2*ttotal4)/(3*s_t))*(st_b[[#This Row],[s(tb)]]+(s_t/4))</f>
        <v>0.14444444444444443</v>
      </c>
      <c r="R113" s="3" cm="1">
        <f t="array" ref="R113">((2*ttotal5)/(3*s_t))*(st_b[[#This Row],[s(tb)]]+(s_t/4))</f>
        <v>0.11555555555555555</v>
      </c>
      <c r="S113" s="3" cm="1">
        <f t="array" ref="S113">((2*ttotal6)/(3*s_t))*(st_b[[#This Row],[s(tb)]]+(s_t/4))</f>
        <v>9.6296296296296283E-2</v>
      </c>
      <c r="T113" s="3" cm="1">
        <f t="array" ref="T113">((2*ttotal7)/(3*s_t))*(st_b[[#This Row],[s(tb)]]+(s_t/4))</f>
        <v>8.2539682539682524E-2</v>
      </c>
      <c r="U113" s="3" cm="1">
        <f t="array" ref="U113">((2*ttotal8)/(3*s_t))*(st_b[[#This Row],[s(tb)]]+(s_t/4))</f>
        <v>7.2222222222222215E-2</v>
      </c>
      <c r="V113" s="3" cm="1">
        <f t="array" ref="V113">((2*ttotal9)/(3*s_t))*(st_b[[#This Row],[s(tb)]]+(s_t/4))</f>
        <v>6.4197530864197522E-2</v>
      </c>
      <c r="W113" s="3" cm="1">
        <f t="array" ref="W113">((2*ttotal10)/(3*s_t))*(st_b[[#This Row],[s(tb)]]+(s_t/4))</f>
        <v>5.7777777777777775E-2</v>
      </c>
    </row>
    <row r="114" spans="13:23" x14ac:dyDescent="0.25">
      <c r="M114" s="8">
        <v>1.8600000000000001E-3</v>
      </c>
      <c r="N114" s="3" cm="1">
        <f t="array" ref="N114">((2*ttotal1)/(3*s_t))*(st_b[[#This Row],[s(tb)]]+(s_t/4))</f>
        <v>0.58000000000000007</v>
      </c>
      <c r="O114" s="3" cm="1">
        <f t="array" ref="O114">((2*ttotal2)/(3*s_t))*(st_b[[#This Row],[s(tb)]]+(s_t/4))</f>
        <v>0.29000000000000004</v>
      </c>
      <c r="P114" s="3" cm="1">
        <f t="array" ref="P114">((2*ttotal3)/(3*s_t))*(st_b[[#This Row],[s(tb)]]+(s_t/4))</f>
        <v>0.19333333333333333</v>
      </c>
      <c r="Q114" s="3" cm="1">
        <f t="array" ref="Q114">((2*ttotal4)/(3*s_t))*(st_b[[#This Row],[s(tb)]]+(s_t/4))</f>
        <v>0.14500000000000002</v>
      </c>
      <c r="R114" s="3" cm="1">
        <f t="array" ref="R114">((2*ttotal5)/(3*s_t))*(st_b[[#This Row],[s(tb)]]+(s_t/4))</f>
        <v>0.11600000000000001</v>
      </c>
      <c r="S114" s="3" cm="1">
        <f t="array" ref="S114">((2*ttotal6)/(3*s_t))*(st_b[[#This Row],[s(tb)]]+(s_t/4))</f>
        <v>9.6666666666666665E-2</v>
      </c>
      <c r="T114" s="3" cm="1">
        <f t="array" ref="T114">((2*ttotal7)/(3*s_t))*(st_b[[#This Row],[s(tb)]]+(s_t/4))</f>
        <v>8.2857142857142851E-2</v>
      </c>
      <c r="U114" s="3" cm="1">
        <f t="array" ref="U114">((2*ttotal8)/(3*s_t))*(st_b[[#This Row],[s(tb)]]+(s_t/4))</f>
        <v>7.2500000000000009E-2</v>
      </c>
      <c r="V114" s="3" cm="1">
        <f t="array" ref="V114">((2*ttotal9)/(3*s_t))*(st_b[[#This Row],[s(tb)]]+(s_t/4))</f>
        <v>6.4444444444444443E-2</v>
      </c>
      <c r="W114" s="3" cm="1">
        <f t="array" ref="W114">((2*ttotal10)/(3*s_t))*(st_b[[#This Row],[s(tb)]]+(s_t/4))</f>
        <v>5.8000000000000003E-2</v>
      </c>
    </row>
    <row r="115" spans="13:23" x14ac:dyDescent="0.25">
      <c r="M115" s="8">
        <v>1.8700000000000001E-3</v>
      </c>
      <c r="N115" s="3" cm="1">
        <f t="array" ref="N115">((2*ttotal1)/(3*s_t))*(st_b[[#This Row],[s(tb)]]+(s_t/4))</f>
        <v>0.5822222222222222</v>
      </c>
      <c r="O115" s="3" cm="1">
        <f t="array" ref="O115">((2*ttotal2)/(3*s_t))*(st_b[[#This Row],[s(tb)]]+(s_t/4))</f>
        <v>0.2911111111111111</v>
      </c>
      <c r="P115" s="3" cm="1">
        <f t="array" ref="P115">((2*ttotal3)/(3*s_t))*(st_b[[#This Row],[s(tb)]]+(s_t/4))</f>
        <v>0.19407407407407404</v>
      </c>
      <c r="Q115" s="3" cm="1">
        <f t="array" ref="Q115">((2*ttotal4)/(3*s_t))*(st_b[[#This Row],[s(tb)]]+(s_t/4))</f>
        <v>0.14555555555555555</v>
      </c>
      <c r="R115" s="3" cm="1">
        <f t="array" ref="R115">((2*ttotal5)/(3*s_t))*(st_b[[#This Row],[s(tb)]]+(s_t/4))</f>
        <v>0.11644444444444443</v>
      </c>
      <c r="S115" s="3" cm="1">
        <f t="array" ref="S115">((2*ttotal6)/(3*s_t))*(st_b[[#This Row],[s(tb)]]+(s_t/4))</f>
        <v>9.7037037037037019E-2</v>
      </c>
      <c r="T115" s="3" cm="1">
        <f t="array" ref="T115">((2*ttotal7)/(3*s_t))*(st_b[[#This Row],[s(tb)]]+(s_t/4))</f>
        <v>8.3174603174603151E-2</v>
      </c>
      <c r="U115" s="3" cm="1">
        <f t="array" ref="U115">((2*ttotal8)/(3*s_t))*(st_b[[#This Row],[s(tb)]]+(s_t/4))</f>
        <v>7.2777777777777775E-2</v>
      </c>
      <c r="V115" s="3" cm="1">
        <f t="array" ref="V115">((2*ttotal9)/(3*s_t))*(st_b[[#This Row],[s(tb)]]+(s_t/4))</f>
        <v>6.4691358024691351E-2</v>
      </c>
      <c r="W115" s="3" cm="1">
        <f t="array" ref="W115">((2*ttotal10)/(3*s_t))*(st_b[[#This Row],[s(tb)]]+(s_t/4))</f>
        <v>5.8222222222222217E-2</v>
      </c>
    </row>
    <row r="116" spans="13:23" x14ac:dyDescent="0.25">
      <c r="M116" s="8">
        <v>1.8800000000000002E-3</v>
      </c>
      <c r="N116" s="3" cm="1">
        <f t="array" ref="N116">((2*ttotal1)/(3*s_t))*(st_b[[#This Row],[s(tb)]]+(s_t/4))</f>
        <v>0.58444444444444443</v>
      </c>
      <c r="O116" s="3" cm="1">
        <f t="array" ref="O116">((2*ttotal2)/(3*s_t))*(st_b[[#This Row],[s(tb)]]+(s_t/4))</f>
        <v>0.29222222222222222</v>
      </c>
      <c r="P116" s="3" cm="1">
        <f t="array" ref="P116">((2*ttotal3)/(3*s_t))*(st_b[[#This Row],[s(tb)]]+(s_t/4))</f>
        <v>0.1948148148148148</v>
      </c>
      <c r="Q116" s="3" cm="1">
        <f t="array" ref="Q116">((2*ttotal4)/(3*s_t))*(st_b[[#This Row],[s(tb)]]+(s_t/4))</f>
        <v>0.14611111111111111</v>
      </c>
      <c r="R116" s="3" cm="1">
        <f t="array" ref="R116">((2*ttotal5)/(3*s_t))*(st_b[[#This Row],[s(tb)]]+(s_t/4))</f>
        <v>0.1168888888888889</v>
      </c>
      <c r="S116" s="3" cm="1">
        <f t="array" ref="S116">((2*ttotal6)/(3*s_t))*(st_b[[#This Row],[s(tb)]]+(s_t/4))</f>
        <v>9.7407407407407401E-2</v>
      </c>
      <c r="T116" s="3" cm="1">
        <f t="array" ref="T116">((2*ttotal7)/(3*s_t))*(st_b[[#This Row],[s(tb)]]+(s_t/4))</f>
        <v>8.3492063492063492E-2</v>
      </c>
      <c r="U116" s="3" cm="1">
        <f t="array" ref="U116">((2*ttotal8)/(3*s_t))*(st_b[[#This Row],[s(tb)]]+(s_t/4))</f>
        <v>7.3055555555555554E-2</v>
      </c>
      <c r="V116" s="3" cm="1">
        <f t="array" ref="V116">((2*ttotal9)/(3*s_t))*(st_b[[#This Row],[s(tb)]]+(s_t/4))</f>
        <v>6.4938271604938272E-2</v>
      </c>
      <c r="W116" s="3" cm="1">
        <f t="array" ref="W116">((2*ttotal10)/(3*s_t))*(st_b[[#This Row],[s(tb)]]+(s_t/4))</f>
        <v>5.8444444444444452E-2</v>
      </c>
    </row>
    <row r="117" spans="13:23" x14ac:dyDescent="0.25">
      <c r="M117" s="8">
        <v>1.8900000000000002E-3</v>
      </c>
      <c r="N117" s="3" cm="1">
        <f t="array" ref="N117">((2*ttotal1)/(3*s_t))*(st_b[[#This Row],[s(tb)]]+(s_t/4))</f>
        <v>0.58666666666666656</v>
      </c>
      <c r="O117" s="3" cm="1">
        <f t="array" ref="O117">((2*ttotal2)/(3*s_t))*(st_b[[#This Row],[s(tb)]]+(s_t/4))</f>
        <v>0.29333333333333328</v>
      </c>
      <c r="P117" s="3" cm="1">
        <f t="array" ref="P117">((2*ttotal3)/(3*s_t))*(st_b[[#This Row],[s(tb)]]+(s_t/4))</f>
        <v>0.19555555555555551</v>
      </c>
      <c r="Q117" s="3" cm="1">
        <f t="array" ref="Q117">((2*ttotal4)/(3*s_t))*(st_b[[#This Row],[s(tb)]]+(s_t/4))</f>
        <v>0.14666666666666664</v>
      </c>
      <c r="R117" s="3" cm="1">
        <f t="array" ref="R117">((2*ttotal5)/(3*s_t))*(st_b[[#This Row],[s(tb)]]+(s_t/4))</f>
        <v>0.11733333333333333</v>
      </c>
      <c r="S117" s="3" cm="1">
        <f t="array" ref="S117">((2*ttotal6)/(3*s_t))*(st_b[[#This Row],[s(tb)]]+(s_t/4))</f>
        <v>9.7777777777777755E-2</v>
      </c>
      <c r="T117" s="3" cm="1">
        <f t="array" ref="T117">((2*ttotal7)/(3*s_t))*(st_b[[#This Row],[s(tb)]]+(s_t/4))</f>
        <v>8.3809523809523792E-2</v>
      </c>
      <c r="U117" s="3" cm="1">
        <f t="array" ref="U117">((2*ttotal8)/(3*s_t))*(st_b[[#This Row],[s(tb)]]+(s_t/4))</f>
        <v>7.333333333333332E-2</v>
      </c>
      <c r="V117" s="3" cm="1">
        <f t="array" ref="V117">((2*ttotal9)/(3*s_t))*(st_b[[#This Row],[s(tb)]]+(s_t/4))</f>
        <v>6.5185185185185179E-2</v>
      </c>
      <c r="W117" s="3" cm="1">
        <f t="array" ref="W117">((2*ttotal10)/(3*s_t))*(st_b[[#This Row],[s(tb)]]+(s_t/4))</f>
        <v>5.8666666666666666E-2</v>
      </c>
    </row>
    <row r="118" spans="13:23" x14ac:dyDescent="0.25">
      <c r="M118" s="8">
        <v>1.9000000000000002E-3</v>
      </c>
      <c r="N118" s="3" cm="1">
        <f t="array" ref="N118">((2*ttotal1)/(3*s_t))*(st_b[[#This Row],[s(tb)]]+(s_t/4))</f>
        <v>0.58888888888888891</v>
      </c>
      <c r="O118" s="3" cm="1">
        <f t="array" ref="O118">((2*ttotal2)/(3*s_t))*(st_b[[#This Row],[s(tb)]]+(s_t/4))</f>
        <v>0.29444444444444445</v>
      </c>
      <c r="P118" s="3" cm="1">
        <f t="array" ref="P118">((2*ttotal3)/(3*s_t))*(st_b[[#This Row],[s(tb)]]+(s_t/4))</f>
        <v>0.1962962962962963</v>
      </c>
      <c r="Q118" s="3" cm="1">
        <f t="array" ref="Q118">((2*ttotal4)/(3*s_t))*(st_b[[#This Row],[s(tb)]]+(s_t/4))</f>
        <v>0.14722222222222223</v>
      </c>
      <c r="R118" s="3" cm="1">
        <f t="array" ref="R118">((2*ttotal5)/(3*s_t))*(st_b[[#This Row],[s(tb)]]+(s_t/4))</f>
        <v>0.11777777777777779</v>
      </c>
      <c r="S118" s="3" cm="1">
        <f t="array" ref="S118">((2*ttotal6)/(3*s_t))*(st_b[[#This Row],[s(tb)]]+(s_t/4))</f>
        <v>9.8148148148148151E-2</v>
      </c>
      <c r="T118" s="3" cm="1">
        <f t="array" ref="T118">((2*ttotal7)/(3*s_t))*(st_b[[#This Row],[s(tb)]]+(s_t/4))</f>
        <v>8.412698412698412E-2</v>
      </c>
      <c r="U118" s="3" cm="1">
        <f t="array" ref="U118">((2*ttotal8)/(3*s_t))*(st_b[[#This Row],[s(tb)]]+(s_t/4))</f>
        <v>7.3611111111111113E-2</v>
      </c>
      <c r="V118" s="3" cm="1">
        <f t="array" ref="V118">((2*ttotal9)/(3*s_t))*(st_b[[#This Row],[s(tb)]]+(s_t/4))</f>
        <v>6.5432098765432101E-2</v>
      </c>
      <c r="W118" s="3" cm="1">
        <f t="array" ref="W118">((2*ttotal10)/(3*s_t))*(st_b[[#This Row],[s(tb)]]+(s_t/4))</f>
        <v>5.8888888888888893E-2</v>
      </c>
    </row>
    <row r="119" spans="13:23" x14ac:dyDescent="0.25">
      <c r="M119" s="8">
        <v>1.9100000000000002E-3</v>
      </c>
      <c r="N119" s="3" cm="1">
        <f t="array" ref="N119">((2*ttotal1)/(3*s_t))*(st_b[[#This Row],[s(tb)]]+(s_t/4))</f>
        <v>0.59111111111111103</v>
      </c>
      <c r="O119" s="3" cm="1">
        <f t="array" ref="O119">((2*ttotal2)/(3*s_t))*(st_b[[#This Row],[s(tb)]]+(s_t/4))</f>
        <v>0.29555555555555552</v>
      </c>
      <c r="P119" s="3" cm="1">
        <f t="array" ref="P119">((2*ttotal3)/(3*s_t))*(st_b[[#This Row],[s(tb)]]+(s_t/4))</f>
        <v>0.19703703703703701</v>
      </c>
      <c r="Q119" s="3" cm="1">
        <f t="array" ref="Q119">((2*ttotal4)/(3*s_t))*(st_b[[#This Row],[s(tb)]]+(s_t/4))</f>
        <v>0.14777777777777776</v>
      </c>
      <c r="R119" s="3" cm="1">
        <f t="array" ref="R119">((2*ttotal5)/(3*s_t))*(st_b[[#This Row],[s(tb)]]+(s_t/4))</f>
        <v>0.11822222222222221</v>
      </c>
      <c r="S119" s="3" cm="1">
        <f t="array" ref="S119">((2*ttotal6)/(3*s_t))*(st_b[[#This Row],[s(tb)]]+(s_t/4))</f>
        <v>9.8518518518518505E-2</v>
      </c>
      <c r="T119" s="3" cm="1">
        <f t="array" ref="T119">((2*ttotal7)/(3*s_t))*(st_b[[#This Row],[s(tb)]]+(s_t/4))</f>
        <v>8.4444444444444433E-2</v>
      </c>
      <c r="U119" s="3" cm="1">
        <f t="array" ref="U119">((2*ttotal8)/(3*s_t))*(st_b[[#This Row],[s(tb)]]+(s_t/4))</f>
        <v>7.3888888888888879E-2</v>
      </c>
      <c r="V119" s="3" cm="1">
        <f t="array" ref="V119">((2*ttotal9)/(3*s_t))*(st_b[[#This Row],[s(tb)]]+(s_t/4))</f>
        <v>6.5679012345679008E-2</v>
      </c>
      <c r="W119" s="3" cm="1">
        <f t="array" ref="W119">((2*ttotal10)/(3*s_t))*(st_b[[#This Row],[s(tb)]]+(s_t/4))</f>
        <v>5.9111111111111107E-2</v>
      </c>
    </row>
    <row r="120" spans="13:23" x14ac:dyDescent="0.25">
      <c r="M120" s="8">
        <v>1.9200000000000003E-3</v>
      </c>
      <c r="N120" s="3" cm="1">
        <f t="array" ref="N120">((2*ttotal1)/(3*s_t))*(st_b[[#This Row],[s(tb)]]+(s_t/4))</f>
        <v>0.59333333333333338</v>
      </c>
      <c r="O120" s="3" cm="1">
        <f t="array" ref="O120">((2*ttotal2)/(3*s_t))*(st_b[[#This Row],[s(tb)]]+(s_t/4))</f>
        <v>0.29666666666666669</v>
      </c>
      <c r="P120" s="3" cm="1">
        <f t="array" ref="P120">((2*ttotal3)/(3*s_t))*(st_b[[#This Row],[s(tb)]]+(s_t/4))</f>
        <v>0.19777777777777777</v>
      </c>
      <c r="Q120" s="3" cm="1">
        <f t="array" ref="Q120">((2*ttotal4)/(3*s_t))*(st_b[[#This Row],[s(tb)]]+(s_t/4))</f>
        <v>0.14833333333333334</v>
      </c>
      <c r="R120" s="3" cm="1">
        <f t="array" ref="R120">((2*ttotal5)/(3*s_t))*(st_b[[#This Row],[s(tb)]]+(s_t/4))</f>
        <v>0.11866666666666668</v>
      </c>
      <c r="S120" s="3" cm="1">
        <f t="array" ref="S120">((2*ttotal6)/(3*s_t))*(st_b[[#This Row],[s(tb)]]+(s_t/4))</f>
        <v>9.8888888888888887E-2</v>
      </c>
      <c r="T120" s="3" cm="1">
        <f t="array" ref="T120">((2*ttotal7)/(3*s_t))*(st_b[[#This Row],[s(tb)]]+(s_t/4))</f>
        <v>8.4761904761904761E-2</v>
      </c>
      <c r="U120" s="3" cm="1">
        <f t="array" ref="U120">((2*ttotal8)/(3*s_t))*(st_b[[#This Row],[s(tb)]]+(s_t/4))</f>
        <v>7.4166666666666672E-2</v>
      </c>
      <c r="V120" s="3" cm="1">
        <f t="array" ref="V120">((2*ttotal9)/(3*s_t))*(st_b[[#This Row],[s(tb)]]+(s_t/4))</f>
        <v>6.5925925925925929E-2</v>
      </c>
      <c r="W120" s="3" cm="1">
        <f t="array" ref="W120">((2*ttotal10)/(3*s_t))*(st_b[[#This Row],[s(tb)]]+(s_t/4))</f>
        <v>5.9333333333333342E-2</v>
      </c>
    </row>
    <row r="121" spans="13:23" x14ac:dyDescent="0.25">
      <c r="M121" s="8">
        <v>1.9300000000000001E-3</v>
      </c>
      <c r="N121" s="3" cm="1">
        <f t="array" ref="N121">((2*ttotal1)/(3*s_t))*(st_b[[#This Row],[s(tb)]]+(s_t/4))</f>
        <v>0.5955555555555555</v>
      </c>
      <c r="O121" s="3" cm="1">
        <f t="array" ref="O121">((2*ttotal2)/(3*s_t))*(st_b[[#This Row],[s(tb)]]+(s_t/4))</f>
        <v>0.29777777777777775</v>
      </c>
      <c r="P121" s="3" cm="1">
        <f t="array" ref="P121">((2*ttotal3)/(3*s_t))*(st_b[[#This Row],[s(tb)]]+(s_t/4))</f>
        <v>0.19851851851851848</v>
      </c>
      <c r="Q121" s="3" cm="1">
        <f t="array" ref="Q121">((2*ttotal4)/(3*s_t))*(st_b[[#This Row],[s(tb)]]+(s_t/4))</f>
        <v>0.14888888888888888</v>
      </c>
      <c r="R121" s="3" cm="1">
        <f t="array" ref="R121">((2*ttotal5)/(3*s_t))*(st_b[[#This Row],[s(tb)]]+(s_t/4))</f>
        <v>0.11911111111111111</v>
      </c>
      <c r="S121" s="3" cm="1">
        <f t="array" ref="S121">((2*ttotal6)/(3*s_t))*(st_b[[#This Row],[s(tb)]]+(s_t/4))</f>
        <v>9.9259259259259242E-2</v>
      </c>
      <c r="T121" s="3" cm="1">
        <f t="array" ref="T121">((2*ttotal7)/(3*s_t))*(st_b[[#This Row],[s(tb)]]+(s_t/4))</f>
        <v>8.507936507936506E-2</v>
      </c>
      <c r="U121" s="3" cm="1">
        <f t="array" ref="U121">((2*ttotal8)/(3*s_t))*(st_b[[#This Row],[s(tb)]]+(s_t/4))</f>
        <v>7.4444444444444438E-2</v>
      </c>
      <c r="V121" s="3" cm="1">
        <f t="array" ref="V121">((2*ttotal9)/(3*s_t))*(st_b[[#This Row],[s(tb)]]+(s_t/4))</f>
        <v>6.6172839506172837E-2</v>
      </c>
      <c r="W121" s="3" cm="1">
        <f t="array" ref="W121">((2*ttotal10)/(3*s_t))*(st_b[[#This Row],[s(tb)]]+(s_t/4))</f>
        <v>5.9555555555555556E-2</v>
      </c>
    </row>
    <row r="122" spans="13:23" x14ac:dyDescent="0.25">
      <c r="M122" s="8">
        <v>1.9400000000000001E-3</v>
      </c>
      <c r="N122" s="3" cm="1">
        <f t="array" ref="N122">((2*ttotal1)/(3*s_t))*(st_b[[#This Row],[s(tb)]]+(s_t/4))</f>
        <v>0.59777777777777774</v>
      </c>
      <c r="O122" s="3" cm="1">
        <f t="array" ref="O122">((2*ttotal2)/(3*s_t))*(st_b[[#This Row],[s(tb)]]+(s_t/4))</f>
        <v>0.29888888888888887</v>
      </c>
      <c r="P122" s="3" cm="1">
        <f t="array" ref="P122">((2*ttotal3)/(3*s_t))*(st_b[[#This Row],[s(tb)]]+(s_t/4))</f>
        <v>0.19925925925925925</v>
      </c>
      <c r="Q122" s="3" cm="1">
        <f t="array" ref="Q122">((2*ttotal4)/(3*s_t))*(st_b[[#This Row],[s(tb)]]+(s_t/4))</f>
        <v>0.14944444444444444</v>
      </c>
      <c r="R122" s="3" cm="1">
        <f t="array" ref="R122">((2*ttotal5)/(3*s_t))*(st_b[[#This Row],[s(tb)]]+(s_t/4))</f>
        <v>0.11955555555555555</v>
      </c>
      <c r="S122" s="3" cm="1">
        <f t="array" ref="S122">((2*ttotal6)/(3*s_t))*(st_b[[#This Row],[s(tb)]]+(s_t/4))</f>
        <v>9.9629629629629624E-2</v>
      </c>
      <c r="T122" s="3" cm="1">
        <f t="array" ref="T122">((2*ttotal7)/(3*s_t))*(st_b[[#This Row],[s(tb)]]+(s_t/4))</f>
        <v>8.5396825396825388E-2</v>
      </c>
      <c r="U122" s="3" cm="1">
        <f t="array" ref="U122">((2*ttotal8)/(3*s_t))*(st_b[[#This Row],[s(tb)]]+(s_t/4))</f>
        <v>7.4722222222222218E-2</v>
      </c>
      <c r="V122" s="3" cm="1">
        <f t="array" ref="V122">((2*ttotal9)/(3*s_t))*(st_b[[#This Row],[s(tb)]]+(s_t/4))</f>
        <v>6.6419753086419744E-2</v>
      </c>
      <c r="W122" s="3" cm="1">
        <f t="array" ref="W122">((2*ttotal10)/(3*s_t))*(st_b[[#This Row],[s(tb)]]+(s_t/4))</f>
        <v>5.9777777777777777E-2</v>
      </c>
    </row>
    <row r="123" spans="13:23" x14ac:dyDescent="0.25">
      <c r="M123" s="8">
        <v>1.9500000000000001E-3</v>
      </c>
      <c r="N123" s="3" cm="1">
        <f t="array" ref="N123">((2*ttotal1)/(3*s_t))*(st_b[[#This Row],[s(tb)]]+(s_t/4))</f>
        <v>0.6</v>
      </c>
      <c r="O123" s="3" cm="1">
        <f t="array" ref="O123">((2*ttotal2)/(3*s_t))*(st_b[[#This Row],[s(tb)]]+(s_t/4))</f>
        <v>0.3</v>
      </c>
      <c r="P123" s="3" cm="1">
        <f t="array" ref="P123">((2*ttotal3)/(3*s_t))*(st_b[[#This Row],[s(tb)]]+(s_t/4))</f>
        <v>0.19999999999999998</v>
      </c>
      <c r="Q123" s="3" cm="1">
        <f t="array" ref="Q123">((2*ttotal4)/(3*s_t))*(st_b[[#This Row],[s(tb)]]+(s_t/4))</f>
        <v>0.15</v>
      </c>
      <c r="R123" s="3" cm="1">
        <f t="array" ref="R123">((2*ttotal5)/(3*s_t))*(st_b[[#This Row],[s(tb)]]+(s_t/4))</f>
        <v>0.12</v>
      </c>
      <c r="S123" s="3" cm="1">
        <f t="array" ref="S123">((2*ttotal6)/(3*s_t))*(st_b[[#This Row],[s(tb)]]+(s_t/4))</f>
        <v>9.9999999999999992E-2</v>
      </c>
      <c r="T123" s="3" cm="1">
        <f t="array" ref="T123">((2*ttotal7)/(3*s_t))*(st_b[[#This Row],[s(tb)]]+(s_t/4))</f>
        <v>8.5714285714285701E-2</v>
      </c>
      <c r="U123" s="3" cm="1">
        <f t="array" ref="U123">((2*ttotal8)/(3*s_t))*(st_b[[#This Row],[s(tb)]]+(s_t/4))</f>
        <v>7.4999999999999997E-2</v>
      </c>
      <c r="V123" s="3" cm="1">
        <f t="array" ref="V123">((2*ttotal9)/(3*s_t))*(st_b[[#This Row],[s(tb)]]+(s_t/4))</f>
        <v>6.6666666666666666E-2</v>
      </c>
      <c r="W123" s="3" cm="1">
        <f t="array" ref="W123">((2*ttotal10)/(3*s_t))*(st_b[[#This Row],[s(tb)]]+(s_t/4))</f>
        <v>0.06</v>
      </c>
    </row>
    <row r="124" spans="13:23" x14ac:dyDescent="0.25">
      <c r="M124" s="8">
        <v>1.9600000000000004E-3</v>
      </c>
      <c r="N124" s="3" cm="1">
        <f t="array" ref="N124">((2*ttotal1)/(3*s_t))*(st_b[[#This Row],[s(tb)]]+(s_t/4))</f>
        <v>0.60222222222222233</v>
      </c>
      <c r="O124" s="3" cm="1">
        <f t="array" ref="O124">((2*ttotal2)/(3*s_t))*(st_b[[#This Row],[s(tb)]]+(s_t/4))</f>
        <v>0.30111111111111116</v>
      </c>
      <c r="P124" s="3" cm="1">
        <f t="array" ref="P124">((2*ttotal3)/(3*s_t))*(st_b[[#This Row],[s(tb)]]+(s_t/4))</f>
        <v>0.20074074074074075</v>
      </c>
      <c r="Q124" s="3" cm="1">
        <f t="array" ref="Q124">((2*ttotal4)/(3*s_t))*(st_b[[#This Row],[s(tb)]]+(s_t/4))</f>
        <v>0.15055555555555558</v>
      </c>
      <c r="R124" s="3" cm="1">
        <f t="array" ref="R124">((2*ttotal5)/(3*s_t))*(st_b[[#This Row],[s(tb)]]+(s_t/4))</f>
        <v>0.12044444444444447</v>
      </c>
      <c r="S124" s="3" cm="1">
        <f t="array" ref="S124">((2*ttotal6)/(3*s_t))*(st_b[[#This Row],[s(tb)]]+(s_t/4))</f>
        <v>0.10037037037037037</v>
      </c>
      <c r="T124" s="3" cm="1">
        <f t="array" ref="T124">((2*ttotal7)/(3*s_t))*(st_b[[#This Row],[s(tb)]]+(s_t/4))</f>
        <v>8.6031746031746029E-2</v>
      </c>
      <c r="U124" s="3" cm="1">
        <f t="array" ref="U124">((2*ttotal8)/(3*s_t))*(st_b[[#This Row],[s(tb)]]+(s_t/4))</f>
        <v>7.5277777777777791E-2</v>
      </c>
      <c r="V124" s="3" cm="1">
        <f t="array" ref="V124">((2*ttotal9)/(3*s_t))*(st_b[[#This Row],[s(tb)]]+(s_t/4))</f>
        <v>6.6913580246913587E-2</v>
      </c>
      <c r="W124" s="3" cm="1">
        <f t="array" ref="W124">((2*ttotal10)/(3*s_t))*(st_b[[#This Row],[s(tb)]]+(s_t/4))</f>
        <v>6.0222222222222233E-2</v>
      </c>
    </row>
    <row r="125" spans="13:23" x14ac:dyDescent="0.25">
      <c r="M125" s="8">
        <v>1.97E-3</v>
      </c>
      <c r="N125" s="3" cm="1">
        <f t="array" ref="N125">((2*ttotal1)/(3*s_t))*(st_b[[#This Row],[s(tb)]]+(s_t/4))</f>
        <v>0.60444444444444445</v>
      </c>
      <c r="O125" s="3" cm="1">
        <f t="array" ref="O125">((2*ttotal2)/(3*s_t))*(st_b[[#This Row],[s(tb)]]+(s_t/4))</f>
        <v>0.30222222222222223</v>
      </c>
      <c r="P125" s="3" cm="1">
        <f t="array" ref="P125">((2*ttotal3)/(3*s_t))*(st_b[[#This Row],[s(tb)]]+(s_t/4))</f>
        <v>0.20148148148148146</v>
      </c>
      <c r="Q125" s="3" cm="1">
        <f t="array" ref="Q125">((2*ttotal4)/(3*s_t))*(st_b[[#This Row],[s(tb)]]+(s_t/4))</f>
        <v>0.15111111111111111</v>
      </c>
      <c r="R125" s="3" cm="1">
        <f t="array" ref="R125">((2*ttotal5)/(3*s_t))*(st_b[[#This Row],[s(tb)]]+(s_t/4))</f>
        <v>0.12088888888888889</v>
      </c>
      <c r="S125" s="3" cm="1">
        <f t="array" ref="S125">((2*ttotal6)/(3*s_t))*(st_b[[#This Row],[s(tb)]]+(s_t/4))</f>
        <v>0.10074074074074073</v>
      </c>
      <c r="T125" s="3" cm="1">
        <f t="array" ref="T125">((2*ttotal7)/(3*s_t))*(st_b[[#This Row],[s(tb)]]+(s_t/4))</f>
        <v>8.6349206349206342E-2</v>
      </c>
      <c r="U125" s="3" cm="1">
        <f t="array" ref="U125">((2*ttotal8)/(3*s_t))*(st_b[[#This Row],[s(tb)]]+(s_t/4))</f>
        <v>7.5555555555555556E-2</v>
      </c>
      <c r="V125" s="3" cm="1">
        <f t="array" ref="V125">((2*ttotal9)/(3*s_t))*(st_b[[#This Row],[s(tb)]]+(s_t/4))</f>
        <v>6.7160493827160495E-2</v>
      </c>
      <c r="W125" s="3" cm="1">
        <f t="array" ref="W125">((2*ttotal10)/(3*s_t))*(st_b[[#This Row],[s(tb)]]+(s_t/4))</f>
        <v>6.0444444444444446E-2</v>
      </c>
    </row>
    <row r="126" spans="13:23" x14ac:dyDescent="0.25">
      <c r="M126" s="8">
        <v>1.98E-3</v>
      </c>
      <c r="N126" s="3" cm="1">
        <f t="array" ref="N126">((2*ttotal1)/(3*s_t))*(st_b[[#This Row],[s(tb)]]+(s_t/4))</f>
        <v>0.60666666666666658</v>
      </c>
      <c r="O126" s="3" cm="1">
        <f t="array" ref="O126">((2*ttotal2)/(3*s_t))*(st_b[[#This Row],[s(tb)]]+(s_t/4))</f>
        <v>0.30333333333333329</v>
      </c>
      <c r="P126" s="3" cm="1">
        <f t="array" ref="P126">((2*ttotal3)/(3*s_t))*(st_b[[#This Row],[s(tb)]]+(s_t/4))</f>
        <v>0.20222222222222216</v>
      </c>
      <c r="Q126" s="3" cm="1">
        <f t="array" ref="Q126">((2*ttotal4)/(3*s_t))*(st_b[[#This Row],[s(tb)]]+(s_t/4))</f>
        <v>0.15166666666666664</v>
      </c>
      <c r="R126" s="3" cm="1">
        <f t="array" ref="R126">((2*ttotal5)/(3*s_t))*(st_b[[#This Row],[s(tb)]]+(s_t/4))</f>
        <v>0.12133333333333332</v>
      </c>
      <c r="S126" s="3" cm="1">
        <f t="array" ref="S126">((2*ttotal6)/(3*s_t))*(st_b[[#This Row],[s(tb)]]+(s_t/4))</f>
        <v>0.10111111111111108</v>
      </c>
      <c r="T126" s="3" cm="1">
        <f t="array" ref="T126">((2*ttotal7)/(3*s_t))*(st_b[[#This Row],[s(tb)]]+(s_t/4))</f>
        <v>8.6666666666666642E-2</v>
      </c>
      <c r="U126" s="3" cm="1">
        <f t="array" ref="U126">((2*ttotal8)/(3*s_t))*(st_b[[#This Row],[s(tb)]]+(s_t/4))</f>
        <v>7.5833333333333322E-2</v>
      </c>
      <c r="V126" s="3" cm="1">
        <f t="array" ref="V126">((2*ttotal9)/(3*s_t))*(st_b[[#This Row],[s(tb)]]+(s_t/4))</f>
        <v>6.7407407407407388E-2</v>
      </c>
      <c r="W126" s="3" cm="1">
        <f t="array" ref="W126">((2*ttotal10)/(3*s_t))*(st_b[[#This Row],[s(tb)]]+(s_t/4))</f>
        <v>6.066666666666666E-2</v>
      </c>
    </row>
    <row r="127" spans="13:23" x14ac:dyDescent="0.25">
      <c r="M127" s="8">
        <v>1.99E-3</v>
      </c>
      <c r="N127" s="3" cm="1">
        <f t="array" ref="N127">((2*ttotal1)/(3*s_t))*(st_b[[#This Row],[s(tb)]]+(s_t/4))</f>
        <v>0.60888888888888892</v>
      </c>
      <c r="O127" s="3" cm="1">
        <f t="array" ref="O127">((2*ttotal2)/(3*s_t))*(st_b[[#This Row],[s(tb)]]+(s_t/4))</f>
        <v>0.30444444444444446</v>
      </c>
      <c r="P127" s="3" cm="1">
        <f t="array" ref="P127">((2*ttotal3)/(3*s_t))*(st_b[[#This Row],[s(tb)]]+(s_t/4))</f>
        <v>0.20296296296296296</v>
      </c>
      <c r="Q127" s="3" cm="1">
        <f t="array" ref="Q127">((2*ttotal4)/(3*s_t))*(st_b[[#This Row],[s(tb)]]+(s_t/4))</f>
        <v>0.15222222222222223</v>
      </c>
      <c r="R127" s="3" cm="1">
        <f t="array" ref="R127">((2*ttotal5)/(3*s_t))*(st_b[[#This Row],[s(tb)]]+(s_t/4))</f>
        <v>0.12177777777777779</v>
      </c>
      <c r="S127" s="3" cm="1">
        <f t="array" ref="S127">((2*ttotal6)/(3*s_t))*(st_b[[#This Row],[s(tb)]]+(s_t/4))</f>
        <v>0.10148148148148148</v>
      </c>
      <c r="T127" s="3" cm="1">
        <f t="array" ref="T127">((2*ttotal7)/(3*s_t))*(st_b[[#This Row],[s(tb)]]+(s_t/4))</f>
        <v>8.6984126984126969E-2</v>
      </c>
      <c r="U127" s="3" cm="1">
        <f t="array" ref="U127">((2*ttotal8)/(3*s_t))*(st_b[[#This Row],[s(tb)]]+(s_t/4))</f>
        <v>7.6111111111111115E-2</v>
      </c>
      <c r="V127" s="3" cm="1">
        <f t="array" ref="V127">((2*ttotal9)/(3*s_t))*(st_b[[#This Row],[s(tb)]]+(s_t/4))</f>
        <v>6.7654320987654309E-2</v>
      </c>
      <c r="W127" s="3" cm="1">
        <f t="array" ref="W127">((2*ttotal10)/(3*s_t))*(st_b[[#This Row],[s(tb)]]+(s_t/4))</f>
        <v>6.0888888888888895E-2</v>
      </c>
    </row>
    <row r="128" spans="13:23" x14ac:dyDescent="0.25">
      <c r="M128" s="8">
        <v>2E-3</v>
      </c>
      <c r="N128" s="3" cm="1">
        <f t="array" ref="N128">((2*ttotal1)/(3*s_t))*(st_b[[#This Row],[s(tb)]]+(s_t/4))</f>
        <v>0.61111111111111105</v>
      </c>
      <c r="O128" s="3" cm="1">
        <f t="array" ref="O128">((2*ttotal2)/(3*s_t))*(st_b[[#This Row],[s(tb)]]+(s_t/4))</f>
        <v>0.30555555555555552</v>
      </c>
      <c r="P128" s="3" cm="1">
        <f t="array" ref="P128">((2*ttotal3)/(3*s_t))*(st_b[[#This Row],[s(tb)]]+(s_t/4))</f>
        <v>0.20370370370370366</v>
      </c>
      <c r="Q128" s="3" cm="1">
        <f t="array" ref="Q128">((2*ttotal4)/(3*s_t))*(st_b[[#This Row],[s(tb)]]+(s_t/4))</f>
        <v>0.15277777777777776</v>
      </c>
      <c r="R128" s="3" cm="1">
        <f t="array" ref="R128">((2*ttotal5)/(3*s_t))*(st_b[[#This Row],[s(tb)]]+(s_t/4))</f>
        <v>0.1222222222222222</v>
      </c>
      <c r="S128" s="3" cm="1">
        <f t="array" ref="S128">((2*ttotal6)/(3*s_t))*(st_b[[#This Row],[s(tb)]]+(s_t/4))</f>
        <v>0.10185185185185183</v>
      </c>
      <c r="T128" s="3" cm="1">
        <f t="array" ref="T128">((2*ttotal7)/(3*s_t))*(st_b[[#This Row],[s(tb)]]+(s_t/4))</f>
        <v>8.7301587301587283E-2</v>
      </c>
      <c r="U128" s="3" cm="1">
        <f t="array" ref="U128">((2*ttotal8)/(3*s_t))*(st_b[[#This Row],[s(tb)]]+(s_t/4))</f>
        <v>7.6388888888888881E-2</v>
      </c>
      <c r="V128" s="3" cm="1">
        <f t="array" ref="V128">((2*ttotal9)/(3*s_t))*(st_b[[#This Row],[s(tb)]]+(s_t/4))</f>
        <v>6.7901234567901217E-2</v>
      </c>
      <c r="W128" s="3" cm="1">
        <f t="array" ref="W128">((2*ttotal10)/(3*s_t))*(st_b[[#This Row],[s(tb)]]+(s_t/4))</f>
        <v>6.1111111111111102E-2</v>
      </c>
    </row>
    <row r="129" spans="13:23" x14ac:dyDescent="0.25">
      <c r="M129" s="8">
        <v>2.0100000000000001E-3</v>
      </c>
      <c r="N129" s="3" cm="1">
        <f t="array" ref="N129">((2*ttotal1)/(3*s_t))*(st_b[[#This Row],[s(tb)]]+(s_t/4))</f>
        <v>0.61333333333333329</v>
      </c>
      <c r="O129" s="3" cm="1">
        <f t="array" ref="O129">((2*ttotal2)/(3*s_t))*(st_b[[#This Row],[s(tb)]]+(s_t/4))</f>
        <v>0.30666666666666664</v>
      </c>
      <c r="P129" s="3" cm="1">
        <f t="array" ref="P129">((2*ttotal3)/(3*s_t))*(st_b[[#This Row],[s(tb)]]+(s_t/4))</f>
        <v>0.20444444444444443</v>
      </c>
      <c r="Q129" s="3" cm="1">
        <f t="array" ref="Q129">((2*ttotal4)/(3*s_t))*(st_b[[#This Row],[s(tb)]]+(s_t/4))</f>
        <v>0.15333333333333332</v>
      </c>
      <c r="R129" s="3" cm="1">
        <f t="array" ref="R129">((2*ttotal5)/(3*s_t))*(st_b[[#This Row],[s(tb)]]+(s_t/4))</f>
        <v>0.12266666666666667</v>
      </c>
      <c r="S129" s="3" cm="1">
        <f t="array" ref="S129">((2*ttotal6)/(3*s_t))*(st_b[[#This Row],[s(tb)]]+(s_t/4))</f>
        <v>0.10222222222222221</v>
      </c>
      <c r="T129" s="3" cm="1">
        <f t="array" ref="T129">((2*ttotal7)/(3*s_t))*(st_b[[#This Row],[s(tb)]]+(s_t/4))</f>
        <v>8.761904761904761E-2</v>
      </c>
      <c r="U129" s="3" cm="1">
        <f t="array" ref="U129">((2*ttotal8)/(3*s_t))*(st_b[[#This Row],[s(tb)]]+(s_t/4))</f>
        <v>7.6666666666666661E-2</v>
      </c>
      <c r="V129" s="3" cm="1">
        <f t="array" ref="V129">((2*ttotal9)/(3*s_t))*(st_b[[#This Row],[s(tb)]]+(s_t/4))</f>
        <v>6.8148148148148138E-2</v>
      </c>
      <c r="W129" s="3" cm="1">
        <f t="array" ref="W129">((2*ttotal10)/(3*s_t))*(st_b[[#This Row],[s(tb)]]+(s_t/4))</f>
        <v>6.1333333333333337E-2</v>
      </c>
    </row>
    <row r="130" spans="13:23" x14ac:dyDescent="0.25">
      <c r="M130" s="8">
        <v>2.0200000000000001E-3</v>
      </c>
      <c r="N130" s="3" cm="1">
        <f t="array" ref="N130">((2*ttotal1)/(3*s_t))*(st_b[[#This Row],[s(tb)]]+(s_t/4))</f>
        <v>0.61555555555555552</v>
      </c>
      <c r="O130" s="3" cm="1">
        <f t="array" ref="O130">((2*ttotal2)/(3*s_t))*(st_b[[#This Row],[s(tb)]]+(s_t/4))</f>
        <v>0.30777777777777776</v>
      </c>
      <c r="P130" s="3" cm="1">
        <f t="array" ref="P130">((2*ttotal3)/(3*s_t))*(st_b[[#This Row],[s(tb)]]+(s_t/4))</f>
        <v>0.20518518518518514</v>
      </c>
      <c r="Q130" s="3" cm="1">
        <f t="array" ref="Q130">((2*ttotal4)/(3*s_t))*(st_b[[#This Row],[s(tb)]]+(s_t/4))</f>
        <v>0.15388888888888888</v>
      </c>
      <c r="R130" s="3" cm="1">
        <f t="array" ref="R130">((2*ttotal5)/(3*s_t))*(st_b[[#This Row],[s(tb)]]+(s_t/4))</f>
        <v>0.1231111111111111</v>
      </c>
      <c r="S130" s="3" cm="1">
        <f t="array" ref="S130">((2*ttotal6)/(3*s_t))*(st_b[[#This Row],[s(tb)]]+(s_t/4))</f>
        <v>0.10259259259259257</v>
      </c>
      <c r="T130" s="3" cm="1">
        <f t="array" ref="T130">((2*ttotal7)/(3*s_t))*(st_b[[#This Row],[s(tb)]]+(s_t/4))</f>
        <v>8.793650793650791E-2</v>
      </c>
      <c r="U130" s="3" cm="1">
        <f t="array" ref="U130">((2*ttotal8)/(3*s_t))*(st_b[[#This Row],[s(tb)]]+(s_t/4))</f>
        <v>7.694444444444444E-2</v>
      </c>
      <c r="V130" s="3" cm="1">
        <f t="array" ref="V130">((2*ttotal9)/(3*s_t))*(st_b[[#This Row],[s(tb)]]+(s_t/4))</f>
        <v>6.8395061728395046E-2</v>
      </c>
      <c r="W130" s="3" cm="1">
        <f t="array" ref="W130">((2*ttotal10)/(3*s_t))*(st_b[[#This Row],[s(tb)]]+(s_t/4))</f>
        <v>6.1555555555555551E-2</v>
      </c>
    </row>
    <row r="131" spans="13:23" x14ac:dyDescent="0.25">
      <c r="M131" s="8">
        <v>2.0300000000000001E-3</v>
      </c>
      <c r="N131" s="3" cm="1">
        <f t="array" ref="N131">((2*ttotal1)/(3*s_t))*(st_b[[#This Row],[s(tb)]]+(s_t/4))</f>
        <v>0.61777777777777776</v>
      </c>
      <c r="O131" s="3" cm="1">
        <f t="array" ref="O131">((2*ttotal2)/(3*s_t))*(st_b[[#This Row],[s(tb)]]+(s_t/4))</f>
        <v>0.30888888888888888</v>
      </c>
      <c r="P131" s="3" cm="1">
        <f t="array" ref="P131">((2*ttotal3)/(3*s_t))*(st_b[[#This Row],[s(tb)]]+(s_t/4))</f>
        <v>0.20592592592592593</v>
      </c>
      <c r="Q131" s="3" cm="1">
        <f t="array" ref="Q131">((2*ttotal4)/(3*s_t))*(st_b[[#This Row],[s(tb)]]+(s_t/4))</f>
        <v>0.15444444444444444</v>
      </c>
      <c r="R131" s="3" cm="1">
        <f t="array" ref="R131">((2*ttotal5)/(3*s_t))*(st_b[[#This Row],[s(tb)]]+(s_t/4))</f>
        <v>0.12355555555555557</v>
      </c>
      <c r="S131" s="3" cm="1">
        <f t="array" ref="S131">((2*ttotal6)/(3*s_t))*(st_b[[#This Row],[s(tb)]]+(s_t/4))</f>
        <v>0.10296296296296296</v>
      </c>
      <c r="T131" s="3" cm="1">
        <f t="array" ref="T131">((2*ttotal7)/(3*s_t))*(st_b[[#This Row],[s(tb)]]+(s_t/4))</f>
        <v>8.8253968253968251E-2</v>
      </c>
      <c r="U131" s="3" cm="1">
        <f t="array" ref="U131">((2*ttotal8)/(3*s_t))*(st_b[[#This Row],[s(tb)]]+(s_t/4))</f>
        <v>7.722222222222222E-2</v>
      </c>
      <c r="V131" s="3" cm="1">
        <f t="array" ref="V131">((2*ttotal9)/(3*s_t))*(st_b[[#This Row],[s(tb)]]+(s_t/4))</f>
        <v>6.8641975308641967E-2</v>
      </c>
      <c r="W131" s="3" cm="1">
        <f t="array" ref="W131">((2*ttotal10)/(3*s_t))*(st_b[[#This Row],[s(tb)]]+(s_t/4))</f>
        <v>6.1777777777777786E-2</v>
      </c>
    </row>
    <row r="132" spans="13:23" x14ac:dyDescent="0.25">
      <c r="M132" s="8">
        <v>2.0400000000000001E-3</v>
      </c>
      <c r="N132" s="3" cm="1">
        <f t="array" ref="N132">((2*ttotal1)/(3*s_t))*(st_b[[#This Row],[s(tb)]]+(s_t/4))</f>
        <v>0.61999999999999988</v>
      </c>
      <c r="O132" s="3" cm="1">
        <f t="array" ref="O132">((2*ttotal2)/(3*s_t))*(st_b[[#This Row],[s(tb)]]+(s_t/4))</f>
        <v>0.30999999999999994</v>
      </c>
      <c r="P132" s="3" cm="1">
        <f t="array" ref="P132">((2*ttotal3)/(3*s_t))*(st_b[[#This Row],[s(tb)]]+(s_t/4))</f>
        <v>0.20666666666666664</v>
      </c>
      <c r="Q132" s="3" cm="1">
        <f t="array" ref="Q132">((2*ttotal4)/(3*s_t))*(st_b[[#This Row],[s(tb)]]+(s_t/4))</f>
        <v>0.15499999999999997</v>
      </c>
      <c r="R132" s="3" cm="1">
        <f t="array" ref="R132">((2*ttotal5)/(3*s_t))*(st_b[[#This Row],[s(tb)]]+(s_t/4))</f>
        <v>0.124</v>
      </c>
      <c r="S132" s="3" cm="1">
        <f t="array" ref="S132">((2*ttotal6)/(3*s_t))*(st_b[[#This Row],[s(tb)]]+(s_t/4))</f>
        <v>0.10333333333333332</v>
      </c>
      <c r="T132" s="3" cm="1">
        <f t="array" ref="T132">((2*ttotal7)/(3*s_t))*(st_b[[#This Row],[s(tb)]]+(s_t/4))</f>
        <v>8.8571428571428551E-2</v>
      </c>
      <c r="U132" s="3" cm="1">
        <f t="array" ref="U132">((2*ttotal8)/(3*s_t))*(st_b[[#This Row],[s(tb)]]+(s_t/4))</f>
        <v>7.7499999999999986E-2</v>
      </c>
      <c r="V132" s="3" cm="1">
        <f t="array" ref="V132">((2*ttotal9)/(3*s_t))*(st_b[[#This Row],[s(tb)]]+(s_t/4))</f>
        <v>6.8888888888888875E-2</v>
      </c>
      <c r="W132" s="3" cm="1">
        <f t="array" ref="W132">((2*ttotal10)/(3*s_t))*(st_b[[#This Row],[s(tb)]]+(s_t/4))</f>
        <v>6.2E-2</v>
      </c>
    </row>
    <row r="133" spans="13:23" x14ac:dyDescent="0.25">
      <c r="M133" s="8">
        <v>2.0500000000000002E-3</v>
      </c>
      <c r="N133" s="3" cm="1">
        <f t="array" ref="N133">((2*ttotal1)/(3*s_t))*(st_b[[#This Row],[s(tb)]]+(s_t/4))</f>
        <v>0.62222222222222223</v>
      </c>
      <c r="O133" s="3" cm="1">
        <f t="array" ref="O133">((2*ttotal2)/(3*s_t))*(st_b[[#This Row],[s(tb)]]+(s_t/4))</f>
        <v>0.31111111111111112</v>
      </c>
      <c r="P133" s="3" cm="1">
        <f t="array" ref="P133">((2*ttotal3)/(3*s_t))*(st_b[[#This Row],[s(tb)]]+(s_t/4))</f>
        <v>0.2074074074074074</v>
      </c>
      <c r="Q133" s="3" cm="1">
        <f t="array" ref="Q133">((2*ttotal4)/(3*s_t))*(st_b[[#This Row],[s(tb)]]+(s_t/4))</f>
        <v>0.15555555555555556</v>
      </c>
      <c r="R133" s="3" cm="1">
        <f t="array" ref="R133">((2*ttotal5)/(3*s_t))*(st_b[[#This Row],[s(tb)]]+(s_t/4))</f>
        <v>0.12444444444444445</v>
      </c>
      <c r="S133" s="3" cm="1">
        <f t="array" ref="S133">((2*ttotal6)/(3*s_t))*(st_b[[#This Row],[s(tb)]]+(s_t/4))</f>
        <v>0.1037037037037037</v>
      </c>
      <c r="T133" s="3" cm="1">
        <f t="array" ref="T133">((2*ttotal7)/(3*s_t))*(st_b[[#This Row],[s(tb)]]+(s_t/4))</f>
        <v>8.8888888888888878E-2</v>
      </c>
      <c r="U133" s="3" cm="1">
        <f t="array" ref="U133">((2*ttotal8)/(3*s_t))*(st_b[[#This Row],[s(tb)]]+(s_t/4))</f>
        <v>7.7777777777777779E-2</v>
      </c>
      <c r="V133" s="3" cm="1">
        <f t="array" ref="V133">((2*ttotal9)/(3*s_t))*(st_b[[#This Row],[s(tb)]]+(s_t/4))</f>
        <v>6.9135802469135796E-2</v>
      </c>
      <c r="W133" s="3" cm="1">
        <f t="array" ref="W133">((2*ttotal10)/(3*s_t))*(st_b[[#This Row],[s(tb)]]+(s_t/4))</f>
        <v>6.2222222222222227E-2</v>
      </c>
    </row>
    <row r="134" spans="13:23" x14ac:dyDescent="0.25">
      <c r="M134" s="8">
        <v>2.0600000000000002E-3</v>
      </c>
      <c r="N134" s="3" cm="1">
        <f t="array" ref="N134">((2*ttotal1)/(3*s_t))*(st_b[[#This Row],[s(tb)]]+(s_t/4))</f>
        <v>0.62444444444444436</v>
      </c>
      <c r="O134" s="3" cm="1">
        <f t="array" ref="O134">((2*ttotal2)/(3*s_t))*(st_b[[#This Row],[s(tb)]]+(s_t/4))</f>
        <v>0.31222222222222218</v>
      </c>
      <c r="P134" s="3" cm="1">
        <f t="array" ref="P134">((2*ttotal3)/(3*s_t))*(st_b[[#This Row],[s(tb)]]+(s_t/4))</f>
        <v>0.20814814814814811</v>
      </c>
      <c r="Q134" s="3" cm="1">
        <f t="array" ref="Q134">((2*ttotal4)/(3*s_t))*(st_b[[#This Row],[s(tb)]]+(s_t/4))</f>
        <v>0.15611111111111109</v>
      </c>
      <c r="R134" s="3" cm="1">
        <f t="array" ref="R134">((2*ttotal5)/(3*s_t))*(st_b[[#This Row],[s(tb)]]+(s_t/4))</f>
        <v>0.12488888888888888</v>
      </c>
      <c r="S134" s="3" cm="1">
        <f t="array" ref="S134">((2*ttotal6)/(3*s_t))*(st_b[[#This Row],[s(tb)]]+(s_t/4))</f>
        <v>0.10407407407407405</v>
      </c>
      <c r="T134" s="3" cm="1">
        <f t="array" ref="T134">((2*ttotal7)/(3*s_t))*(st_b[[#This Row],[s(tb)]]+(s_t/4))</f>
        <v>8.9206349206349192E-2</v>
      </c>
      <c r="U134" s="3" cm="1">
        <f t="array" ref="U134">((2*ttotal8)/(3*s_t))*(st_b[[#This Row],[s(tb)]]+(s_t/4))</f>
        <v>7.8055555555555545E-2</v>
      </c>
      <c r="V134" s="3" cm="1">
        <f t="array" ref="V134">((2*ttotal9)/(3*s_t))*(st_b[[#This Row],[s(tb)]]+(s_t/4))</f>
        <v>6.9382716049382703E-2</v>
      </c>
      <c r="W134" s="3" cm="1">
        <f t="array" ref="W134">((2*ttotal10)/(3*s_t))*(st_b[[#This Row],[s(tb)]]+(s_t/4))</f>
        <v>6.2444444444444441E-2</v>
      </c>
    </row>
    <row r="135" spans="13:23" x14ac:dyDescent="0.25">
      <c r="M135" s="8">
        <v>2.0700000000000002E-3</v>
      </c>
      <c r="N135" s="3" cm="1">
        <f t="array" ref="N135">((2*ttotal1)/(3*s_t))*(st_b[[#This Row],[s(tb)]]+(s_t/4))</f>
        <v>0.62666666666666671</v>
      </c>
      <c r="O135" s="3" cm="1">
        <f t="array" ref="O135">((2*ttotal2)/(3*s_t))*(st_b[[#This Row],[s(tb)]]+(s_t/4))</f>
        <v>0.31333333333333335</v>
      </c>
      <c r="P135" s="3" cm="1">
        <f t="array" ref="P135">((2*ttotal3)/(3*s_t))*(st_b[[#This Row],[s(tb)]]+(s_t/4))</f>
        <v>0.2088888888888889</v>
      </c>
      <c r="Q135" s="3" cm="1">
        <f t="array" ref="Q135">((2*ttotal4)/(3*s_t))*(st_b[[#This Row],[s(tb)]]+(s_t/4))</f>
        <v>0.15666666666666668</v>
      </c>
      <c r="R135" s="3" cm="1">
        <f t="array" ref="R135">((2*ttotal5)/(3*s_t))*(st_b[[#This Row],[s(tb)]]+(s_t/4))</f>
        <v>0.12533333333333335</v>
      </c>
      <c r="S135" s="3" cm="1">
        <f t="array" ref="S135">((2*ttotal6)/(3*s_t))*(st_b[[#This Row],[s(tb)]]+(s_t/4))</f>
        <v>0.10444444444444445</v>
      </c>
      <c r="T135" s="3" cm="1">
        <f t="array" ref="T135">((2*ttotal7)/(3*s_t))*(st_b[[#This Row],[s(tb)]]+(s_t/4))</f>
        <v>8.9523809523809519E-2</v>
      </c>
      <c r="U135" s="3" cm="1">
        <f t="array" ref="U135">((2*ttotal8)/(3*s_t))*(st_b[[#This Row],[s(tb)]]+(s_t/4))</f>
        <v>7.8333333333333338E-2</v>
      </c>
      <c r="V135" s="3" cm="1">
        <f t="array" ref="V135">((2*ttotal9)/(3*s_t))*(st_b[[#This Row],[s(tb)]]+(s_t/4))</f>
        <v>6.9629629629629625E-2</v>
      </c>
      <c r="W135" s="3" cm="1">
        <f t="array" ref="W135">((2*ttotal10)/(3*s_t))*(st_b[[#This Row],[s(tb)]]+(s_t/4))</f>
        <v>6.2666666666666676E-2</v>
      </c>
    </row>
    <row r="136" spans="13:23" x14ac:dyDescent="0.25">
      <c r="M136" s="8">
        <v>2.0800000000000003E-3</v>
      </c>
      <c r="N136" s="3" cm="1">
        <f t="array" ref="N136">((2*ttotal1)/(3*s_t))*(st_b[[#This Row],[s(tb)]]+(s_t/4))</f>
        <v>0.62888888888888883</v>
      </c>
      <c r="O136" s="3" cm="1">
        <f t="array" ref="O136">((2*ttotal2)/(3*s_t))*(st_b[[#This Row],[s(tb)]]+(s_t/4))</f>
        <v>0.31444444444444442</v>
      </c>
      <c r="P136" s="3" cm="1">
        <f t="array" ref="P136">((2*ttotal3)/(3*s_t))*(st_b[[#This Row],[s(tb)]]+(s_t/4))</f>
        <v>0.20962962962962961</v>
      </c>
      <c r="Q136" s="3" cm="1">
        <f t="array" ref="Q136">((2*ttotal4)/(3*s_t))*(st_b[[#This Row],[s(tb)]]+(s_t/4))</f>
        <v>0.15722222222222221</v>
      </c>
      <c r="R136" s="3" cm="1">
        <f t="array" ref="R136">((2*ttotal5)/(3*s_t))*(st_b[[#This Row],[s(tb)]]+(s_t/4))</f>
        <v>0.12577777777777777</v>
      </c>
      <c r="S136" s="3" cm="1">
        <f t="array" ref="S136">((2*ttotal6)/(3*s_t))*(st_b[[#This Row],[s(tb)]]+(s_t/4))</f>
        <v>0.10481481481481481</v>
      </c>
      <c r="T136" s="3" cm="1">
        <f t="array" ref="T136">((2*ttotal7)/(3*s_t))*(st_b[[#This Row],[s(tb)]]+(s_t/4))</f>
        <v>8.9841269841269819E-2</v>
      </c>
      <c r="U136" s="3" cm="1">
        <f t="array" ref="U136">((2*ttotal8)/(3*s_t))*(st_b[[#This Row],[s(tb)]]+(s_t/4))</f>
        <v>7.8611111111111104E-2</v>
      </c>
      <c r="V136" s="3" cm="1">
        <f t="array" ref="V136">((2*ttotal9)/(3*s_t))*(st_b[[#This Row],[s(tb)]]+(s_t/4))</f>
        <v>6.9876543209876532E-2</v>
      </c>
      <c r="W136" s="3" cm="1">
        <f t="array" ref="W136">((2*ttotal10)/(3*s_t))*(st_b[[#This Row],[s(tb)]]+(s_t/4))</f>
        <v>6.2888888888888883E-2</v>
      </c>
    </row>
    <row r="137" spans="13:23" x14ac:dyDescent="0.25">
      <c r="M137" s="8">
        <v>2.0900000000000003E-3</v>
      </c>
      <c r="N137" s="3" cm="1">
        <f t="array" ref="N137">((2*ttotal1)/(3*s_t))*(st_b[[#This Row],[s(tb)]]+(s_t/4))</f>
        <v>0.63111111111111118</v>
      </c>
      <c r="O137" s="3" cm="1">
        <f t="array" ref="O137">((2*ttotal2)/(3*s_t))*(st_b[[#This Row],[s(tb)]]+(s_t/4))</f>
        <v>0.31555555555555559</v>
      </c>
      <c r="P137" s="3" cm="1">
        <f t="array" ref="P137">((2*ttotal3)/(3*s_t))*(st_b[[#This Row],[s(tb)]]+(s_t/4))</f>
        <v>0.21037037037037037</v>
      </c>
      <c r="Q137" s="3" cm="1">
        <f t="array" ref="Q137">((2*ttotal4)/(3*s_t))*(st_b[[#This Row],[s(tb)]]+(s_t/4))</f>
        <v>0.15777777777777779</v>
      </c>
      <c r="R137" s="3" cm="1">
        <f t="array" ref="R137">((2*ttotal5)/(3*s_t))*(st_b[[#This Row],[s(tb)]]+(s_t/4))</f>
        <v>0.12622222222222224</v>
      </c>
      <c r="S137" s="3" cm="1">
        <f t="array" ref="S137">((2*ttotal6)/(3*s_t))*(st_b[[#This Row],[s(tb)]]+(s_t/4))</f>
        <v>0.10518518518518519</v>
      </c>
      <c r="T137" s="3" cm="1">
        <f t="array" ref="T137">((2*ttotal7)/(3*s_t))*(st_b[[#This Row],[s(tb)]]+(s_t/4))</f>
        <v>9.015873015873016E-2</v>
      </c>
      <c r="U137" s="3" cm="1">
        <f t="array" ref="U137">((2*ttotal8)/(3*s_t))*(st_b[[#This Row],[s(tb)]]+(s_t/4))</f>
        <v>7.8888888888888897E-2</v>
      </c>
      <c r="V137" s="3" cm="1">
        <f t="array" ref="V137">((2*ttotal9)/(3*s_t))*(st_b[[#This Row],[s(tb)]]+(s_t/4))</f>
        <v>7.0123456790123453E-2</v>
      </c>
      <c r="W137" s="3" cm="1">
        <f t="array" ref="W137">((2*ttotal10)/(3*s_t))*(st_b[[#This Row],[s(tb)]]+(s_t/4))</f>
        <v>6.3111111111111118E-2</v>
      </c>
    </row>
    <row r="138" spans="13:23" x14ac:dyDescent="0.25">
      <c r="M138" s="8">
        <v>2.1000000000000003E-3</v>
      </c>
      <c r="N138" s="3" cm="1">
        <f t="array" ref="N138">((2*ttotal1)/(3*s_t))*(st_b[[#This Row],[s(tb)]]+(s_t/4))</f>
        <v>0.6333333333333333</v>
      </c>
      <c r="O138" s="3" cm="1">
        <f t="array" ref="O138">((2*ttotal2)/(3*s_t))*(st_b[[#This Row],[s(tb)]]+(s_t/4))</f>
        <v>0.31666666666666665</v>
      </c>
      <c r="P138" s="3" cm="1">
        <f t="array" ref="P138">((2*ttotal3)/(3*s_t))*(st_b[[#This Row],[s(tb)]]+(s_t/4))</f>
        <v>0.21111111111111108</v>
      </c>
      <c r="Q138" s="3" cm="1">
        <f t="array" ref="Q138">((2*ttotal4)/(3*s_t))*(st_b[[#This Row],[s(tb)]]+(s_t/4))</f>
        <v>0.15833333333333333</v>
      </c>
      <c r="R138" s="3" cm="1">
        <f t="array" ref="R138">((2*ttotal5)/(3*s_t))*(st_b[[#This Row],[s(tb)]]+(s_t/4))</f>
        <v>0.12666666666666668</v>
      </c>
      <c r="S138" s="3" cm="1">
        <f t="array" ref="S138">((2*ttotal6)/(3*s_t))*(st_b[[#This Row],[s(tb)]]+(s_t/4))</f>
        <v>0.10555555555555554</v>
      </c>
      <c r="T138" s="3" cm="1">
        <f t="array" ref="T138">((2*ttotal7)/(3*s_t))*(st_b[[#This Row],[s(tb)]]+(s_t/4))</f>
        <v>9.047619047619046E-2</v>
      </c>
      <c r="U138" s="3" cm="1">
        <f t="array" ref="U138">((2*ttotal8)/(3*s_t))*(st_b[[#This Row],[s(tb)]]+(s_t/4))</f>
        <v>7.9166666666666663E-2</v>
      </c>
      <c r="V138" s="3" cm="1">
        <f t="array" ref="V138">((2*ttotal9)/(3*s_t))*(st_b[[#This Row],[s(tb)]]+(s_t/4))</f>
        <v>7.0370370370370361E-2</v>
      </c>
      <c r="W138" s="3" cm="1">
        <f t="array" ref="W138">((2*ttotal10)/(3*s_t))*(st_b[[#This Row],[s(tb)]]+(s_t/4))</f>
        <v>6.3333333333333339E-2</v>
      </c>
    </row>
    <row r="139" spans="13:23" x14ac:dyDescent="0.25">
      <c r="M139" s="8">
        <v>2.1100000000000003E-3</v>
      </c>
      <c r="N139" s="3" cm="1">
        <f t="array" ref="N139">((2*ttotal1)/(3*s_t))*(st_b[[#This Row],[s(tb)]]+(s_t/4))</f>
        <v>0.63555555555555565</v>
      </c>
      <c r="O139" s="3" cm="1">
        <f t="array" ref="O139">((2*ttotal2)/(3*s_t))*(st_b[[#This Row],[s(tb)]]+(s_t/4))</f>
        <v>0.31777777777777783</v>
      </c>
      <c r="P139" s="3" cm="1">
        <f t="array" ref="P139">((2*ttotal3)/(3*s_t))*(st_b[[#This Row],[s(tb)]]+(s_t/4))</f>
        <v>0.21185185185185185</v>
      </c>
      <c r="Q139" s="3" cm="1">
        <f t="array" ref="Q139">((2*ttotal4)/(3*s_t))*(st_b[[#This Row],[s(tb)]]+(s_t/4))</f>
        <v>0.15888888888888891</v>
      </c>
      <c r="R139" s="3" cm="1">
        <f t="array" ref="R139">((2*ttotal5)/(3*s_t))*(st_b[[#This Row],[s(tb)]]+(s_t/4))</f>
        <v>0.12711111111111112</v>
      </c>
      <c r="S139" s="3" cm="1">
        <f t="array" ref="S139">((2*ttotal6)/(3*s_t))*(st_b[[#This Row],[s(tb)]]+(s_t/4))</f>
        <v>0.10592592592592592</v>
      </c>
      <c r="T139" s="3" cm="1">
        <f t="array" ref="T139">((2*ttotal7)/(3*s_t))*(st_b[[#This Row],[s(tb)]]+(s_t/4))</f>
        <v>9.0793650793650788E-2</v>
      </c>
      <c r="U139" s="3" cm="1">
        <f t="array" ref="U139">((2*ttotal8)/(3*s_t))*(st_b[[#This Row],[s(tb)]]+(s_t/4))</f>
        <v>7.9444444444444456E-2</v>
      </c>
      <c r="V139" s="3" cm="1">
        <f t="array" ref="V139">((2*ttotal9)/(3*s_t))*(st_b[[#This Row],[s(tb)]]+(s_t/4))</f>
        <v>7.0617283950617282E-2</v>
      </c>
      <c r="W139" s="3" cm="1">
        <f t="array" ref="W139">((2*ttotal10)/(3*s_t))*(st_b[[#This Row],[s(tb)]]+(s_t/4))</f>
        <v>6.355555555555556E-2</v>
      </c>
    </row>
    <row r="140" spans="13:23" x14ac:dyDescent="0.25">
      <c r="M140" s="8">
        <v>2.1200000000000004E-3</v>
      </c>
      <c r="N140" s="3" cm="1">
        <f t="array" ref="N140">((2*ttotal1)/(3*s_t))*(st_b[[#This Row],[s(tb)]]+(s_t/4))</f>
        <v>0.63777777777777778</v>
      </c>
      <c r="O140" s="3" cm="1">
        <f t="array" ref="O140">((2*ttotal2)/(3*s_t))*(st_b[[#This Row],[s(tb)]]+(s_t/4))</f>
        <v>0.31888888888888889</v>
      </c>
      <c r="P140" s="3" cm="1">
        <f t="array" ref="P140">((2*ttotal3)/(3*s_t))*(st_b[[#This Row],[s(tb)]]+(s_t/4))</f>
        <v>0.21259259259259258</v>
      </c>
      <c r="Q140" s="3" cm="1">
        <f t="array" ref="Q140">((2*ttotal4)/(3*s_t))*(st_b[[#This Row],[s(tb)]]+(s_t/4))</f>
        <v>0.15944444444444444</v>
      </c>
      <c r="R140" s="3" cm="1">
        <f t="array" ref="R140">((2*ttotal5)/(3*s_t))*(st_b[[#This Row],[s(tb)]]+(s_t/4))</f>
        <v>0.12755555555555556</v>
      </c>
      <c r="S140" s="3" cm="1">
        <f t="array" ref="S140">((2*ttotal6)/(3*s_t))*(st_b[[#This Row],[s(tb)]]+(s_t/4))</f>
        <v>0.10629629629629629</v>
      </c>
      <c r="T140" s="3" cm="1">
        <f t="array" ref="T140">((2*ttotal7)/(3*s_t))*(st_b[[#This Row],[s(tb)]]+(s_t/4))</f>
        <v>9.1111111111111101E-2</v>
      </c>
      <c r="U140" s="3" cm="1">
        <f t="array" ref="U140">((2*ttotal8)/(3*s_t))*(st_b[[#This Row],[s(tb)]]+(s_t/4))</f>
        <v>7.9722222222222222E-2</v>
      </c>
      <c r="V140" s="3" cm="1">
        <f t="array" ref="V140">((2*ttotal9)/(3*s_t))*(st_b[[#This Row],[s(tb)]]+(s_t/4))</f>
        <v>7.086419753086419E-2</v>
      </c>
      <c r="W140" s="3" cm="1">
        <f t="array" ref="W140">((2*ttotal10)/(3*s_t))*(st_b[[#This Row],[s(tb)]]+(s_t/4))</f>
        <v>6.377777777777778E-2</v>
      </c>
    </row>
    <row r="141" spans="13:23" x14ac:dyDescent="0.25">
      <c r="M141" s="8">
        <v>2.1300000000000004E-3</v>
      </c>
      <c r="N141" s="3" cm="1">
        <f t="array" ref="N141">((2*ttotal1)/(3*s_t))*(st_b[[#This Row],[s(tb)]]+(s_t/4))</f>
        <v>0.64000000000000012</v>
      </c>
      <c r="O141" s="3" cm="1">
        <f t="array" ref="O141">((2*ttotal2)/(3*s_t))*(st_b[[#This Row],[s(tb)]]+(s_t/4))</f>
        <v>0.32000000000000006</v>
      </c>
      <c r="P141" s="3" cm="1">
        <f t="array" ref="P141">((2*ttotal3)/(3*s_t))*(st_b[[#This Row],[s(tb)]]+(s_t/4))</f>
        <v>0.21333333333333335</v>
      </c>
      <c r="Q141" s="3" cm="1">
        <f t="array" ref="Q141">((2*ttotal4)/(3*s_t))*(st_b[[#This Row],[s(tb)]]+(s_t/4))</f>
        <v>0.16000000000000003</v>
      </c>
      <c r="R141" s="3" cm="1">
        <f t="array" ref="R141">((2*ttotal5)/(3*s_t))*(st_b[[#This Row],[s(tb)]]+(s_t/4))</f>
        <v>0.12800000000000003</v>
      </c>
      <c r="S141" s="3" cm="1">
        <f t="array" ref="S141">((2*ttotal6)/(3*s_t))*(st_b[[#This Row],[s(tb)]]+(s_t/4))</f>
        <v>0.10666666666666667</v>
      </c>
      <c r="T141" s="3" cm="1">
        <f t="array" ref="T141">((2*ttotal7)/(3*s_t))*(st_b[[#This Row],[s(tb)]]+(s_t/4))</f>
        <v>9.1428571428571428E-2</v>
      </c>
      <c r="U141" s="3" cm="1">
        <f t="array" ref="U141">((2*ttotal8)/(3*s_t))*(st_b[[#This Row],[s(tb)]]+(s_t/4))</f>
        <v>8.0000000000000016E-2</v>
      </c>
      <c r="V141" s="3" cm="1">
        <f t="array" ref="V141">((2*ttotal9)/(3*s_t))*(st_b[[#This Row],[s(tb)]]+(s_t/4))</f>
        <v>7.1111111111111111E-2</v>
      </c>
      <c r="W141" s="3" cm="1">
        <f t="array" ref="W141">((2*ttotal10)/(3*s_t))*(st_b[[#This Row],[s(tb)]]+(s_t/4))</f>
        <v>6.4000000000000015E-2</v>
      </c>
    </row>
    <row r="142" spans="13:23" x14ac:dyDescent="0.25">
      <c r="M142" s="8">
        <v>2.14E-3</v>
      </c>
      <c r="N142" s="3" cm="1">
        <f t="array" ref="N142">((2*ttotal1)/(3*s_t))*(st_b[[#This Row],[s(tb)]]+(s_t/4))</f>
        <v>0.64222222222222225</v>
      </c>
      <c r="O142" s="3" cm="1">
        <f t="array" ref="O142">((2*ttotal2)/(3*s_t))*(st_b[[#This Row],[s(tb)]]+(s_t/4))</f>
        <v>0.32111111111111112</v>
      </c>
      <c r="P142" s="3" cm="1">
        <f t="array" ref="P142">((2*ttotal3)/(3*s_t))*(st_b[[#This Row],[s(tb)]]+(s_t/4))</f>
        <v>0.21407407407407406</v>
      </c>
      <c r="Q142" s="3" cm="1">
        <f t="array" ref="Q142">((2*ttotal4)/(3*s_t))*(st_b[[#This Row],[s(tb)]]+(s_t/4))</f>
        <v>0.16055555555555556</v>
      </c>
      <c r="R142" s="3" cm="1">
        <f t="array" ref="R142">((2*ttotal5)/(3*s_t))*(st_b[[#This Row],[s(tb)]]+(s_t/4))</f>
        <v>0.12844444444444444</v>
      </c>
      <c r="S142" s="3" cm="1">
        <f t="array" ref="S142">((2*ttotal6)/(3*s_t))*(st_b[[#This Row],[s(tb)]]+(s_t/4))</f>
        <v>0.10703703703703703</v>
      </c>
      <c r="T142" s="3" cm="1">
        <f t="array" ref="T142">((2*ttotal7)/(3*s_t))*(st_b[[#This Row],[s(tb)]]+(s_t/4))</f>
        <v>9.1746031746031728E-2</v>
      </c>
      <c r="U142" s="3" cm="1">
        <f t="array" ref="U142">((2*ttotal8)/(3*s_t))*(st_b[[#This Row],[s(tb)]]+(s_t/4))</f>
        <v>8.0277777777777781E-2</v>
      </c>
      <c r="V142" s="3" cm="1">
        <f t="array" ref="V142">((2*ttotal9)/(3*s_t))*(st_b[[#This Row],[s(tb)]]+(s_t/4))</f>
        <v>7.1358024691358019E-2</v>
      </c>
      <c r="W142" s="3" cm="1">
        <f t="array" ref="W142">((2*ttotal10)/(3*s_t))*(st_b[[#This Row],[s(tb)]]+(s_t/4))</f>
        <v>6.4222222222222222E-2</v>
      </c>
    </row>
    <row r="143" spans="13:23" x14ac:dyDescent="0.25">
      <c r="M143" s="8">
        <v>2.15E-3</v>
      </c>
      <c r="N143" s="3" cm="1">
        <f t="array" ref="N143">((2*ttotal1)/(3*s_t))*(st_b[[#This Row],[s(tb)]]+(s_t/4))</f>
        <v>0.64444444444444438</v>
      </c>
      <c r="O143" s="3" cm="1">
        <f t="array" ref="O143">((2*ttotal2)/(3*s_t))*(st_b[[#This Row],[s(tb)]]+(s_t/4))</f>
        <v>0.32222222222222219</v>
      </c>
      <c r="P143" s="3" cm="1">
        <f t="array" ref="P143">((2*ttotal3)/(3*s_t))*(st_b[[#This Row],[s(tb)]]+(s_t/4))</f>
        <v>0.21481481481481476</v>
      </c>
      <c r="Q143" s="3" cm="1">
        <f t="array" ref="Q143">((2*ttotal4)/(3*s_t))*(st_b[[#This Row],[s(tb)]]+(s_t/4))</f>
        <v>0.16111111111111109</v>
      </c>
      <c r="R143" s="3" cm="1">
        <f t="array" ref="R143">((2*ttotal5)/(3*s_t))*(st_b[[#This Row],[s(tb)]]+(s_t/4))</f>
        <v>0.12888888888888889</v>
      </c>
      <c r="S143" s="3" cm="1">
        <f t="array" ref="S143">((2*ttotal6)/(3*s_t))*(st_b[[#This Row],[s(tb)]]+(s_t/4))</f>
        <v>0.10740740740740738</v>
      </c>
      <c r="T143" s="3" cm="1">
        <f t="array" ref="T143">((2*ttotal7)/(3*s_t))*(st_b[[#This Row],[s(tb)]]+(s_t/4))</f>
        <v>9.2063492063492042E-2</v>
      </c>
      <c r="U143" s="3" cm="1">
        <f t="array" ref="U143">((2*ttotal8)/(3*s_t))*(st_b[[#This Row],[s(tb)]]+(s_t/4))</f>
        <v>8.0555555555555547E-2</v>
      </c>
      <c r="V143" s="3" cm="1">
        <f t="array" ref="V143">((2*ttotal9)/(3*s_t))*(st_b[[#This Row],[s(tb)]]+(s_t/4))</f>
        <v>7.1604938271604926E-2</v>
      </c>
      <c r="W143" s="3" cm="1">
        <f t="array" ref="W143">((2*ttotal10)/(3*s_t))*(st_b[[#This Row],[s(tb)]]+(s_t/4))</f>
        <v>6.4444444444444443E-2</v>
      </c>
    </row>
    <row r="144" spans="13:23" x14ac:dyDescent="0.25">
      <c r="M144" s="8">
        <v>2.16E-3</v>
      </c>
      <c r="N144" s="3" cm="1">
        <f t="array" ref="N144">((2*ttotal1)/(3*s_t))*(st_b[[#This Row],[s(tb)]]+(s_t/4))</f>
        <v>0.64666666666666661</v>
      </c>
      <c r="O144" s="3" cm="1">
        <f t="array" ref="O144">((2*ttotal2)/(3*s_t))*(st_b[[#This Row],[s(tb)]]+(s_t/4))</f>
        <v>0.32333333333333331</v>
      </c>
      <c r="P144" s="3" cm="1">
        <f t="array" ref="P144">((2*ttotal3)/(3*s_t))*(st_b[[#This Row],[s(tb)]]+(s_t/4))</f>
        <v>0.21555555555555553</v>
      </c>
      <c r="Q144" s="3" cm="1">
        <f t="array" ref="Q144">((2*ttotal4)/(3*s_t))*(st_b[[#This Row],[s(tb)]]+(s_t/4))</f>
        <v>0.16166666666666665</v>
      </c>
      <c r="R144" s="3" cm="1">
        <f t="array" ref="R144">((2*ttotal5)/(3*s_t))*(st_b[[#This Row],[s(tb)]]+(s_t/4))</f>
        <v>0.12933333333333333</v>
      </c>
      <c r="S144" s="3" cm="1">
        <f t="array" ref="S144">((2*ttotal6)/(3*s_t))*(st_b[[#This Row],[s(tb)]]+(s_t/4))</f>
        <v>0.10777777777777776</v>
      </c>
      <c r="T144" s="3" cm="1">
        <f t="array" ref="T144">((2*ttotal7)/(3*s_t))*(st_b[[#This Row],[s(tb)]]+(s_t/4))</f>
        <v>9.2380952380952369E-2</v>
      </c>
      <c r="U144" s="3" cm="1">
        <f t="array" ref="U144">((2*ttotal8)/(3*s_t))*(st_b[[#This Row],[s(tb)]]+(s_t/4))</f>
        <v>8.0833333333333326E-2</v>
      </c>
      <c r="V144" s="3" cm="1">
        <f t="array" ref="V144">((2*ttotal9)/(3*s_t))*(st_b[[#This Row],[s(tb)]]+(s_t/4))</f>
        <v>7.1851851851851847E-2</v>
      </c>
      <c r="W144" s="3" cm="1">
        <f t="array" ref="W144">((2*ttotal10)/(3*s_t))*(st_b[[#This Row],[s(tb)]]+(s_t/4))</f>
        <v>6.4666666666666664E-2</v>
      </c>
    </row>
    <row r="145" spans="13:23" x14ac:dyDescent="0.25">
      <c r="M145" s="8">
        <v>2.1700000000000001E-3</v>
      </c>
      <c r="N145" s="3" cm="1">
        <f t="array" ref="N145">((2*ttotal1)/(3*s_t))*(st_b[[#This Row],[s(tb)]]+(s_t/4))</f>
        <v>0.64888888888888874</v>
      </c>
      <c r="O145" s="3" cm="1">
        <f t="array" ref="O145">((2*ttotal2)/(3*s_t))*(st_b[[#This Row],[s(tb)]]+(s_t/4))</f>
        <v>0.32444444444444437</v>
      </c>
      <c r="P145" s="3" cm="1">
        <f t="array" ref="P145">((2*ttotal3)/(3*s_t))*(st_b[[#This Row],[s(tb)]]+(s_t/4))</f>
        <v>0.21629629629629624</v>
      </c>
      <c r="Q145" s="3" cm="1">
        <f t="array" ref="Q145">((2*ttotal4)/(3*s_t))*(st_b[[#This Row],[s(tb)]]+(s_t/4))</f>
        <v>0.16222222222222218</v>
      </c>
      <c r="R145" s="3" cm="1">
        <f t="array" ref="R145">((2*ttotal5)/(3*s_t))*(st_b[[#This Row],[s(tb)]]+(s_t/4))</f>
        <v>0.12977777777777777</v>
      </c>
      <c r="S145" s="3" cm="1">
        <f t="array" ref="S145">((2*ttotal6)/(3*s_t))*(st_b[[#This Row],[s(tb)]]+(s_t/4))</f>
        <v>0.10814814814814812</v>
      </c>
      <c r="T145" s="3" cm="1">
        <f t="array" ref="T145">((2*ttotal7)/(3*s_t))*(st_b[[#This Row],[s(tb)]]+(s_t/4))</f>
        <v>9.2698412698412669E-2</v>
      </c>
      <c r="U145" s="3" cm="1">
        <f t="array" ref="U145">((2*ttotal8)/(3*s_t))*(st_b[[#This Row],[s(tb)]]+(s_t/4))</f>
        <v>8.1111111111111092E-2</v>
      </c>
      <c r="V145" s="3" cm="1">
        <f t="array" ref="V145">((2*ttotal9)/(3*s_t))*(st_b[[#This Row],[s(tb)]]+(s_t/4))</f>
        <v>7.2098765432098755E-2</v>
      </c>
      <c r="W145" s="3" cm="1">
        <f t="array" ref="W145">((2*ttotal10)/(3*s_t))*(st_b[[#This Row],[s(tb)]]+(s_t/4))</f>
        <v>6.4888888888888885E-2</v>
      </c>
    </row>
    <row r="146" spans="13:23" x14ac:dyDescent="0.25">
      <c r="M146" s="8">
        <v>2.1800000000000001E-3</v>
      </c>
      <c r="N146" s="3" cm="1">
        <f t="array" ref="N146">((2*ttotal1)/(3*s_t))*(st_b[[#This Row],[s(tb)]]+(s_t/4))</f>
        <v>0.65111111111111108</v>
      </c>
      <c r="O146" s="3" cm="1">
        <f t="array" ref="O146">((2*ttotal2)/(3*s_t))*(st_b[[#This Row],[s(tb)]]+(s_t/4))</f>
        <v>0.32555555555555554</v>
      </c>
      <c r="P146" s="3" cm="1">
        <f t="array" ref="P146">((2*ttotal3)/(3*s_t))*(st_b[[#This Row],[s(tb)]]+(s_t/4))</f>
        <v>0.21703703703703703</v>
      </c>
      <c r="Q146" s="3" cm="1">
        <f t="array" ref="Q146">((2*ttotal4)/(3*s_t))*(st_b[[#This Row],[s(tb)]]+(s_t/4))</f>
        <v>0.16277777777777777</v>
      </c>
      <c r="R146" s="3" cm="1">
        <f t="array" ref="R146">((2*ttotal5)/(3*s_t))*(st_b[[#This Row],[s(tb)]]+(s_t/4))</f>
        <v>0.13022222222222224</v>
      </c>
      <c r="S146" s="3" cm="1">
        <f t="array" ref="S146">((2*ttotal6)/(3*s_t))*(st_b[[#This Row],[s(tb)]]+(s_t/4))</f>
        <v>0.10851851851851851</v>
      </c>
      <c r="T146" s="3" cm="1">
        <f t="array" ref="T146">((2*ttotal7)/(3*s_t))*(st_b[[#This Row],[s(tb)]]+(s_t/4))</f>
        <v>9.301587301587301E-2</v>
      </c>
      <c r="U146" s="3" cm="1">
        <f t="array" ref="U146">((2*ttotal8)/(3*s_t))*(st_b[[#This Row],[s(tb)]]+(s_t/4))</f>
        <v>8.1388888888888886E-2</v>
      </c>
      <c r="V146" s="3" cm="1">
        <f t="array" ref="V146">((2*ttotal9)/(3*s_t))*(st_b[[#This Row],[s(tb)]]+(s_t/4))</f>
        <v>7.2345679012345676E-2</v>
      </c>
      <c r="W146" s="3" cm="1">
        <f t="array" ref="W146">((2*ttotal10)/(3*s_t))*(st_b[[#This Row],[s(tb)]]+(s_t/4))</f>
        <v>6.511111111111112E-2</v>
      </c>
    </row>
    <row r="147" spans="13:23" x14ac:dyDescent="0.25">
      <c r="M147" s="8">
        <v>2.1900000000000001E-3</v>
      </c>
      <c r="N147" s="3" cm="1">
        <f t="array" ref="N147">((2*ttotal1)/(3*s_t))*(st_b[[#This Row],[s(tb)]]+(s_t/4))</f>
        <v>0.65333333333333321</v>
      </c>
      <c r="O147" s="3" cm="1">
        <f t="array" ref="O147">((2*ttotal2)/(3*s_t))*(st_b[[#This Row],[s(tb)]]+(s_t/4))</f>
        <v>0.32666666666666661</v>
      </c>
      <c r="P147" s="3" cm="1">
        <f t="array" ref="P147">((2*ttotal3)/(3*s_t))*(st_b[[#This Row],[s(tb)]]+(s_t/4))</f>
        <v>0.21777777777777774</v>
      </c>
      <c r="Q147" s="3" cm="1">
        <f t="array" ref="Q147">((2*ttotal4)/(3*s_t))*(st_b[[#This Row],[s(tb)]]+(s_t/4))</f>
        <v>0.1633333333333333</v>
      </c>
      <c r="R147" s="3" cm="1">
        <f t="array" ref="R147">((2*ttotal5)/(3*s_t))*(st_b[[#This Row],[s(tb)]]+(s_t/4))</f>
        <v>0.13066666666666665</v>
      </c>
      <c r="S147" s="3" cm="1">
        <f t="array" ref="S147">((2*ttotal6)/(3*s_t))*(st_b[[#This Row],[s(tb)]]+(s_t/4))</f>
        <v>0.10888888888888887</v>
      </c>
      <c r="T147" s="3" cm="1">
        <f t="array" ref="T147">((2*ttotal7)/(3*s_t))*(st_b[[#This Row],[s(tb)]]+(s_t/4))</f>
        <v>9.333333333333331E-2</v>
      </c>
      <c r="U147" s="3" cm="1">
        <f t="array" ref="U147">((2*ttotal8)/(3*s_t))*(st_b[[#This Row],[s(tb)]]+(s_t/4))</f>
        <v>8.1666666666666651E-2</v>
      </c>
      <c r="V147" s="3" cm="1">
        <f t="array" ref="V147">((2*ttotal9)/(3*s_t))*(st_b[[#This Row],[s(tb)]]+(s_t/4))</f>
        <v>7.2592592592592584E-2</v>
      </c>
      <c r="W147" s="3" cm="1">
        <f t="array" ref="W147">((2*ttotal10)/(3*s_t))*(st_b[[#This Row],[s(tb)]]+(s_t/4))</f>
        <v>6.5333333333333327E-2</v>
      </c>
    </row>
    <row r="148" spans="13:23" x14ac:dyDescent="0.25">
      <c r="M148" s="8">
        <v>2.2000000000000001E-3</v>
      </c>
      <c r="N148" s="3" cm="1">
        <f t="array" ref="N148">((2*ttotal1)/(3*s_t))*(st_b[[#This Row],[s(tb)]]+(s_t/4))</f>
        <v>0.65555555555555556</v>
      </c>
      <c r="O148" s="3" cm="1">
        <f t="array" ref="O148">((2*ttotal2)/(3*s_t))*(st_b[[#This Row],[s(tb)]]+(s_t/4))</f>
        <v>0.32777777777777778</v>
      </c>
      <c r="P148" s="3" cm="1">
        <f t="array" ref="P148">((2*ttotal3)/(3*s_t))*(st_b[[#This Row],[s(tb)]]+(s_t/4))</f>
        <v>0.2185185185185185</v>
      </c>
      <c r="Q148" s="3" cm="1">
        <f t="array" ref="Q148">((2*ttotal4)/(3*s_t))*(st_b[[#This Row],[s(tb)]]+(s_t/4))</f>
        <v>0.16388888888888889</v>
      </c>
      <c r="R148" s="3" cm="1">
        <f t="array" ref="R148">((2*ttotal5)/(3*s_t))*(st_b[[#This Row],[s(tb)]]+(s_t/4))</f>
        <v>0.13111111111111112</v>
      </c>
      <c r="S148" s="3" cm="1">
        <f t="array" ref="S148">((2*ttotal6)/(3*s_t))*(st_b[[#This Row],[s(tb)]]+(s_t/4))</f>
        <v>0.10925925925925925</v>
      </c>
      <c r="T148" s="3" cm="1">
        <f t="array" ref="T148">((2*ttotal7)/(3*s_t))*(st_b[[#This Row],[s(tb)]]+(s_t/4))</f>
        <v>9.3650793650793637E-2</v>
      </c>
      <c r="U148" s="3" cm="1">
        <f t="array" ref="U148">((2*ttotal8)/(3*s_t))*(st_b[[#This Row],[s(tb)]]+(s_t/4))</f>
        <v>8.1944444444444445E-2</v>
      </c>
      <c r="V148" s="3" cm="1">
        <f t="array" ref="V148">((2*ttotal9)/(3*s_t))*(st_b[[#This Row],[s(tb)]]+(s_t/4))</f>
        <v>7.2839506172839505E-2</v>
      </c>
      <c r="W148" s="3" cm="1">
        <f t="array" ref="W148">((2*ttotal10)/(3*s_t))*(st_b[[#This Row],[s(tb)]]+(s_t/4))</f>
        <v>6.5555555555555561E-2</v>
      </c>
    </row>
    <row r="149" spans="13:23" x14ac:dyDescent="0.25">
      <c r="M149" s="8">
        <v>2.2100000000000002E-3</v>
      </c>
      <c r="N149" s="3" cm="1">
        <f t="array" ref="N149">((2*ttotal1)/(3*s_t))*(st_b[[#This Row],[s(tb)]]+(s_t/4))</f>
        <v>0.65777777777777768</v>
      </c>
      <c r="O149" s="3" cm="1">
        <f t="array" ref="O149">((2*ttotal2)/(3*s_t))*(st_b[[#This Row],[s(tb)]]+(s_t/4))</f>
        <v>0.32888888888888884</v>
      </c>
      <c r="P149" s="3" cm="1">
        <f t="array" ref="P149">((2*ttotal3)/(3*s_t))*(st_b[[#This Row],[s(tb)]]+(s_t/4))</f>
        <v>0.21925925925925921</v>
      </c>
      <c r="Q149" s="3" cm="1">
        <f t="array" ref="Q149">((2*ttotal4)/(3*s_t))*(st_b[[#This Row],[s(tb)]]+(s_t/4))</f>
        <v>0.16444444444444442</v>
      </c>
      <c r="R149" s="3" cm="1">
        <f t="array" ref="R149">((2*ttotal5)/(3*s_t))*(st_b[[#This Row],[s(tb)]]+(s_t/4))</f>
        <v>0.13155555555555554</v>
      </c>
      <c r="S149" s="3" cm="1">
        <f t="array" ref="S149">((2*ttotal6)/(3*s_t))*(st_b[[#This Row],[s(tb)]]+(s_t/4))</f>
        <v>0.1096296296296296</v>
      </c>
      <c r="T149" s="3" cm="1">
        <f t="array" ref="T149">((2*ttotal7)/(3*s_t))*(st_b[[#This Row],[s(tb)]]+(s_t/4))</f>
        <v>9.3968253968253951E-2</v>
      </c>
      <c r="U149" s="3" cm="1">
        <f t="array" ref="U149">((2*ttotal8)/(3*s_t))*(st_b[[#This Row],[s(tb)]]+(s_t/4))</f>
        <v>8.222222222222221E-2</v>
      </c>
      <c r="V149" s="3" cm="1">
        <f t="array" ref="V149">((2*ttotal9)/(3*s_t))*(st_b[[#This Row],[s(tb)]]+(s_t/4))</f>
        <v>7.3086419753086412E-2</v>
      </c>
      <c r="W149" s="3" cm="1">
        <f t="array" ref="W149">((2*ttotal10)/(3*s_t))*(st_b[[#This Row],[s(tb)]]+(s_t/4))</f>
        <v>6.5777777777777768E-2</v>
      </c>
    </row>
    <row r="150" spans="13:23" x14ac:dyDescent="0.25">
      <c r="M150" s="8">
        <v>2.2200000000000002E-3</v>
      </c>
      <c r="N150" s="3" cm="1">
        <f t="array" ref="N150">((2*ttotal1)/(3*s_t))*(st_b[[#This Row],[s(tb)]]+(s_t/4))</f>
        <v>0.66</v>
      </c>
      <c r="O150" s="3" cm="1">
        <f t="array" ref="O150">((2*ttotal2)/(3*s_t))*(st_b[[#This Row],[s(tb)]]+(s_t/4))</f>
        <v>0.33</v>
      </c>
      <c r="P150" s="3" cm="1">
        <f t="array" ref="P150">((2*ttotal3)/(3*s_t))*(st_b[[#This Row],[s(tb)]]+(s_t/4))</f>
        <v>0.22</v>
      </c>
      <c r="Q150" s="3" cm="1">
        <f t="array" ref="Q150">((2*ttotal4)/(3*s_t))*(st_b[[#This Row],[s(tb)]]+(s_t/4))</f>
        <v>0.16500000000000001</v>
      </c>
      <c r="R150" s="3" cm="1">
        <f t="array" ref="R150">((2*ttotal5)/(3*s_t))*(st_b[[#This Row],[s(tb)]]+(s_t/4))</f>
        <v>0.13200000000000001</v>
      </c>
      <c r="S150" s="3" cm="1">
        <f t="array" ref="S150">((2*ttotal6)/(3*s_t))*(st_b[[#This Row],[s(tb)]]+(s_t/4))</f>
        <v>0.11</v>
      </c>
      <c r="T150" s="3" cm="1">
        <f t="array" ref="T150">((2*ttotal7)/(3*s_t))*(st_b[[#This Row],[s(tb)]]+(s_t/4))</f>
        <v>9.4285714285714278E-2</v>
      </c>
      <c r="U150" s="3" cm="1">
        <f t="array" ref="U150">((2*ttotal8)/(3*s_t))*(st_b[[#This Row],[s(tb)]]+(s_t/4))</f>
        <v>8.2500000000000004E-2</v>
      </c>
      <c r="V150" s="3" cm="1">
        <f t="array" ref="V150">((2*ttotal9)/(3*s_t))*(st_b[[#This Row],[s(tb)]]+(s_t/4))</f>
        <v>7.3333333333333334E-2</v>
      </c>
      <c r="W150" s="3" cm="1">
        <f t="array" ref="W150">((2*ttotal10)/(3*s_t))*(st_b[[#This Row],[s(tb)]]+(s_t/4))</f>
        <v>6.6000000000000003E-2</v>
      </c>
    </row>
    <row r="151" spans="13:23" x14ac:dyDescent="0.25">
      <c r="M151" s="8">
        <v>2.2300000000000002E-3</v>
      </c>
      <c r="N151" s="3" cm="1">
        <f t="array" ref="N151">((2*ttotal1)/(3*s_t))*(st_b[[#This Row],[s(tb)]]+(s_t/4))</f>
        <v>0.66222222222222216</v>
      </c>
      <c r="O151" s="3" cm="1">
        <f t="array" ref="O151">((2*ttotal2)/(3*s_t))*(st_b[[#This Row],[s(tb)]]+(s_t/4))</f>
        <v>0.33111111111111108</v>
      </c>
      <c r="P151" s="3" cm="1">
        <f t="array" ref="P151">((2*ttotal3)/(3*s_t))*(st_b[[#This Row],[s(tb)]]+(s_t/4))</f>
        <v>0.22074074074074071</v>
      </c>
      <c r="Q151" s="3" cm="1">
        <f t="array" ref="Q151">((2*ttotal4)/(3*s_t))*(st_b[[#This Row],[s(tb)]]+(s_t/4))</f>
        <v>0.16555555555555554</v>
      </c>
      <c r="R151" s="3" cm="1">
        <f t="array" ref="R151">((2*ttotal5)/(3*s_t))*(st_b[[#This Row],[s(tb)]]+(s_t/4))</f>
        <v>0.13244444444444445</v>
      </c>
      <c r="S151" s="3" cm="1">
        <f t="array" ref="S151">((2*ttotal6)/(3*s_t))*(st_b[[#This Row],[s(tb)]]+(s_t/4))</f>
        <v>0.11037037037037035</v>
      </c>
      <c r="T151" s="3" cm="1">
        <f t="array" ref="T151">((2*ttotal7)/(3*s_t))*(st_b[[#This Row],[s(tb)]]+(s_t/4))</f>
        <v>9.4603174603174592E-2</v>
      </c>
      <c r="U151" s="3" cm="1">
        <f t="array" ref="U151">((2*ttotal8)/(3*s_t))*(st_b[[#This Row],[s(tb)]]+(s_t/4))</f>
        <v>8.277777777777777E-2</v>
      </c>
      <c r="V151" s="3" cm="1">
        <f t="array" ref="V151">((2*ttotal9)/(3*s_t))*(st_b[[#This Row],[s(tb)]]+(s_t/4))</f>
        <v>7.3580246913580241E-2</v>
      </c>
      <c r="W151" s="3" cm="1">
        <f t="array" ref="W151">((2*ttotal10)/(3*s_t))*(st_b[[#This Row],[s(tb)]]+(s_t/4))</f>
        <v>6.6222222222222224E-2</v>
      </c>
    </row>
    <row r="152" spans="13:23" x14ac:dyDescent="0.25">
      <c r="M152" s="8">
        <v>2.2400000000000002E-3</v>
      </c>
      <c r="N152" s="3" cm="1">
        <f t="array" ref="N152">((2*ttotal1)/(3*s_t))*(st_b[[#This Row],[s(tb)]]+(s_t/4))</f>
        <v>0.6644444444444445</v>
      </c>
      <c r="O152" s="3" cm="1">
        <f t="array" ref="O152">((2*ttotal2)/(3*s_t))*(st_b[[#This Row],[s(tb)]]+(s_t/4))</f>
        <v>0.33222222222222225</v>
      </c>
      <c r="P152" s="3" cm="1">
        <f t="array" ref="P152">((2*ttotal3)/(3*s_t))*(st_b[[#This Row],[s(tb)]]+(s_t/4))</f>
        <v>0.22148148148148147</v>
      </c>
      <c r="Q152" s="3" cm="1">
        <f t="array" ref="Q152">((2*ttotal4)/(3*s_t))*(st_b[[#This Row],[s(tb)]]+(s_t/4))</f>
        <v>0.16611111111111113</v>
      </c>
      <c r="R152" s="3" cm="1">
        <f t="array" ref="R152">((2*ttotal5)/(3*s_t))*(st_b[[#This Row],[s(tb)]]+(s_t/4))</f>
        <v>0.13288888888888892</v>
      </c>
      <c r="S152" s="3" cm="1">
        <f t="array" ref="S152">((2*ttotal6)/(3*s_t))*(st_b[[#This Row],[s(tb)]]+(s_t/4))</f>
        <v>0.11074074074074074</v>
      </c>
      <c r="T152" s="3" cm="1">
        <f t="array" ref="T152">((2*ttotal7)/(3*s_t))*(st_b[[#This Row],[s(tb)]]+(s_t/4))</f>
        <v>9.4920634920634919E-2</v>
      </c>
      <c r="U152" s="3" cm="1">
        <f t="array" ref="U152">((2*ttotal8)/(3*s_t))*(st_b[[#This Row],[s(tb)]]+(s_t/4))</f>
        <v>8.3055555555555563E-2</v>
      </c>
      <c r="V152" s="3" cm="1">
        <f t="array" ref="V152">((2*ttotal9)/(3*s_t))*(st_b[[#This Row],[s(tb)]]+(s_t/4))</f>
        <v>7.3827160493827163E-2</v>
      </c>
      <c r="W152" s="3" cm="1">
        <f t="array" ref="W152">((2*ttotal10)/(3*s_t))*(st_b[[#This Row],[s(tb)]]+(s_t/4))</f>
        <v>6.6444444444444459E-2</v>
      </c>
    </row>
    <row r="153" spans="13:23" x14ac:dyDescent="0.25">
      <c r="M153" s="8">
        <v>2.2500000000000003E-3</v>
      </c>
      <c r="N153" s="3" cm="1">
        <f t="array" ref="N153">((2*ttotal1)/(3*s_t))*(st_b[[#This Row],[s(tb)]]+(s_t/4))</f>
        <v>0.66666666666666663</v>
      </c>
      <c r="O153" s="3" cm="1">
        <f t="array" ref="O153">((2*ttotal2)/(3*s_t))*(st_b[[#This Row],[s(tb)]]+(s_t/4))</f>
        <v>0.33333333333333331</v>
      </c>
      <c r="P153" s="3" cm="1">
        <f t="array" ref="P153">((2*ttotal3)/(3*s_t))*(st_b[[#This Row],[s(tb)]]+(s_t/4))</f>
        <v>0.22222222222222218</v>
      </c>
      <c r="Q153" s="3" cm="1">
        <f t="array" ref="Q153">((2*ttotal4)/(3*s_t))*(st_b[[#This Row],[s(tb)]]+(s_t/4))</f>
        <v>0.16666666666666666</v>
      </c>
      <c r="R153" s="3" cm="1">
        <f t="array" ref="R153">((2*ttotal5)/(3*s_t))*(st_b[[#This Row],[s(tb)]]+(s_t/4))</f>
        <v>0.13333333333333333</v>
      </c>
      <c r="S153" s="3" cm="1">
        <f t="array" ref="S153">((2*ttotal6)/(3*s_t))*(st_b[[#This Row],[s(tb)]]+(s_t/4))</f>
        <v>0.11111111111111109</v>
      </c>
      <c r="T153" s="3" cm="1">
        <f t="array" ref="T153">((2*ttotal7)/(3*s_t))*(st_b[[#This Row],[s(tb)]]+(s_t/4))</f>
        <v>9.5238095238095219E-2</v>
      </c>
      <c r="U153" s="3" cm="1">
        <f t="array" ref="U153">((2*ttotal8)/(3*s_t))*(st_b[[#This Row],[s(tb)]]+(s_t/4))</f>
        <v>8.3333333333333329E-2</v>
      </c>
      <c r="V153" s="3" cm="1">
        <f t="array" ref="V153">((2*ttotal9)/(3*s_t))*(st_b[[#This Row],[s(tb)]]+(s_t/4))</f>
        <v>7.407407407407407E-2</v>
      </c>
      <c r="W153" s="3" cm="1">
        <f t="array" ref="W153">((2*ttotal10)/(3*s_t))*(st_b[[#This Row],[s(tb)]]+(s_t/4))</f>
        <v>6.6666666666666666E-2</v>
      </c>
    </row>
  </sheetData>
  <phoneticPr fontId="7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10408-8B2E-408D-B054-5B863A90879C}">
  <sheetPr codeName="Sheet6"/>
  <dimension ref="A2:P153"/>
  <sheetViews>
    <sheetView workbookViewId="0">
      <selection activeCell="R17" sqref="R17"/>
    </sheetView>
  </sheetViews>
  <sheetFormatPr defaultRowHeight="15" x14ac:dyDescent="0.25"/>
  <cols>
    <col min="1" max="1" width="8.42578125" style="2" customWidth="1"/>
    <col min="2" max="2" width="11.5703125" style="3" bestFit="1" customWidth="1"/>
    <col min="3" max="3" width="12.85546875" customWidth="1"/>
    <col min="4" max="4" width="9.5703125" style="14" bestFit="1" customWidth="1"/>
    <col min="5" max="5" width="9.5703125" style="14" customWidth="1"/>
    <col min="7" max="7" width="10.28515625" style="8" customWidth="1"/>
    <col min="8" max="8" width="11.5703125" style="3" bestFit="1" customWidth="1"/>
    <col min="9" max="9" width="11.28515625" bestFit="1" customWidth="1"/>
    <col min="10" max="10" width="11.28515625" style="14" bestFit="1" customWidth="1"/>
    <col min="11" max="11" width="11.28515625" style="14" customWidth="1"/>
    <col min="13" max="13" width="10.28515625" style="8" customWidth="1"/>
    <col min="14" max="14" width="11.28515625" style="16" bestFit="1" customWidth="1"/>
    <col min="15" max="15" width="11.28515625" bestFit="1" customWidth="1"/>
    <col min="16" max="16" width="11.7109375" style="14" customWidth="1"/>
  </cols>
  <sheetData>
    <row r="2" spans="1:16" s="15" customFormat="1" x14ac:dyDescent="0.25">
      <c r="A2" s="15" t="s">
        <v>34</v>
      </c>
      <c r="B2" s="15" t="s">
        <v>26</v>
      </c>
      <c r="C2" s="15" t="s">
        <v>55</v>
      </c>
      <c r="D2" s="15" t="s">
        <v>56</v>
      </c>
      <c r="G2" s="15" t="s">
        <v>35</v>
      </c>
      <c r="H2" s="15" t="s">
        <v>26</v>
      </c>
      <c r="I2" s="15" t="s">
        <v>55</v>
      </c>
      <c r="J2" s="17" t="s">
        <v>56</v>
      </c>
      <c r="K2" s="17"/>
      <c r="M2" s="15" t="s">
        <v>36</v>
      </c>
      <c r="N2" s="15" t="s">
        <v>26</v>
      </c>
      <c r="O2" s="15" t="s">
        <v>55</v>
      </c>
      <c r="P2" s="17" t="s">
        <v>56</v>
      </c>
    </row>
    <row r="3" spans="1:16" x14ac:dyDescent="0.25">
      <c r="A3" s="2">
        <v>0</v>
      </c>
      <c r="B3" s="3">
        <v>0</v>
      </c>
      <c r="C3" s="3">
        <v>0</v>
      </c>
      <c r="D3" s="14">
        <f>C3/0.00005</f>
        <v>0</v>
      </c>
      <c r="G3" s="8">
        <v>7.5000000000000002E-4</v>
      </c>
      <c r="H3" s="3" cm="1">
        <f t="array" ref="H3">((2*ttotal3)/(3*s_t))*(st_b[[#This Row],[s(tb)]]+(s_t/4))</f>
        <v>0.11111111111111109</v>
      </c>
      <c r="I3" s="3">
        <f>C78</f>
        <v>7.4322647591598678E-4</v>
      </c>
      <c r="J3" s="14">
        <f>I3/0.00005</f>
        <v>14.864529518319735</v>
      </c>
      <c r="M3" s="8">
        <v>2.2500000000000003E-3</v>
      </c>
      <c r="N3" s="16">
        <f>(-INDEX(Overview[b],3)+SQRT(POWER(INDEX(Overview[b],3),2)-(4*INDEX(Overview[a],3)*st_c[[#This Row],[c]])))/(2*INDEX(Overview[a],3))</f>
        <v>0.22222222222222213</v>
      </c>
      <c r="O3" s="3">
        <f>I153</f>
        <v>7.407407407407085E-4</v>
      </c>
      <c r="P3" s="14">
        <f>O3/0.00005</f>
        <v>14.81481481481417</v>
      </c>
    </row>
    <row r="4" spans="1:16" x14ac:dyDescent="0.25">
      <c r="A4" s="2">
        <v>1.0000000000000001E-5</v>
      </c>
      <c r="B4" s="3" cm="1">
        <f t="array" ref="B4">SQRT((4*POWER(ttotal3,2)*st_a[[#This Row],[s(ta)]])/(9*s_t))</f>
        <v>1.2830005981991683E-2</v>
      </c>
      <c r="C4" s="3">
        <f>B4-B3</f>
        <v>1.2830005981991683E-2</v>
      </c>
      <c r="D4" s="14">
        <f t="shared" ref="D4:D67" si="0">C4/0.00005</f>
        <v>256.60011963983362</v>
      </c>
      <c r="G4" s="8">
        <v>7.6000000000000004E-4</v>
      </c>
      <c r="H4" s="3" cm="1">
        <f t="array" ref="H4">((2*ttotal3)/(3*s_t))*(st_b[[#This Row],[s(tb)]]+(s_t/4))</f>
        <v>0.11185185185185184</v>
      </c>
      <c r="I4" s="3">
        <f>H4-H3</f>
        <v>7.4074074074075014E-4</v>
      </c>
      <c r="J4" s="14">
        <f t="shared" ref="J4:J67" si="1">I4/0.00005</f>
        <v>14.814814814815001</v>
      </c>
      <c r="M4" s="8">
        <v>2.2600000000000003E-3</v>
      </c>
      <c r="N4" s="16">
        <f>(-INDEX(Overview[b],3)+SQRT(POWER(INDEX(Overview[b],3),2)-(4*INDEX(Overview[a],3)*st_c[[#This Row],[c]])))/(2*INDEX(Overview[a],3))</f>
        <v>0.22296544869813806</v>
      </c>
      <c r="O4" s="3">
        <f>N4-N3</f>
        <v>7.4322647591593127E-4</v>
      </c>
      <c r="P4" s="14">
        <f t="shared" ref="P4:P67" si="2">O4/0.00005</f>
        <v>14.864529518318625</v>
      </c>
    </row>
    <row r="5" spans="1:16" x14ac:dyDescent="0.25">
      <c r="A5" s="2">
        <v>2.0000000000000002E-5</v>
      </c>
      <c r="B5" s="3" cm="1">
        <f t="array" ref="B5">SQRT((4*POWER(ttotal3,2)*st_a[[#This Row],[s(ta)]])/(9*s_t))</f>
        <v>1.8144368465060578E-2</v>
      </c>
      <c r="C5" s="3">
        <f t="shared" ref="C5:C68" si="3">B5-B4</f>
        <v>5.3143624830688952E-3</v>
      </c>
      <c r="D5" s="14">
        <f t="shared" si="0"/>
        <v>106.2872496613779</v>
      </c>
      <c r="G5" s="8">
        <v>7.7000000000000007E-4</v>
      </c>
      <c r="H5" s="3" cm="1">
        <f t="array" ref="H5">((2*ttotal3)/(3*s_t))*(st_b[[#This Row],[s(tb)]]+(s_t/4))</f>
        <v>0.11259259259259258</v>
      </c>
      <c r="I5" s="3">
        <f t="shared" ref="I5:I68" si="4">H5-H4</f>
        <v>7.4074074074073626E-4</v>
      </c>
      <c r="J5" s="14">
        <f t="shared" si="1"/>
        <v>14.814814814814724</v>
      </c>
      <c r="M5" s="8">
        <v>2.2700000000000003E-3</v>
      </c>
      <c r="N5" s="16">
        <f>(-INDEX(Overview[b],3)+SQRT(POWER(INDEX(Overview[b],3),2)-(4*INDEX(Overview[a],3)*st_c[[#This Row],[c]])))/(2*INDEX(Overview[a],3))</f>
        <v>0.22371371417074995</v>
      </c>
      <c r="O5" s="3">
        <f t="shared" ref="O5:O68" si="5">N5-N4</f>
        <v>7.4826547261189202E-4</v>
      </c>
      <c r="P5" s="14">
        <f t="shared" si="2"/>
        <v>14.96530945223784</v>
      </c>
    </row>
    <row r="6" spans="1:16" x14ac:dyDescent="0.25">
      <c r="A6" s="2">
        <v>3.0000000000000004E-5</v>
      </c>
      <c r="B6" s="3" cm="1">
        <f t="array" ref="B6">SQRT((4*POWER(ttotal3,2)*st_a[[#This Row],[s(ta)]])/(9*s_t))</f>
        <v>2.2222222222222227E-2</v>
      </c>
      <c r="C6" s="3">
        <f t="shared" si="3"/>
        <v>4.0778537571616487E-3</v>
      </c>
      <c r="D6" s="14">
        <f t="shared" si="0"/>
        <v>81.557075143232964</v>
      </c>
      <c r="G6" s="8">
        <v>7.8000000000000009E-4</v>
      </c>
      <c r="H6" s="3" cm="1">
        <f t="array" ref="H6">((2*ttotal3)/(3*s_t))*(st_b[[#This Row],[s(tb)]]+(s_t/4))</f>
        <v>0.11333333333333333</v>
      </c>
      <c r="I6" s="3">
        <f t="shared" si="4"/>
        <v>7.4074074074075014E-4</v>
      </c>
      <c r="J6" s="14">
        <f t="shared" si="1"/>
        <v>14.814814814815001</v>
      </c>
      <c r="M6" s="8">
        <v>2.2800000000000003E-3</v>
      </c>
      <c r="N6" s="16">
        <f>(-INDEX(Overview[b],3)+SQRT(POWER(INDEX(Overview[b],3),2)-(4*INDEX(Overview[a],3)*st_c[[#This Row],[c]])))/(2*INDEX(Overview[a],3))</f>
        <v>0.22446712254296983</v>
      </c>
      <c r="O6" s="3">
        <f t="shared" si="5"/>
        <v>7.53408372219877E-4</v>
      </c>
      <c r="P6" s="14">
        <f t="shared" si="2"/>
        <v>15.06816744439754</v>
      </c>
    </row>
    <row r="7" spans="1:16" x14ac:dyDescent="0.25">
      <c r="A7" s="2">
        <v>4.0000000000000003E-5</v>
      </c>
      <c r="B7" s="3" cm="1">
        <f t="array" ref="B7">SQRT((4*POWER(ttotal3,2)*st_a[[#This Row],[s(ta)]])/(9*s_t))</f>
        <v>2.5660011963983365E-2</v>
      </c>
      <c r="C7" s="3">
        <f t="shared" si="3"/>
        <v>3.4377897417611387E-3</v>
      </c>
      <c r="D7" s="14">
        <f t="shared" si="0"/>
        <v>68.755794835222773</v>
      </c>
      <c r="G7" s="8">
        <v>7.9000000000000001E-4</v>
      </c>
      <c r="H7" s="3" cm="1">
        <f t="array" ref="H7">((2*ttotal3)/(3*s_t))*(st_b[[#This Row],[s(tb)]]+(s_t/4))</f>
        <v>0.11407407407407406</v>
      </c>
      <c r="I7" s="3">
        <f t="shared" si="4"/>
        <v>7.4074074074073626E-4</v>
      </c>
      <c r="J7" s="14">
        <f t="shared" si="1"/>
        <v>14.814814814814724</v>
      </c>
      <c r="M7" s="8">
        <v>2.2900000000000004E-3</v>
      </c>
      <c r="N7" s="16">
        <f>(-INDEX(Overview[b],3)+SQRT(POWER(INDEX(Overview[b],3),2)-(4*INDEX(Overview[a],3)*st_c[[#This Row],[c]])))/(2*INDEX(Overview[a],3))</f>
        <v>0.22522578133832269</v>
      </c>
      <c r="O7" s="3">
        <f t="shared" si="5"/>
        <v>7.5865879535286229E-4</v>
      </c>
      <c r="P7" s="14">
        <f t="shared" si="2"/>
        <v>15.173175907057246</v>
      </c>
    </row>
    <row r="8" spans="1:16" x14ac:dyDescent="0.25">
      <c r="A8" s="2">
        <v>5.0000000000000002E-5</v>
      </c>
      <c r="B8" s="3" cm="1">
        <f t="array" ref="B8">SQRT((4*POWER(ttotal3,2)*st_a[[#This Row],[s(ta)]])/(9*s_t))</f>
        <v>2.868876552746235E-2</v>
      </c>
      <c r="C8" s="3">
        <f t="shared" si="3"/>
        <v>3.0287535634789843E-3</v>
      </c>
      <c r="D8" s="14">
        <f t="shared" si="0"/>
        <v>60.575071269579681</v>
      </c>
      <c r="G8" s="8">
        <v>8.0000000000000004E-4</v>
      </c>
      <c r="H8" s="3" cm="1">
        <f t="array" ref="H8">((2*ttotal3)/(3*s_t))*(st_b[[#This Row],[s(tb)]]+(s_t/4))</f>
        <v>0.11481481481481481</v>
      </c>
      <c r="I8" s="3">
        <f t="shared" si="4"/>
        <v>7.4074074074075014E-4</v>
      </c>
      <c r="J8" s="14">
        <f t="shared" si="1"/>
        <v>14.814814814815001</v>
      </c>
      <c r="M8" s="8">
        <v>2.3000000000000004E-3</v>
      </c>
      <c r="N8" s="16">
        <f>(-INDEX(Overview[b],3)+SQRT(POWER(INDEX(Overview[b],3),2)-(4*INDEX(Overview[a],3)*st_c[[#This Row],[c]])))/(2*INDEX(Overview[a],3))</f>
        <v>0.22598980188007811</v>
      </c>
      <c r="O8" s="3">
        <f t="shared" si="5"/>
        <v>7.6402054175542244E-4</v>
      </c>
      <c r="P8" s="14">
        <f t="shared" si="2"/>
        <v>15.280410835108448</v>
      </c>
    </row>
    <row r="9" spans="1:16" x14ac:dyDescent="0.25">
      <c r="A9" s="2">
        <v>6.0000000000000008E-5</v>
      </c>
      <c r="B9" s="3" cm="1">
        <f t="array" ref="B9">SQRT((4*POWER(ttotal3,2)*st_a[[#This Row],[s(ta)]])/(9*s_t))</f>
        <v>3.1426968052735448E-2</v>
      </c>
      <c r="C9" s="3">
        <f t="shared" si="3"/>
        <v>2.7382025252730979E-3</v>
      </c>
      <c r="D9" s="14">
        <f t="shared" si="0"/>
        <v>54.76405050546196</v>
      </c>
      <c r="G9" s="8">
        <v>8.1000000000000006E-4</v>
      </c>
      <c r="H9" s="3" cm="1">
        <f t="array" ref="H9">((2*ttotal3)/(3*s_t))*(st_b[[#This Row],[s(tb)]]+(s_t/4))</f>
        <v>0.11555555555555555</v>
      </c>
      <c r="I9" s="3">
        <f t="shared" si="4"/>
        <v>7.4074074074073626E-4</v>
      </c>
      <c r="J9" s="14">
        <f t="shared" si="1"/>
        <v>14.814814814814724</v>
      </c>
      <c r="M9" s="8">
        <v>2.31E-3</v>
      </c>
      <c r="N9" s="16">
        <f>(-INDEX(Overview[b],3)+SQRT(POWER(INDEX(Overview[b],3),2)-(4*INDEX(Overview[a],3)*st_c[[#This Row],[c]])))/(2*INDEX(Overview[a],3))</f>
        <v>0.2267592994819394</v>
      </c>
      <c r="O9" s="3">
        <f t="shared" si="5"/>
        <v>7.694976018612909E-4</v>
      </c>
      <c r="P9" s="14">
        <f t="shared" si="2"/>
        <v>15.389952037225818</v>
      </c>
    </row>
    <row r="10" spans="1:16" x14ac:dyDescent="0.25">
      <c r="A10" s="2">
        <v>7.0000000000000007E-5</v>
      </c>
      <c r="B10" s="3" cm="1">
        <f t="array" ref="B10">SQRT((4*POWER(ttotal3,2)*st_a[[#This Row],[s(ta)]])/(9*s_t))</f>
        <v>3.394500514782104E-2</v>
      </c>
      <c r="C10" s="3">
        <f t="shared" si="3"/>
        <v>2.5180370950855929E-3</v>
      </c>
      <c r="D10" s="14">
        <f t="shared" si="0"/>
        <v>50.360741901711854</v>
      </c>
      <c r="G10" s="8">
        <v>8.2000000000000009E-4</v>
      </c>
      <c r="H10" s="3" cm="1">
        <f t="array" ref="H10">((2*ttotal3)/(3*s_t))*(st_b[[#This Row],[s(tb)]]+(s_t/4))</f>
        <v>0.11629629629629629</v>
      </c>
      <c r="I10" s="3">
        <f t="shared" si="4"/>
        <v>7.4074074074073626E-4</v>
      </c>
      <c r="J10" s="14">
        <f t="shared" si="1"/>
        <v>14.814814814814724</v>
      </c>
      <c r="M10" s="8">
        <v>2.32E-3</v>
      </c>
      <c r="N10" s="16">
        <f>(-INDEX(Overview[b],3)+SQRT(POWER(INDEX(Overview[b],3),2)-(4*INDEX(Overview[a],3)*st_c[[#This Row],[c]])))/(2*INDEX(Overview[a],3))</f>
        <v>0.22753439365121692</v>
      </c>
      <c r="O10" s="3">
        <f t="shared" si="5"/>
        <v>7.7509416927751262E-4</v>
      </c>
      <c r="P10" s="14">
        <f t="shared" si="2"/>
        <v>15.501883385550252</v>
      </c>
    </row>
    <row r="11" spans="1:16" x14ac:dyDescent="0.25">
      <c r="A11" s="2">
        <v>8.0000000000000007E-5</v>
      </c>
      <c r="B11" s="3" cm="1">
        <f t="array" ref="B11">SQRT((4*POWER(ttotal3,2)*st_a[[#This Row],[s(ta)]])/(9*s_t))</f>
        <v>3.6288736930121156E-2</v>
      </c>
      <c r="C11" s="3">
        <f t="shared" si="3"/>
        <v>2.3437317823001153E-3</v>
      </c>
      <c r="D11" s="14">
        <f t="shared" si="0"/>
        <v>46.874635646002304</v>
      </c>
      <c r="G11" s="8">
        <v>8.3000000000000012E-4</v>
      </c>
      <c r="H11" s="3" cm="1">
        <f t="array" ref="H11">((2*ttotal3)/(3*s_t))*(st_b[[#This Row],[s(tb)]]+(s_t/4))</f>
        <v>0.11703703703703704</v>
      </c>
      <c r="I11" s="3">
        <f t="shared" si="4"/>
        <v>7.4074074074075014E-4</v>
      </c>
      <c r="J11" s="14">
        <f t="shared" si="1"/>
        <v>14.814814814815001</v>
      </c>
      <c r="M11" s="8">
        <v>2.33E-3</v>
      </c>
      <c r="N11" s="16">
        <f>(-INDEX(Overview[b],3)+SQRT(POWER(INDEX(Overview[b],3),2)-(4*INDEX(Overview[a],3)*st_c[[#This Row],[c]])))/(2*INDEX(Overview[a],3))</f>
        <v>0.22831520830549751</v>
      </c>
      <c r="O11" s="3">
        <f t="shared" si="5"/>
        <v>7.8081465428059271E-4</v>
      </c>
      <c r="P11" s="14">
        <f t="shared" si="2"/>
        <v>15.616293085611854</v>
      </c>
    </row>
    <row r="12" spans="1:16" x14ac:dyDescent="0.25">
      <c r="A12" s="2">
        <v>9.0000000000000006E-5</v>
      </c>
      <c r="B12" s="3" cm="1">
        <f t="array" ref="B12">SQRT((4*POWER(ttotal3,2)*st_a[[#This Row],[s(ta)]])/(9*s_t))</f>
        <v>3.849001794597505E-2</v>
      </c>
      <c r="C12" s="3">
        <f t="shared" si="3"/>
        <v>2.201281015853894E-3</v>
      </c>
      <c r="D12" s="14">
        <f t="shared" si="0"/>
        <v>44.02562031707788</v>
      </c>
      <c r="G12" s="8">
        <v>8.4000000000000003E-4</v>
      </c>
      <c r="H12" s="3" cm="1">
        <f t="array" ref="H12">((2*ttotal3)/(3*s_t))*(st_b[[#This Row],[s(tb)]]+(s_t/4))</f>
        <v>0.11777777777777776</v>
      </c>
      <c r="I12" s="3">
        <f t="shared" si="4"/>
        <v>7.4074074074072238E-4</v>
      </c>
      <c r="J12" s="14">
        <f t="shared" si="1"/>
        <v>14.814814814814447</v>
      </c>
      <c r="M12" s="8">
        <v>2.3400000000000001E-3</v>
      </c>
      <c r="N12" s="16">
        <f>(-INDEX(Overview[b],3)+SQRT(POWER(INDEX(Overview[b],3),2)-(4*INDEX(Overview[a],3)*st_c[[#This Row],[c]])))/(2*INDEX(Overview[a],3))</f>
        <v>0.22910187200392365</v>
      </c>
      <c r="O12" s="3">
        <f t="shared" si="5"/>
        <v>7.8666369842614325E-4</v>
      </c>
      <c r="P12" s="14">
        <f t="shared" si="2"/>
        <v>15.733273968522864</v>
      </c>
    </row>
    <row r="13" spans="1:16" x14ac:dyDescent="0.25">
      <c r="A13" s="2">
        <v>1E-4</v>
      </c>
      <c r="B13" s="3" cm="1">
        <f t="array" ref="B13">SQRT((4*POWER(ttotal3,2)*st_a[[#This Row],[s(ta)]])/(9*s_t))</f>
        <v>4.0572041296678976E-2</v>
      </c>
      <c r="C13" s="3">
        <f t="shared" si="3"/>
        <v>2.0820233507039265E-3</v>
      </c>
      <c r="D13" s="14">
        <f t="shared" si="0"/>
        <v>41.640467014078531</v>
      </c>
      <c r="G13" s="8">
        <v>8.5000000000000006E-4</v>
      </c>
      <c r="H13" s="3" cm="1">
        <f t="array" ref="H13">((2*ttotal3)/(3*s_t))*(st_b[[#This Row],[s(tb)]]+(s_t/4))</f>
        <v>0.11851851851851851</v>
      </c>
      <c r="I13" s="3">
        <f t="shared" si="4"/>
        <v>7.4074074074075014E-4</v>
      </c>
      <c r="J13" s="14">
        <f t="shared" si="1"/>
        <v>14.814814814815001</v>
      </c>
      <c r="M13" s="8">
        <v>2.3500000000000001E-3</v>
      </c>
      <c r="N13" s="16">
        <f>(-INDEX(Overview[b],3)+SQRT(POWER(INDEX(Overview[b],3),2)-(4*INDEX(Overview[a],3)*st_c[[#This Row],[c]])))/(2*INDEX(Overview[a],3))</f>
        <v>0.22989451819430395</v>
      </c>
      <c r="O13" s="3">
        <f t="shared" si="5"/>
        <v>7.9264619038030282E-4</v>
      </c>
      <c r="P13" s="14">
        <f t="shared" si="2"/>
        <v>15.852923807606055</v>
      </c>
    </row>
    <row r="14" spans="1:16" x14ac:dyDescent="0.25">
      <c r="A14" s="2">
        <v>1.1E-4</v>
      </c>
      <c r="B14" s="3" cm="1">
        <f t="array" ref="B14">SQRT((4*POWER(ttotal3,2)*st_a[[#This Row],[s(ta)]])/(9*s_t))</f>
        <v>4.2552315900281697E-2</v>
      </c>
      <c r="C14" s="3">
        <f t="shared" si="3"/>
        <v>1.9802746036027205E-3</v>
      </c>
      <c r="D14" s="14">
        <f t="shared" si="0"/>
        <v>39.60549207205441</v>
      </c>
      <c r="G14" s="8">
        <v>8.6000000000000009E-4</v>
      </c>
      <c r="H14" s="3" cm="1">
        <f t="array" ref="H14">((2*ttotal3)/(3*s_t))*(st_b[[#This Row],[s(tb)]]+(s_t/4))</f>
        <v>0.11925925925925925</v>
      </c>
      <c r="I14" s="3">
        <f t="shared" si="4"/>
        <v>7.4074074074073626E-4</v>
      </c>
      <c r="J14" s="14">
        <f t="shared" si="1"/>
        <v>14.814814814814724</v>
      </c>
      <c r="M14" s="8">
        <v>2.3600000000000001E-3</v>
      </c>
      <c r="N14" s="16">
        <f>(-INDEX(Overview[b],3)+SQRT(POWER(INDEX(Overview[b],3),2)-(4*INDEX(Overview[a],3)*st_c[[#This Row],[c]])))/(2*INDEX(Overview[a],3))</f>
        <v>0.23069328547739973</v>
      </c>
      <c r="O14" s="3">
        <f t="shared" si="5"/>
        <v>7.9876728309577483E-4</v>
      </c>
      <c r="P14" s="14">
        <f t="shared" si="2"/>
        <v>15.975345661915496</v>
      </c>
    </row>
    <row r="15" spans="1:16" x14ac:dyDescent="0.25">
      <c r="A15" s="2">
        <v>1.2000000000000002E-4</v>
      </c>
      <c r="B15" s="3" cm="1">
        <f t="array" ref="B15">SQRT((4*POWER(ttotal3,2)*st_a[[#This Row],[s(ta)]])/(9*s_t))</f>
        <v>4.4444444444444453E-2</v>
      </c>
      <c r="C15" s="3">
        <f t="shared" si="3"/>
        <v>1.8921285441627564E-3</v>
      </c>
      <c r="D15" s="14">
        <f t="shared" si="0"/>
        <v>37.842570883255128</v>
      </c>
      <c r="G15" s="8">
        <v>8.7000000000000011E-4</v>
      </c>
      <c r="H15" s="3" cm="1">
        <f t="array" ref="H15">((2*ttotal3)/(3*s_t))*(st_b[[#This Row],[s(tb)]]+(s_t/4))</f>
        <v>0.12</v>
      </c>
      <c r="I15" s="3">
        <f t="shared" si="4"/>
        <v>7.4074074074075014E-4</v>
      </c>
      <c r="J15" s="14">
        <f t="shared" si="1"/>
        <v>14.814814814815001</v>
      </c>
      <c r="M15" s="8">
        <v>2.3700000000000001E-3</v>
      </c>
      <c r="N15" s="16">
        <f>(-INDEX(Overview[b],3)+SQRT(POWER(INDEX(Overview[b],3),2)-(4*INDEX(Overview[a],3)*st_c[[#This Row],[c]])))/(2*INDEX(Overview[a],3))</f>
        <v>0.23149831788987013</v>
      </c>
      <c r="O15" s="3">
        <f t="shared" si="5"/>
        <v>8.0503241247040225E-4</v>
      </c>
      <c r="P15" s="14">
        <f t="shared" si="2"/>
        <v>16.100648249408046</v>
      </c>
    </row>
    <row r="16" spans="1:16" x14ac:dyDescent="0.25">
      <c r="A16" s="2">
        <v>1.3000000000000002E-4</v>
      </c>
      <c r="B16" s="3" cm="1">
        <f t="array" ref="B16">SQRT((4*POWER(ttotal3,2)*st_a[[#This Row],[s(ta)]])/(9*s_t))</f>
        <v>4.6259244432580733E-2</v>
      </c>
      <c r="C16" s="3">
        <f t="shared" si="3"/>
        <v>1.81479998813628E-3</v>
      </c>
      <c r="D16" s="14">
        <f t="shared" si="0"/>
        <v>36.2959997627256</v>
      </c>
      <c r="G16" s="8">
        <v>8.8000000000000003E-4</v>
      </c>
      <c r="H16" s="3" cm="1">
        <f t="array" ref="H16">((2*ttotal3)/(3*s_t))*(st_b[[#This Row],[s(tb)]]+(s_t/4))</f>
        <v>0.12074074074074072</v>
      </c>
      <c r="I16" s="3">
        <f t="shared" si="4"/>
        <v>7.4074074074072238E-4</v>
      </c>
      <c r="J16" s="14">
        <f t="shared" si="1"/>
        <v>14.814814814814447</v>
      </c>
      <c r="M16" s="8">
        <v>2.3800000000000002E-3</v>
      </c>
      <c r="N16" s="16">
        <f>(-INDEX(Overview[b],3)+SQRT(POWER(INDEX(Overview[b],3),2)-(4*INDEX(Overview[a],3)*st_c[[#This Row],[c]])))/(2*INDEX(Overview[a],3))</f>
        <v>0.23230976520751204</v>
      </c>
      <c r="O16" s="3">
        <f t="shared" si="5"/>
        <v>8.114473176419057E-4</v>
      </c>
      <c r="P16" s="14">
        <f t="shared" si="2"/>
        <v>16.228946352838115</v>
      </c>
    </row>
    <row r="17" spans="1:16" x14ac:dyDescent="0.25">
      <c r="A17" s="2">
        <v>1.4000000000000001E-4</v>
      </c>
      <c r="B17" s="3" cm="1">
        <f t="array" ref="B17">SQRT((4*POWER(ttotal3,2)*st_a[[#This Row],[s(ta)]])/(9*s_t))</f>
        <v>4.8005486654873038E-2</v>
      </c>
      <c r="C17" s="3">
        <f t="shared" si="3"/>
        <v>1.7462422222923046E-3</v>
      </c>
      <c r="D17" s="14">
        <f t="shared" si="0"/>
        <v>34.924844445846091</v>
      </c>
      <c r="G17" s="8">
        <v>8.9000000000000006E-4</v>
      </c>
      <c r="H17" s="3" cm="1">
        <f t="array" ref="H17">((2*ttotal3)/(3*s_t))*(st_b[[#This Row],[s(tb)]]+(s_t/4))</f>
        <v>0.12148148148148145</v>
      </c>
      <c r="I17" s="3">
        <f t="shared" si="4"/>
        <v>7.4074074074073626E-4</v>
      </c>
      <c r="J17" s="14">
        <f t="shared" si="1"/>
        <v>14.814814814814724</v>
      </c>
      <c r="M17" s="8">
        <v>2.3900000000000002E-3</v>
      </c>
      <c r="N17" s="16">
        <f>(-INDEX(Overview[b],3)+SQRT(POWER(INDEX(Overview[b],3),2)-(4*INDEX(Overview[a],3)*st_c[[#This Row],[c]])))/(2*INDEX(Overview[a],3))</f>
        <v>0.23312778327060216</v>
      </c>
      <c r="O17" s="3">
        <f t="shared" si="5"/>
        <v>8.1801806309012015E-4</v>
      </c>
      <c r="P17" s="14">
        <f t="shared" si="2"/>
        <v>16.360361261802403</v>
      </c>
    </row>
    <row r="18" spans="1:16" x14ac:dyDescent="0.25">
      <c r="A18" s="2">
        <v>1.5000000000000001E-4</v>
      </c>
      <c r="B18" s="3" cm="1">
        <f t="array" ref="B18">SQRT((4*POWER(ttotal3,2)*st_a[[#This Row],[s(ta)]])/(9*s_t))</f>
        <v>4.9690399499995326E-2</v>
      </c>
      <c r="C18" s="3">
        <f t="shared" si="3"/>
        <v>1.6849128451222883E-3</v>
      </c>
      <c r="D18" s="14">
        <f t="shared" si="0"/>
        <v>33.698256902445763</v>
      </c>
      <c r="G18" s="8">
        <v>9.0000000000000008E-4</v>
      </c>
      <c r="H18" s="3" cm="1">
        <f t="array" ref="H18">((2*ttotal3)/(3*s_t))*(st_b[[#This Row],[s(tb)]]+(s_t/4))</f>
        <v>0.1222222222222222</v>
      </c>
      <c r="I18" s="3">
        <f t="shared" si="4"/>
        <v>7.4074074074075014E-4</v>
      </c>
      <c r="J18" s="14">
        <f t="shared" si="1"/>
        <v>14.814814814815001</v>
      </c>
      <c r="M18" s="8">
        <v>2.4000000000000002E-3</v>
      </c>
      <c r="N18" s="16">
        <f>(-INDEX(Overview[b],3)+SQRT(POWER(INDEX(Overview[b],3),2)-(4*INDEX(Overview[a],3)*st_c[[#This Row],[c]])))/(2*INDEX(Overview[a],3))</f>
        <v>0.23395253433334259</v>
      </c>
      <c r="O18" s="3">
        <f t="shared" si="5"/>
        <v>8.2475106274043641E-4</v>
      </c>
      <c r="P18" s="14">
        <f t="shared" si="2"/>
        <v>16.495021254808726</v>
      </c>
    </row>
    <row r="19" spans="1:16" x14ac:dyDescent="0.25">
      <c r="A19" s="2">
        <v>1.6000000000000001E-4</v>
      </c>
      <c r="B19" s="3" cm="1">
        <f t="array" ref="B19">SQRT((4*POWER(ttotal3,2)*st_a[[#This Row],[s(ta)]])/(9*s_t))</f>
        <v>5.1320023927966731E-2</v>
      </c>
      <c r="C19" s="3">
        <f t="shared" si="3"/>
        <v>1.6296244279714045E-3</v>
      </c>
      <c r="D19" s="14">
        <f t="shared" si="0"/>
        <v>32.592488559428091</v>
      </c>
      <c r="G19" s="8">
        <v>9.1000000000000011E-4</v>
      </c>
      <c r="H19" s="3" cm="1">
        <f t="array" ref="H19">((2*ttotal3)/(3*s_t))*(st_b[[#This Row],[s(tb)]]+(s_t/4))</f>
        <v>0.12296296296296294</v>
      </c>
      <c r="I19" s="3">
        <f t="shared" si="4"/>
        <v>7.4074074074073626E-4</v>
      </c>
      <c r="J19" s="14">
        <f t="shared" si="1"/>
        <v>14.814814814814724</v>
      </c>
      <c r="M19" s="8">
        <v>2.4100000000000002E-3</v>
      </c>
      <c r="N19" s="16">
        <f>(-INDEX(Overview[b],3)+SQRT(POWER(INDEX(Overview[b],3),2)-(4*INDEX(Overview[a],3)*st_c[[#This Row],[c]])))/(2*INDEX(Overview[a],3))</f>
        <v>0.23478418743962906</v>
      </c>
      <c r="O19" s="3">
        <f t="shared" si="5"/>
        <v>8.3165310628646738E-4</v>
      </c>
      <c r="P19" s="14">
        <f t="shared" si="2"/>
        <v>16.633062125729346</v>
      </c>
    </row>
    <row r="20" spans="1:16" x14ac:dyDescent="0.25">
      <c r="A20" s="2">
        <v>1.7000000000000001E-4</v>
      </c>
      <c r="B20" s="3" cm="1">
        <f t="array" ref="B20">SQRT((4*POWER(ttotal3,2)*st_a[[#This Row],[s(ta)]])/(9*s_t))</f>
        <v>5.2899469841058151E-2</v>
      </c>
      <c r="C20" s="3">
        <f t="shared" si="3"/>
        <v>1.5794459130914207E-3</v>
      </c>
      <c r="D20" s="14">
        <f t="shared" si="0"/>
        <v>31.588918261828411</v>
      </c>
      <c r="G20" s="8">
        <v>9.2000000000000003E-4</v>
      </c>
      <c r="H20" s="3" cm="1">
        <f t="array" ref="H20">((2*ttotal3)/(3*s_t))*(st_b[[#This Row],[s(tb)]]+(s_t/4))</f>
        <v>0.12370370370370369</v>
      </c>
      <c r="I20" s="3">
        <f t="shared" si="4"/>
        <v>7.4074074074075014E-4</v>
      </c>
      <c r="J20" s="14">
        <f t="shared" si="1"/>
        <v>14.814814814815001</v>
      </c>
      <c r="M20" s="8">
        <v>2.4200000000000003E-3</v>
      </c>
      <c r="N20" s="16">
        <f>(-INDEX(Overview[b],3)+SQRT(POWER(INDEX(Overview[b],3),2)-(4*INDEX(Overview[a],3)*st_c[[#This Row],[c]])))/(2*INDEX(Overview[a],3))</f>
        <v>0.23562291882760791</v>
      </c>
      <c r="O20" s="3">
        <f t="shared" si="5"/>
        <v>8.3873138797885272E-4</v>
      </c>
      <c r="P20" s="14">
        <f t="shared" si="2"/>
        <v>16.774627759577054</v>
      </c>
    </row>
    <row r="21" spans="1:16" x14ac:dyDescent="0.25">
      <c r="A21" s="2">
        <v>1.8000000000000001E-4</v>
      </c>
      <c r="B21" s="3" cm="1">
        <f t="array" ref="B21">SQRT((4*POWER(ttotal3,2)*st_a[[#This Row],[s(ta)]])/(9*s_t))</f>
        <v>5.4433105395181737E-2</v>
      </c>
      <c r="C21" s="3">
        <f t="shared" si="3"/>
        <v>1.5336355541235858E-3</v>
      </c>
      <c r="D21" s="14">
        <f t="shared" si="0"/>
        <v>30.672711082471714</v>
      </c>
      <c r="G21" s="8">
        <v>9.3000000000000005E-4</v>
      </c>
      <c r="H21" s="3" cm="1">
        <f t="array" ref="H21">((2*ttotal3)/(3*s_t))*(st_b[[#This Row],[s(tb)]]+(s_t/4))</f>
        <v>0.12444444444444443</v>
      </c>
      <c r="I21" s="3">
        <f t="shared" si="4"/>
        <v>7.4074074074073626E-4</v>
      </c>
      <c r="J21" s="14">
        <f t="shared" si="1"/>
        <v>14.814814814814724</v>
      </c>
      <c r="M21" s="8">
        <v>2.4300000000000003E-3</v>
      </c>
      <c r="N21" s="16">
        <f>(-INDEX(Overview[b],3)+SQRT(POWER(INDEX(Overview[b],3),2)-(4*INDEX(Overview[a],3)*st_c[[#This Row],[c]])))/(2*INDEX(Overview[a],3))</f>
        <v>0.23646891236576267</v>
      </c>
      <c r="O21" s="3">
        <f t="shared" si="5"/>
        <v>8.4599353815476008E-4</v>
      </c>
      <c r="P21" s="14">
        <f t="shared" si="2"/>
        <v>16.919870763095201</v>
      </c>
    </row>
    <row r="22" spans="1:16" x14ac:dyDescent="0.25">
      <c r="A22" s="2">
        <v>1.9000000000000001E-4</v>
      </c>
      <c r="B22" s="3" cm="1">
        <f t="array" ref="B22">SQRT((4*POWER(ttotal3,2)*st_a[[#This Row],[s(ta)]])/(9*s_t))</f>
        <v>5.592469952052407E-2</v>
      </c>
      <c r="C22" s="3">
        <f t="shared" si="3"/>
        <v>1.4915941253423326E-3</v>
      </c>
      <c r="D22" s="14">
        <f t="shared" si="0"/>
        <v>29.83188250684665</v>
      </c>
      <c r="G22" s="8">
        <v>9.4000000000000008E-4</v>
      </c>
      <c r="H22" s="3" cm="1">
        <f t="array" ref="H22">((2*ttotal3)/(3*s_t))*(st_b[[#This Row],[s(tb)]]+(s_t/4))</f>
        <v>0.12518518518518518</v>
      </c>
      <c r="I22" s="3">
        <f t="shared" si="4"/>
        <v>7.4074074074075014E-4</v>
      </c>
      <c r="J22" s="14">
        <f t="shared" si="1"/>
        <v>14.814814814815001</v>
      </c>
      <c r="M22" s="8">
        <v>2.4400000000000003E-3</v>
      </c>
      <c r="N22" s="16">
        <f>(-INDEX(Overview[b],3)+SQRT(POWER(INDEX(Overview[b],3),2)-(4*INDEX(Overview[a],3)*st_c[[#This Row],[c]])))/(2*INDEX(Overview[a],3))</f>
        <v>0.23732236002358714</v>
      </c>
      <c r="O22" s="3">
        <f t="shared" si="5"/>
        <v>8.5344765782446874E-4</v>
      </c>
      <c r="P22" s="14">
        <f t="shared" si="2"/>
        <v>17.068953156489375</v>
      </c>
    </row>
    <row r="23" spans="1:16" x14ac:dyDescent="0.25">
      <c r="A23" s="2">
        <v>2.0000000000000001E-4</v>
      </c>
      <c r="B23" s="3" cm="1">
        <f t="array" ref="B23">SQRT((4*POWER(ttotal3,2)*st_a[[#This Row],[s(ta)]])/(9*s_t))</f>
        <v>5.7377531054924699E-2</v>
      </c>
      <c r="C23" s="3">
        <f t="shared" si="3"/>
        <v>1.4528315344006296E-3</v>
      </c>
      <c r="D23" s="14">
        <f t="shared" si="0"/>
        <v>29.056630688012589</v>
      </c>
      <c r="G23" s="8">
        <v>9.5000000000000011E-4</v>
      </c>
      <c r="H23" s="3" cm="1">
        <f t="array" ref="H23">((2*ttotal3)/(3*s_t))*(st_b[[#This Row],[s(tb)]]+(s_t/4))</f>
        <v>0.12592592592592591</v>
      </c>
      <c r="I23" s="3">
        <f t="shared" si="4"/>
        <v>7.4074074074073626E-4</v>
      </c>
      <c r="J23" s="14">
        <f t="shared" si="1"/>
        <v>14.814814814814724</v>
      </c>
      <c r="M23" s="8">
        <v>2.4500000000000004E-3</v>
      </c>
      <c r="N23" s="16">
        <f>(-INDEX(Overview[b],3)+SQRT(POWER(INDEX(Overview[b],3),2)-(4*INDEX(Overview[a],3)*st_c[[#This Row],[c]])))/(2*INDEX(Overview[a],3))</f>
        <v>0.2381834623802582</v>
      </c>
      <c r="O23" s="3">
        <f t="shared" si="5"/>
        <v>8.6110235667105628E-4</v>
      </c>
      <c r="P23" s="14">
        <f t="shared" si="2"/>
        <v>17.222047133421125</v>
      </c>
    </row>
    <row r="24" spans="1:16" x14ac:dyDescent="0.25">
      <c r="A24" s="2">
        <v>2.1000000000000001E-4</v>
      </c>
      <c r="B24" s="3" cm="1">
        <f t="array" ref="B24">SQRT((4*POWER(ttotal3,2)*st_a[[#This Row],[s(ta)]])/(9*s_t))</f>
        <v>5.8794473579213122E-2</v>
      </c>
      <c r="C24" s="3">
        <f t="shared" si="3"/>
        <v>1.4169425242884226E-3</v>
      </c>
      <c r="D24" s="14">
        <f t="shared" si="0"/>
        <v>28.33885048576845</v>
      </c>
      <c r="G24" s="8">
        <v>9.6000000000000013E-4</v>
      </c>
      <c r="H24" s="3" cm="1">
        <f t="array" ref="H24">((2*ttotal3)/(3*s_t))*(st_b[[#This Row],[s(tb)]]+(s_t/4))</f>
        <v>0.12666666666666665</v>
      </c>
      <c r="I24" s="3">
        <f t="shared" si="4"/>
        <v>7.4074074074073626E-4</v>
      </c>
      <c r="J24" s="14">
        <f t="shared" si="1"/>
        <v>14.814814814814724</v>
      </c>
      <c r="M24" s="8">
        <v>2.4600000000000004E-3</v>
      </c>
      <c r="N24" s="16">
        <f>(-INDEX(Overview[b],3)+SQRT(POWER(INDEX(Overview[b],3),2)-(4*INDEX(Overview[a],3)*st_c[[#This Row],[c]])))/(2*INDEX(Overview[a],3))</f>
        <v>0.2390524291751269</v>
      </c>
      <c r="O24" s="3">
        <f t="shared" si="5"/>
        <v>8.6896679486869743E-4</v>
      </c>
      <c r="P24" s="14">
        <f t="shared" si="2"/>
        <v>17.379335897373949</v>
      </c>
    </row>
    <row r="25" spans="1:16" x14ac:dyDescent="0.25">
      <c r="A25" s="2">
        <v>2.2000000000000001E-4</v>
      </c>
      <c r="B25" s="3" cm="1">
        <f t="array" ref="B25">SQRT((4*POWER(ttotal3,2)*st_a[[#This Row],[s(ta)]])/(9*s_t))</f>
        <v>6.0178062256562671E-2</v>
      </c>
      <c r="C25" s="3">
        <f t="shared" si="3"/>
        <v>1.3835886773495495E-3</v>
      </c>
      <c r="D25" s="14">
        <f t="shared" si="0"/>
        <v>27.671773546990991</v>
      </c>
      <c r="G25" s="8">
        <v>9.7000000000000005E-4</v>
      </c>
      <c r="H25" s="3" cm="1">
        <f t="array" ref="H25">((2*ttotal3)/(3*s_t))*(st_b[[#This Row],[s(tb)]]+(s_t/4))</f>
        <v>0.12740740740740739</v>
      </c>
      <c r="I25" s="3">
        <f t="shared" si="4"/>
        <v>7.4074074074073626E-4</v>
      </c>
      <c r="J25" s="14">
        <f t="shared" si="1"/>
        <v>14.814814814814724</v>
      </c>
      <c r="M25" s="8">
        <v>2.4700000000000004E-3</v>
      </c>
      <c r="N25" s="16">
        <f>(-INDEX(Overview[b],3)+SQRT(POWER(INDEX(Overview[b],3),2)-(4*INDEX(Overview[a],3)*st_c[[#This Row],[c]])))/(2*INDEX(Overview[a],3))</f>
        <v>0.2399294799043073</v>
      </c>
      <c r="O25" s="3">
        <f t="shared" si="5"/>
        <v>8.7705072918040083E-4</v>
      </c>
      <c r="P25" s="14">
        <f t="shared" si="2"/>
        <v>17.541014583608018</v>
      </c>
    </row>
    <row r="26" spans="1:16" x14ac:dyDescent="0.25">
      <c r="A26" s="2">
        <v>2.3000000000000001E-4</v>
      </c>
      <c r="B26" s="3" cm="1">
        <f t="array" ref="B26">SQRT((4*POWER(ttotal3,2)*st_a[[#This Row],[s(ta)]])/(9*s_t))</f>
        <v>6.1530547132726481E-2</v>
      </c>
      <c r="C26" s="3">
        <f t="shared" si="3"/>
        <v>1.3524848761638092E-3</v>
      </c>
      <c r="D26" s="14">
        <f t="shared" si="0"/>
        <v>27.049697523276183</v>
      </c>
      <c r="G26" s="8">
        <v>9.8000000000000019E-4</v>
      </c>
      <c r="H26" s="3" cm="1">
        <f t="array" ref="H26">((2*ttotal3)/(3*s_t))*(st_b[[#This Row],[s(tb)]]+(s_t/4))</f>
        <v>0.12814814814814815</v>
      </c>
      <c r="I26" s="3">
        <f t="shared" si="4"/>
        <v>7.4074074074076401E-4</v>
      </c>
      <c r="J26" s="14">
        <f t="shared" si="1"/>
        <v>14.81481481481528</v>
      </c>
      <c r="M26" s="8">
        <v>2.48E-3</v>
      </c>
      <c r="N26" s="16">
        <f>(-INDEX(Overview[b],3)+SQRT(POWER(INDEX(Overview[b],3),2)-(4*INDEX(Overview[a],3)*st_c[[#This Row],[c]])))/(2*INDEX(Overview[a],3))</f>
        <v>0.24081484446817167</v>
      </c>
      <c r="O26" s="3">
        <f t="shared" si="5"/>
        <v>8.8536456386437146E-4</v>
      </c>
      <c r="P26" s="14">
        <f t="shared" si="2"/>
        <v>17.707291277287428</v>
      </c>
    </row>
    <row r="27" spans="1:16" x14ac:dyDescent="0.25">
      <c r="A27" s="2">
        <v>2.4000000000000003E-4</v>
      </c>
      <c r="B27" s="3" cm="1">
        <f t="array" ref="B27">SQRT((4*POWER(ttotal3,2)*st_a[[#This Row],[s(ta)]])/(9*s_t))</f>
        <v>6.2853936105470895E-2</v>
      </c>
      <c r="C27" s="3">
        <f t="shared" si="3"/>
        <v>1.3233889727444145E-3</v>
      </c>
      <c r="D27" s="14">
        <f t="shared" si="0"/>
        <v>26.467779454888291</v>
      </c>
      <c r="G27" s="8">
        <v>9.8999999999999999E-4</v>
      </c>
      <c r="H27" s="3" cm="1">
        <f t="array" ref="H27">((2*ttotal3)/(3*s_t))*(st_b[[#This Row],[s(tb)]]+(s_t/4))</f>
        <v>0.12888888888888886</v>
      </c>
      <c r="I27" s="3">
        <f t="shared" si="4"/>
        <v>7.407407407407085E-4</v>
      </c>
      <c r="J27" s="14">
        <f t="shared" si="1"/>
        <v>14.81481481481417</v>
      </c>
      <c r="M27" s="8">
        <v>2.49E-3</v>
      </c>
      <c r="N27" s="16">
        <f>(-INDEX(Overview[b],3)+SQRT(POWER(INDEX(Overview[b],3),2)-(4*INDEX(Overview[a],3)*st_c[[#This Row],[c]])))/(2*INDEX(Overview[a],3))</f>
        <v>0.24170876387516291</v>
      </c>
      <c r="O27" s="3">
        <f t="shared" si="5"/>
        <v>8.9391940699123928E-4</v>
      </c>
      <c r="P27" s="14">
        <f t="shared" si="2"/>
        <v>17.878388139824786</v>
      </c>
    </row>
    <row r="28" spans="1:16" x14ac:dyDescent="0.25">
      <c r="A28" s="2">
        <v>2.5000000000000001E-4</v>
      </c>
      <c r="B28" s="3" cm="1">
        <f t="array" ref="B28">SQRT((4*POWER(ttotal3,2)*st_a[[#This Row],[s(ta)]])/(9*s_t))</f>
        <v>6.4150029909958411E-2</v>
      </c>
      <c r="C28" s="3">
        <f t="shared" si="3"/>
        <v>1.2960938044875164E-3</v>
      </c>
      <c r="D28" s="14">
        <f t="shared" si="0"/>
        <v>25.921876089750327</v>
      </c>
      <c r="G28" s="8">
        <v>1E-3</v>
      </c>
      <c r="H28" s="3" cm="1">
        <f t="array" ref="H28">((2*ttotal3)/(3*s_t))*(st_b[[#This Row],[s(tb)]]+(s_t/4))</f>
        <v>0.12962962962962962</v>
      </c>
      <c r="I28" s="3">
        <f t="shared" si="4"/>
        <v>7.4074074074076401E-4</v>
      </c>
      <c r="J28" s="14">
        <f t="shared" si="1"/>
        <v>14.81481481481528</v>
      </c>
      <c r="M28" s="8">
        <v>2.5000000000000001E-3</v>
      </c>
      <c r="N28" s="16">
        <f>(-INDEX(Overview[b],3)+SQRT(POWER(INDEX(Overview[b],3),2)-(4*INDEX(Overview[a],3)*st_c[[#This Row],[c]])))/(2*INDEX(Overview[a],3))</f>
        <v>0.24261149100803031</v>
      </c>
      <c r="O28" s="3">
        <f t="shared" si="5"/>
        <v>9.0272713286740358E-4</v>
      </c>
      <c r="P28" s="14">
        <f t="shared" si="2"/>
        <v>18.054542657348073</v>
      </c>
    </row>
    <row r="29" spans="1:16" x14ac:dyDescent="0.25">
      <c r="A29" s="2">
        <v>2.6000000000000003E-4</v>
      </c>
      <c r="B29" s="3" cm="1">
        <f t="array" ref="B29">SQRT((4*POWER(ttotal3,2)*st_a[[#This Row],[s(ta)]])/(9*s_t))</f>
        <v>6.5420450861687754E-2</v>
      </c>
      <c r="C29" s="3">
        <f t="shared" si="3"/>
        <v>1.2704209517293424E-3</v>
      </c>
      <c r="D29" s="14">
        <f t="shared" si="0"/>
        <v>25.408419034586849</v>
      </c>
      <c r="G29" s="8">
        <v>1.01E-3</v>
      </c>
      <c r="H29" s="3" cm="1">
        <f t="array" ref="H29">((2*ttotal3)/(3*s_t))*(st_b[[#This Row],[s(tb)]]+(s_t/4))</f>
        <v>0.13037037037037036</v>
      </c>
      <c r="I29" s="3">
        <f t="shared" si="4"/>
        <v>7.4074074074073626E-4</v>
      </c>
      <c r="J29" s="14">
        <f t="shared" si="1"/>
        <v>14.814814814814724</v>
      </c>
      <c r="M29" s="8">
        <v>2.5100000000000001E-3</v>
      </c>
      <c r="N29" s="16">
        <f>(-INDEX(Overview[b],3)+SQRT(POWER(INDEX(Overview[b],3),2)-(4*INDEX(Overview[a],3)*st_c[[#This Row],[c]])))/(2*INDEX(Overview[a],3))</f>
        <v>0.24352329145939136</v>
      </c>
      <c r="O29" s="3">
        <f t="shared" si="5"/>
        <v>9.1180045136105004E-4</v>
      </c>
      <c r="P29" s="14">
        <f t="shared" si="2"/>
        <v>18.236009027221002</v>
      </c>
    </row>
    <row r="30" spans="1:16" x14ac:dyDescent="0.25">
      <c r="A30" s="2">
        <v>2.7E-4</v>
      </c>
      <c r="B30" s="3" cm="1">
        <f t="array" ref="B30">SQRT((4*POWER(ttotal3,2)*st_a[[#This Row],[s(ta)]])/(9*s_t))</f>
        <v>6.6666666666666666E-2</v>
      </c>
      <c r="C30" s="3">
        <f t="shared" si="3"/>
        <v>1.2462158049789118E-3</v>
      </c>
      <c r="D30" s="14">
        <f t="shared" si="0"/>
        <v>24.924316099578235</v>
      </c>
      <c r="G30" s="8">
        <v>1.0200000000000001E-3</v>
      </c>
      <c r="H30" s="3" cm="1">
        <f t="array" ref="H30">((2*ttotal3)/(3*s_t))*(st_b[[#This Row],[s(tb)]]+(s_t/4))</f>
        <v>0.13111111111111109</v>
      </c>
      <c r="I30" s="3">
        <f t="shared" si="4"/>
        <v>7.4074074074073626E-4</v>
      </c>
      <c r="J30" s="14">
        <f t="shared" si="1"/>
        <v>14.814814814814724</v>
      </c>
      <c r="M30" s="8">
        <v>2.5200000000000001E-3</v>
      </c>
      <c r="N30" s="16">
        <f>(-INDEX(Overview[b],3)+SQRT(POWER(INDEX(Overview[b],3),2)-(4*INDEX(Overview[a],3)*st_c[[#This Row],[c]])))/(2*INDEX(Overview[a],3))</f>
        <v>0.2444444444444443</v>
      </c>
      <c r="O30" s="3">
        <f t="shared" si="5"/>
        <v>9.2115298505293652E-4</v>
      </c>
      <c r="P30" s="14">
        <f t="shared" si="2"/>
        <v>18.42305970105873</v>
      </c>
    </row>
    <row r="31" spans="1:16" x14ac:dyDescent="0.25">
      <c r="A31" s="2">
        <v>2.8000000000000003E-4</v>
      </c>
      <c r="B31" s="3" cm="1">
        <f t="array" ref="B31">SQRT((4*POWER(ttotal3,2)*st_a[[#This Row],[s(ta)]])/(9*s_t))</f>
        <v>6.7890010295642081E-2</v>
      </c>
      <c r="C31" s="3">
        <f t="shared" si="3"/>
        <v>1.2233436289754152E-3</v>
      </c>
      <c r="D31" s="14">
        <f t="shared" si="0"/>
        <v>24.466872579508301</v>
      </c>
      <c r="G31" s="8">
        <v>1.0300000000000001E-3</v>
      </c>
      <c r="H31" s="3" cm="1">
        <f t="array" ref="H31">((2*ttotal3)/(3*s_t))*(st_b[[#This Row],[s(tb)]]+(s_t/4))</f>
        <v>0.13185185185185183</v>
      </c>
      <c r="I31" s="3">
        <f t="shared" si="4"/>
        <v>7.4074074074073626E-4</v>
      </c>
      <c r="J31" s="14">
        <f t="shared" si="1"/>
        <v>14.814814814814724</v>
      </c>
      <c r="M31" s="8">
        <v>2.5300000000000001E-3</v>
      </c>
      <c r="N31" s="16">
        <f>(-INDEX(Overview[b],3)+SQRT(POWER(INDEX(Overview[b],3),2)-(4*INDEX(Overview[a],3)*st_c[[#This Row],[c]])))/(2*INDEX(Overview[a],3))</f>
        <v>0.24537524379971903</v>
      </c>
      <c r="O31" s="3">
        <f t="shared" si="5"/>
        <v>9.3079935527473623E-4</v>
      </c>
      <c r="P31" s="14">
        <f t="shared" si="2"/>
        <v>18.615987105494725</v>
      </c>
    </row>
    <row r="32" spans="1:16" x14ac:dyDescent="0.25">
      <c r="A32" s="2">
        <v>2.9E-4</v>
      </c>
      <c r="B32" s="3" cm="1">
        <f t="array" ref="B32">SQRT((4*POWER(ttotal3,2)*st_a[[#This Row],[s(ta)]])/(9*s_t))</f>
        <v>6.9091696689546775E-2</v>
      </c>
      <c r="C32" s="3">
        <f t="shared" si="3"/>
        <v>1.201686393904694E-3</v>
      </c>
      <c r="D32" s="14">
        <f t="shared" si="0"/>
        <v>24.033727878093877</v>
      </c>
      <c r="G32" s="8">
        <v>1.0400000000000001E-3</v>
      </c>
      <c r="H32" s="3" cm="1">
        <f t="array" ref="H32">((2*ttotal3)/(3*s_t))*(st_b[[#This Row],[s(tb)]]+(s_t/4))</f>
        <v>0.1325925925925926</v>
      </c>
      <c r="I32" s="3">
        <f t="shared" si="4"/>
        <v>7.4074074074076401E-4</v>
      </c>
      <c r="J32" s="14">
        <f t="shared" si="1"/>
        <v>14.81481481481528</v>
      </c>
      <c r="M32" s="8">
        <v>2.5400000000000002E-3</v>
      </c>
      <c r="N32" s="16">
        <f>(-INDEX(Overview[b],3)+SQRT(POWER(INDEX(Overview[b],3),2)-(4*INDEX(Overview[a],3)*st_c[[#This Row],[c]])))/(2*INDEX(Overview[a],3))</f>
        <v>0.24631599907799451</v>
      </c>
      <c r="O32" s="3">
        <f t="shared" si="5"/>
        <v>9.4075527827547356E-4</v>
      </c>
      <c r="P32" s="14">
        <f t="shared" si="2"/>
        <v>18.815105565509469</v>
      </c>
    </row>
    <row r="33" spans="1:16" x14ac:dyDescent="0.25">
      <c r="A33" s="2">
        <v>3.0000000000000003E-4</v>
      </c>
      <c r="B33" s="3" cm="1">
        <f t="array" ref="B33">SQRT((4*POWER(ttotal3,2)*st_a[[#This Row],[s(ta)]])/(9*s_t))</f>
        <v>7.0272836892630655E-2</v>
      </c>
      <c r="C33" s="3">
        <f t="shared" si="3"/>
        <v>1.1811402030838802E-3</v>
      </c>
      <c r="D33" s="14">
        <f t="shared" si="0"/>
        <v>23.622804061677602</v>
      </c>
      <c r="G33" s="8">
        <v>1.0500000000000002E-3</v>
      </c>
      <c r="H33" s="3" cm="1">
        <f t="array" ref="H33">((2*ttotal3)/(3*s_t))*(st_b[[#This Row],[s(tb)]]+(s_t/4))</f>
        <v>0.13333333333333333</v>
      </c>
      <c r="I33" s="3">
        <f t="shared" si="4"/>
        <v>7.4074074074073626E-4</v>
      </c>
      <c r="J33" s="14">
        <f t="shared" si="1"/>
        <v>14.814814814814724</v>
      </c>
      <c r="M33" s="8">
        <v>2.5500000000000002E-3</v>
      </c>
      <c r="N33" s="16">
        <f>(-INDEX(Overview[b],3)+SQRT(POWER(INDEX(Overview[b],3),2)-(4*INDEX(Overview[a],3)*st_c[[#This Row],[c]])))/(2*INDEX(Overview[a],3))</f>
        <v>0.24726703675094613</v>
      </c>
      <c r="O33" s="3">
        <f t="shared" si="5"/>
        <v>9.5103767295162678E-4</v>
      </c>
      <c r="P33" s="14">
        <f t="shared" si="2"/>
        <v>19.020753459032534</v>
      </c>
    </row>
    <row r="34" spans="1:16" x14ac:dyDescent="0.25">
      <c r="A34" s="2">
        <v>3.1E-4</v>
      </c>
      <c r="B34" s="3" cm="1">
        <f t="array" ref="B34">SQRT((4*POWER(ttotal3,2)*st_a[[#This Row],[s(ta)]])/(9*s_t))</f>
        <v>7.143445008142929E-2</v>
      </c>
      <c r="C34" s="3">
        <f t="shared" si="3"/>
        <v>1.1616131887986353E-3</v>
      </c>
      <c r="D34" s="14">
        <f t="shared" si="0"/>
        <v>23.232263775972704</v>
      </c>
      <c r="G34" s="8">
        <v>1.0600000000000002E-3</v>
      </c>
      <c r="H34" s="3" cm="1">
        <f t="array" ref="H34">((2*ttotal3)/(3*s_t))*(st_b[[#This Row],[s(tb)]]+(s_t/4))</f>
        <v>0.13407407407407407</v>
      </c>
      <c r="I34" s="3">
        <f t="shared" si="4"/>
        <v>7.4074074074073626E-4</v>
      </c>
      <c r="J34" s="14">
        <f t="shared" si="1"/>
        <v>14.814814814814724</v>
      </c>
      <c r="M34" s="8">
        <v>2.5600000000000002E-3</v>
      </c>
      <c r="N34" s="16">
        <f>(-INDEX(Overview[b],3)+SQRT(POWER(INDEX(Overview[b],3),2)-(4*INDEX(Overview[a],3)*st_c[[#This Row],[c]])))/(2*INDEX(Overview[a],3))</f>
        <v>0.24822870153276974</v>
      </c>
      <c r="O34" s="3">
        <f t="shared" si="5"/>
        <v>9.6166478182360682E-4</v>
      </c>
      <c r="P34" s="14">
        <f t="shared" si="2"/>
        <v>19.233295636472135</v>
      </c>
    </row>
    <row r="35" spans="1:16" x14ac:dyDescent="0.25">
      <c r="A35" s="2">
        <v>3.2000000000000003E-4</v>
      </c>
      <c r="B35" s="3" cm="1">
        <f t="array" ref="B35">SQRT((4*POWER(ttotal3,2)*st_a[[#This Row],[s(ta)]])/(9*s_t))</f>
        <v>7.2577473860242311E-2</v>
      </c>
      <c r="C35" s="3">
        <f t="shared" si="3"/>
        <v>1.143023778813021E-3</v>
      </c>
      <c r="D35" s="14">
        <f t="shared" si="0"/>
        <v>22.86047557626042</v>
      </c>
      <c r="G35" s="8">
        <v>1.07E-3</v>
      </c>
      <c r="H35" s="3" cm="1">
        <f t="array" ref="H35">((2*ttotal3)/(3*s_t))*(st_b[[#This Row],[s(tb)]]+(s_t/4))</f>
        <v>0.1348148148148148</v>
      </c>
      <c r="I35" s="3">
        <f t="shared" si="4"/>
        <v>7.4074074074073626E-4</v>
      </c>
      <c r="J35" s="14">
        <f t="shared" si="1"/>
        <v>14.814814814814724</v>
      </c>
      <c r="M35" s="8">
        <v>2.5700000000000002E-3</v>
      </c>
      <c r="N35" s="16">
        <f>(-INDEX(Overview[b],3)+SQRT(POWER(INDEX(Overview[b],3),2)-(4*INDEX(Overview[a],3)*st_c[[#This Row],[c]])))/(2*INDEX(Overview[a],3))</f>
        <v>0.24920135783999581</v>
      </c>
      <c r="O35" s="3">
        <f t="shared" si="5"/>
        <v>9.7265630722606633E-4</v>
      </c>
      <c r="P35" s="14">
        <f t="shared" si="2"/>
        <v>19.453126144521324</v>
      </c>
    </row>
    <row r="36" spans="1:16" x14ac:dyDescent="0.25">
      <c r="A36" s="2">
        <v>3.3000000000000005E-4</v>
      </c>
      <c r="B36" s="3" cm="1">
        <f t="array" ref="B36">SQRT((4*POWER(ttotal3,2)*st_a[[#This Row],[s(ta)]])/(9*s_t))</f>
        <v>7.3702773119008885E-2</v>
      </c>
      <c r="C36" s="3">
        <f t="shared" si="3"/>
        <v>1.1252992587665739E-3</v>
      </c>
      <c r="D36" s="14">
        <f t="shared" si="0"/>
        <v>22.505985175331478</v>
      </c>
      <c r="G36" s="8">
        <v>1.08E-3</v>
      </c>
      <c r="H36" s="3" cm="1">
        <f t="array" ref="H36">((2*ttotal3)/(3*s_t))*(st_b[[#This Row],[s(tb)]]+(s_t/4))</f>
        <v>0.13555555555555554</v>
      </c>
      <c r="I36" s="3">
        <f t="shared" si="4"/>
        <v>7.4074074074073626E-4</v>
      </c>
      <c r="J36" s="14">
        <f t="shared" si="1"/>
        <v>14.814814814814724</v>
      </c>
      <c r="M36" s="8">
        <v>2.5800000000000003E-3</v>
      </c>
      <c r="N36" s="16">
        <f>(-INDEX(Overview[b],3)+SQRT(POWER(INDEX(Overview[b],3),2)-(4*INDEX(Overview[a],3)*st_c[[#This Row],[c]])))/(2*INDEX(Overview[a],3))</f>
        <v>0.25018539140502344</v>
      </c>
      <c r="O36" s="3">
        <f t="shared" si="5"/>
        <v>9.8403356502763106E-4</v>
      </c>
      <c r="P36" s="14">
        <f t="shared" si="2"/>
        <v>19.680671300552621</v>
      </c>
    </row>
    <row r="37" spans="1:16" x14ac:dyDescent="0.25">
      <c r="A37" s="2">
        <v>3.4000000000000002E-4</v>
      </c>
      <c r="B37" s="3" cm="1">
        <f t="array" ref="B37">SQRT((4*POWER(ttotal3,2)*st_a[[#This Row],[s(ta)]])/(9*s_t))</f>
        <v>7.4811147691570948E-2</v>
      </c>
      <c r="C37" s="3">
        <f t="shared" si="3"/>
        <v>1.1083745725620625E-3</v>
      </c>
      <c r="D37" s="14">
        <f t="shared" si="0"/>
        <v>22.167491451241251</v>
      </c>
      <c r="G37" s="8">
        <v>1.09E-3</v>
      </c>
      <c r="H37" s="3" cm="1">
        <f t="array" ref="H37">((2*ttotal3)/(3*s_t))*(st_b[[#This Row],[s(tb)]]+(s_t/4))</f>
        <v>0.13629629629629628</v>
      </c>
      <c r="I37" s="3">
        <f t="shared" si="4"/>
        <v>7.4074074074073626E-4</v>
      </c>
      <c r="J37" s="14">
        <f t="shared" si="1"/>
        <v>14.814814814814724</v>
      </c>
      <c r="M37" s="8">
        <v>2.5900000000000003E-3</v>
      </c>
      <c r="N37" s="16">
        <f>(-INDEX(Overview[b],3)+SQRT(POWER(INDEX(Overview[b],3),2)-(4*INDEX(Overview[a],3)*st_c[[#This Row],[c]])))/(2*INDEX(Overview[a],3))</f>
        <v>0.25118121106363378</v>
      </c>
      <c r="O37" s="3">
        <f t="shared" si="5"/>
        <v>9.9581965861034183E-4</v>
      </c>
      <c r="P37" s="14">
        <f t="shared" si="2"/>
        <v>19.916393172206835</v>
      </c>
    </row>
    <row r="38" spans="1:16" x14ac:dyDescent="0.25">
      <c r="A38" s="2">
        <v>3.5000000000000005E-4</v>
      </c>
      <c r="B38" s="3" cm="1">
        <f t="array" ref="B38">SQRT((4*POWER(ttotal3,2)*st_a[[#This Row],[s(ta)]])/(9*s_t))</f>
        <v>7.5903339007108134E-2</v>
      </c>
      <c r="C38" s="3">
        <f t="shared" si="3"/>
        <v>1.092191315537186E-3</v>
      </c>
      <c r="D38" s="14">
        <f t="shared" si="0"/>
        <v>21.843826310743719</v>
      </c>
      <c r="G38" s="8">
        <v>1.1000000000000001E-3</v>
      </c>
      <c r="H38" s="3" cm="1">
        <f t="array" ref="H38">((2*ttotal3)/(3*s_t))*(st_b[[#This Row],[s(tb)]]+(s_t/4))</f>
        <v>0.13703703703703701</v>
      </c>
      <c r="I38" s="3">
        <f t="shared" si="4"/>
        <v>7.4074074074073626E-4</v>
      </c>
      <c r="J38" s="14">
        <f t="shared" si="1"/>
        <v>14.814814814814724</v>
      </c>
      <c r="M38" s="8">
        <v>2.6000000000000003E-3</v>
      </c>
      <c r="N38" s="16">
        <f>(-INDEX(Overview[b],3)+SQRT(POWER(INDEX(Overview[b],3),2)-(4*INDEX(Overview[a],3)*st_c[[#This Row],[c]])))/(2*INDEX(Overview[a],3))</f>
        <v>0.25218925073997517</v>
      </c>
      <c r="O38" s="3">
        <f t="shared" si="5"/>
        <v>1.0080396763413879E-3</v>
      </c>
      <c r="P38" s="14">
        <f t="shared" si="2"/>
        <v>20.160793526827756</v>
      </c>
    </row>
    <row r="39" spans="1:16" x14ac:dyDescent="0.25">
      <c r="A39" s="2">
        <v>3.6000000000000002E-4</v>
      </c>
      <c r="B39" s="3" cm="1">
        <f t="array" ref="B39">SQRT((4*POWER(ttotal3,2)*st_a[[#This Row],[s(ta)]])/(9*s_t))</f>
        <v>7.6980035891950099E-2</v>
      </c>
      <c r="C39" s="3">
        <f t="shared" si="3"/>
        <v>1.0766968848419656E-3</v>
      </c>
      <c r="D39" s="14">
        <f t="shared" si="0"/>
        <v>21.53393769683931</v>
      </c>
      <c r="G39" s="8">
        <v>1.1100000000000001E-3</v>
      </c>
      <c r="H39" s="3" cm="1">
        <f t="array" ref="H39">((2*ttotal3)/(3*s_t))*(st_b[[#This Row],[s(tb)]]+(s_t/4))</f>
        <v>0.13777777777777778</v>
      </c>
      <c r="I39" s="3">
        <f t="shared" si="4"/>
        <v>7.4074074074076401E-4</v>
      </c>
      <c r="J39" s="14">
        <f t="shared" si="1"/>
        <v>14.81481481481528</v>
      </c>
      <c r="M39" s="8">
        <v>2.6100000000000003E-3</v>
      </c>
      <c r="N39" s="16">
        <f>(-INDEX(Overview[b],3)+SQRT(POWER(INDEX(Overview[b],3),2)-(4*INDEX(Overview[a],3)*st_c[[#This Row],[c]])))/(2*INDEX(Overview[a],3))</f>
        <v>0.25320997165635561</v>
      </c>
      <c r="O39" s="3">
        <f t="shared" si="5"/>
        <v>1.0207209163804465E-3</v>
      </c>
      <c r="P39" s="14">
        <f t="shared" si="2"/>
        <v>20.414418327608928</v>
      </c>
    </row>
    <row r="40" spans="1:16" x14ac:dyDescent="0.25">
      <c r="A40" s="2">
        <v>3.7000000000000005E-4</v>
      </c>
      <c r="B40" s="3" cm="1">
        <f t="array" ref="B40">SQRT((4*POWER(ttotal3,2)*st_a[[#This Row],[s(ta)]])/(9*s_t))</f>
        <v>7.8041879650761037E-2</v>
      </c>
      <c r="C40" s="3">
        <f t="shared" si="3"/>
        <v>1.0618437588109375E-3</v>
      </c>
      <c r="D40" s="14">
        <f t="shared" si="0"/>
        <v>21.236875176218749</v>
      </c>
      <c r="G40" s="8">
        <v>1.1200000000000001E-3</v>
      </c>
      <c r="H40" s="3" cm="1">
        <f t="array" ref="H40">((2*ttotal3)/(3*s_t))*(st_b[[#This Row],[s(tb)]]+(s_t/4))</f>
        <v>0.13851851851851851</v>
      </c>
      <c r="I40" s="3">
        <f t="shared" si="4"/>
        <v>7.4074074074073626E-4</v>
      </c>
      <c r="J40" s="14">
        <f t="shared" si="1"/>
        <v>14.814814814814724</v>
      </c>
      <c r="M40" s="8">
        <v>2.6200000000000004E-3</v>
      </c>
      <c r="N40" s="16">
        <f>(-INDEX(Overview[b],3)+SQRT(POWER(INDEX(Overview[b],3),2)-(4*INDEX(Overview[a],3)*st_c[[#This Row],[c]])))/(2*INDEX(Overview[a],3))</f>
        <v>0.2542438647997679</v>
      </c>
      <c r="O40" s="3">
        <f t="shared" si="5"/>
        <v>1.03389314341229E-3</v>
      </c>
      <c r="P40" s="14">
        <f t="shared" si="2"/>
        <v>20.6778628682458</v>
      </c>
    </row>
    <row r="41" spans="1:16" x14ac:dyDescent="0.25">
      <c r="A41" s="2">
        <v>3.8000000000000002E-4</v>
      </c>
      <c r="B41" s="3" cm="1">
        <f t="array" ref="B41">SQRT((4*POWER(ttotal3,2)*st_a[[#This Row],[s(ta)]])/(9*s_t))</f>
        <v>7.9089468533565271E-2</v>
      </c>
      <c r="C41" s="3">
        <f t="shared" si="3"/>
        <v>1.0475888828042346E-3</v>
      </c>
      <c r="D41" s="14">
        <f t="shared" si="0"/>
        <v>20.95177765608469</v>
      </c>
      <c r="G41" s="8">
        <v>1.1300000000000001E-3</v>
      </c>
      <c r="H41" s="3" cm="1">
        <f t="array" ref="H41">((2*ttotal3)/(3*s_t))*(st_b[[#This Row],[s(tb)]]+(s_t/4))</f>
        <v>0.13925925925925925</v>
      </c>
      <c r="I41" s="3">
        <f t="shared" si="4"/>
        <v>7.4074074074073626E-4</v>
      </c>
      <c r="J41" s="14">
        <f t="shared" si="1"/>
        <v>14.814814814814724</v>
      </c>
      <c r="M41" s="8">
        <v>2.6300000000000004E-3</v>
      </c>
      <c r="N41" s="16">
        <f>(-INDEX(Overview[b],3)+SQRT(POWER(INDEX(Overview[b],3),2)-(4*INDEX(Overview[a],3)*st_c[[#This Row],[c]])))/(2*INDEX(Overview[a],3))</f>
        <v>0.25529145368257211</v>
      </c>
      <c r="O41" s="3">
        <f t="shared" si="5"/>
        <v>1.0475888828042068E-3</v>
      </c>
      <c r="P41" s="14">
        <f t="shared" si="2"/>
        <v>20.951777656084136</v>
      </c>
    </row>
    <row r="42" spans="1:16" x14ac:dyDescent="0.25">
      <c r="A42" s="2">
        <v>3.9000000000000005E-4</v>
      </c>
      <c r="B42" s="3" cm="1">
        <f t="array" ref="B42">SQRT((4*POWER(ttotal3,2)*st_a[[#This Row],[s(ta)]])/(9*s_t))</f>
        <v>8.0123361676977548E-2</v>
      </c>
      <c r="C42" s="3">
        <f t="shared" si="3"/>
        <v>1.0338931434122761E-3</v>
      </c>
      <c r="D42" s="14">
        <f t="shared" si="0"/>
        <v>20.677862868245523</v>
      </c>
      <c r="G42" s="8">
        <v>1.1400000000000002E-3</v>
      </c>
      <c r="H42" s="3" cm="1">
        <f t="array" ref="H42">((2*ttotal3)/(3*s_t))*(st_b[[#This Row],[s(tb)]]+(s_t/4))</f>
        <v>0.13999999999999999</v>
      </c>
      <c r="I42" s="3">
        <f t="shared" si="4"/>
        <v>7.4074074074073626E-4</v>
      </c>
      <c r="J42" s="14">
        <f t="shared" si="1"/>
        <v>14.814814814814724</v>
      </c>
      <c r="M42" s="8">
        <v>2.6400000000000004E-3</v>
      </c>
      <c r="N42" s="16">
        <f>(-INDEX(Overview[b],3)+SQRT(POWER(INDEX(Overview[b],3),2)-(4*INDEX(Overview[a],3)*st_c[[#This Row],[c]])))/(2*INDEX(Overview[a],3))</f>
        <v>0.25635329744138308</v>
      </c>
      <c r="O42" s="3">
        <f t="shared" si="5"/>
        <v>1.0618437588109653E-3</v>
      </c>
      <c r="P42" s="14">
        <f t="shared" si="2"/>
        <v>21.236875176219304</v>
      </c>
    </row>
    <row r="43" spans="1:16" x14ac:dyDescent="0.25">
      <c r="A43" s="2">
        <v>4.0000000000000002E-4</v>
      </c>
      <c r="B43" s="3" cm="1">
        <f t="array" ref="B43">SQRT((4*POWER(ttotal3,2)*st_a[[#This Row],[s(ta)]])/(9*s_t))</f>
        <v>8.1144082593357952E-2</v>
      </c>
      <c r="C43" s="3">
        <f t="shared" si="3"/>
        <v>1.0207209163804049E-3</v>
      </c>
      <c r="D43" s="14">
        <f t="shared" si="0"/>
        <v>20.414418327608097</v>
      </c>
      <c r="G43" s="8">
        <v>1.1500000000000002E-3</v>
      </c>
      <c r="H43" s="3" cm="1">
        <f t="array" ref="H43">((2*ttotal3)/(3*s_t))*(st_b[[#This Row],[s(tb)]]+(s_t/4))</f>
        <v>0.14074074074074072</v>
      </c>
      <c r="I43" s="3">
        <f t="shared" si="4"/>
        <v>7.4074074074073626E-4</v>
      </c>
      <c r="J43" s="14">
        <f t="shared" si="1"/>
        <v>14.814814814814724</v>
      </c>
      <c r="M43" s="8">
        <v>2.65E-3</v>
      </c>
      <c r="N43" s="16">
        <f>(-INDEX(Overview[b],3)+SQRT(POWER(INDEX(Overview[b],3),2)-(4*INDEX(Overview[a],3)*st_c[[#This Row],[c]])))/(2*INDEX(Overview[a],3))</f>
        <v>0.25742999432622499</v>
      </c>
      <c r="O43" s="3">
        <f t="shared" si="5"/>
        <v>1.0766968848419101E-3</v>
      </c>
      <c r="P43" s="14">
        <f t="shared" si="2"/>
        <v>21.533937696838201</v>
      </c>
    </row>
    <row r="44" spans="1:16" x14ac:dyDescent="0.25">
      <c r="A44" s="2">
        <v>4.1000000000000005E-4</v>
      </c>
      <c r="B44" s="3" cm="1">
        <f t="array" ref="B44">SQRT((4*POWER(ttotal3,2)*st_a[[#This Row],[s(ta)]])/(9*s_t))</f>
        <v>8.2152122269699396E-2</v>
      </c>
      <c r="C44" s="3">
        <f t="shared" si="3"/>
        <v>1.0080396763414434E-3</v>
      </c>
      <c r="D44" s="14">
        <f t="shared" si="0"/>
        <v>20.160793526828868</v>
      </c>
      <c r="G44" s="8">
        <v>1.16E-3</v>
      </c>
      <c r="H44" s="3" cm="1">
        <f t="array" ref="H44">((2*ttotal3)/(3*s_t))*(st_b[[#This Row],[s(tb)]]+(s_t/4))</f>
        <v>0.14148148148148146</v>
      </c>
      <c r="I44" s="3">
        <f t="shared" si="4"/>
        <v>7.4074074074073626E-4</v>
      </c>
      <c r="J44" s="14">
        <f t="shared" si="1"/>
        <v>14.814814814814724</v>
      </c>
      <c r="M44" s="8">
        <v>2.66E-3</v>
      </c>
      <c r="N44" s="16">
        <f>(-INDEX(Overview[b],3)+SQRT(POWER(INDEX(Overview[b],3),2)-(4*INDEX(Overview[a],3)*st_c[[#This Row],[c]])))/(2*INDEX(Overview[a],3))</f>
        <v>0.25852218564176221</v>
      </c>
      <c r="O44" s="3">
        <f t="shared" si="5"/>
        <v>1.0921913155372276E-3</v>
      </c>
      <c r="P44" s="14">
        <f t="shared" si="2"/>
        <v>21.84382631074455</v>
      </c>
    </row>
    <row r="45" spans="1:16" x14ac:dyDescent="0.25">
      <c r="A45" s="2">
        <v>4.2000000000000002E-4</v>
      </c>
      <c r="B45" s="3" cm="1">
        <f t="array" ref="B45">SQRT((4*POWER(ttotal3,2)*st_a[[#This Row],[s(ta)]])/(9*s_t))</f>
        <v>8.3147941928309807E-2</v>
      </c>
      <c r="C45" s="3">
        <f t="shared" si="3"/>
        <v>9.9581965861041122E-4</v>
      </c>
      <c r="D45" s="14">
        <f t="shared" si="0"/>
        <v>19.916393172208224</v>
      </c>
      <c r="G45" s="8">
        <v>1.17E-3</v>
      </c>
      <c r="H45" s="3" cm="1">
        <f t="array" ref="H45">((2*ttotal3)/(3*s_t))*(st_b[[#This Row],[s(tb)]]+(s_t/4))</f>
        <v>0.14222222222222219</v>
      </c>
      <c r="I45" s="3">
        <f t="shared" si="4"/>
        <v>7.4074074074073626E-4</v>
      </c>
      <c r="J45" s="14">
        <f t="shared" si="1"/>
        <v>14.814814814814724</v>
      </c>
      <c r="M45" s="8">
        <v>2.6700000000000001E-3</v>
      </c>
      <c r="N45" s="16">
        <f>(-INDEX(Overview[b],3)+SQRT(POWER(INDEX(Overview[b],3),2)-(4*INDEX(Overview[a],3)*st_c[[#This Row],[c]])))/(2*INDEX(Overview[a],3))</f>
        <v>0.25963056021432435</v>
      </c>
      <c r="O45" s="3">
        <f t="shared" si="5"/>
        <v>1.1083745725621319E-3</v>
      </c>
      <c r="P45" s="14">
        <f t="shared" si="2"/>
        <v>22.167491451242636</v>
      </c>
    </row>
    <row r="46" spans="1:16" x14ac:dyDescent="0.25">
      <c r="A46" s="2">
        <v>4.3000000000000004E-4</v>
      </c>
      <c r="B46" s="3" cm="1">
        <f t="array" ref="B46">SQRT((4*POWER(ttotal3,2)*st_a[[#This Row],[s(ta)]])/(9*s_t))</f>
        <v>8.4131975493337383E-2</v>
      </c>
      <c r="C46" s="3">
        <f t="shared" si="3"/>
        <v>9.8403356502757555E-4</v>
      </c>
      <c r="D46" s="14">
        <f t="shared" si="0"/>
        <v>19.680671300551509</v>
      </c>
      <c r="G46" s="8">
        <v>1.1800000000000001E-3</v>
      </c>
      <c r="H46" s="3" cm="1">
        <f t="array" ref="H46">((2*ttotal3)/(3*s_t))*(st_b[[#This Row],[s(tb)]]+(s_t/4))</f>
        <v>0.14296296296296296</v>
      </c>
      <c r="I46" s="3">
        <f t="shared" si="4"/>
        <v>7.4074074074076401E-4</v>
      </c>
      <c r="J46" s="14">
        <f t="shared" si="1"/>
        <v>14.81481481481528</v>
      </c>
      <c r="M46" s="8">
        <v>2.6800000000000001E-3</v>
      </c>
      <c r="N46" s="16">
        <f>(-INDEX(Overview[b],3)+SQRT(POWER(INDEX(Overview[b],3),2)-(4*INDEX(Overview[a],3)*st_c[[#This Row],[c]])))/(2*INDEX(Overview[a],3))</f>
        <v>0.26075585947309082</v>
      </c>
      <c r="O46" s="3">
        <f t="shared" si="5"/>
        <v>1.1252992587664767E-3</v>
      </c>
      <c r="P46" s="14">
        <f t="shared" si="2"/>
        <v>22.505985175329535</v>
      </c>
    </row>
    <row r="47" spans="1:16" x14ac:dyDescent="0.25">
      <c r="A47" s="2">
        <v>4.4000000000000002E-4</v>
      </c>
      <c r="B47" s="3" cm="1">
        <f t="array" ref="B47">SQRT((4*POWER(ttotal3,2)*st_a[[#This Row],[s(ta)]])/(9*s_t))</f>
        <v>8.5104631800563393E-2</v>
      </c>
      <c r="C47" s="3">
        <f t="shared" si="3"/>
        <v>9.7265630722601082E-4</v>
      </c>
      <c r="D47" s="14">
        <f t="shared" si="0"/>
        <v>19.453126144520215</v>
      </c>
      <c r="G47" s="8">
        <v>1.1900000000000001E-3</v>
      </c>
      <c r="H47" s="3" cm="1">
        <f t="array" ref="H47">((2*ttotal3)/(3*s_t))*(st_b[[#This Row],[s(tb)]]+(s_t/4))</f>
        <v>0.14370370370370369</v>
      </c>
      <c r="I47" s="3">
        <f t="shared" si="4"/>
        <v>7.4074074074073626E-4</v>
      </c>
      <c r="J47" s="14">
        <f t="shared" si="1"/>
        <v>14.814814814814724</v>
      </c>
      <c r="M47" s="8">
        <v>2.6900000000000001E-3</v>
      </c>
      <c r="N47" s="16">
        <f>(-INDEX(Overview[b],3)+SQRT(POWER(INDEX(Overview[b],3),2)-(4*INDEX(Overview[a],3)*st_c[[#This Row],[c]])))/(2*INDEX(Overview[a],3))</f>
        <v>0.2618988832519038</v>
      </c>
      <c r="O47" s="3">
        <f t="shared" si="5"/>
        <v>1.1430237788129793E-3</v>
      </c>
      <c r="P47" s="14">
        <f t="shared" si="2"/>
        <v>22.860475576259585</v>
      </c>
    </row>
    <row r="48" spans="1:16" x14ac:dyDescent="0.25">
      <c r="A48" s="2">
        <v>4.5000000000000004E-4</v>
      </c>
      <c r="B48" s="3" cm="1">
        <f t="array" ref="B48">SQRT((4*POWER(ttotal3,2)*st_a[[#This Row],[s(ta)]])/(9*s_t))</f>
        <v>8.6066296582387042E-2</v>
      </c>
      <c r="C48" s="3">
        <f t="shared" si="3"/>
        <v>9.6166478182364845E-4</v>
      </c>
      <c r="D48" s="14">
        <f t="shared" si="0"/>
        <v>19.233295636472967</v>
      </c>
      <c r="G48" s="8">
        <v>1.2000000000000001E-3</v>
      </c>
      <c r="H48" s="3" cm="1">
        <f t="array" ref="H48">((2*ttotal3)/(3*s_t))*(st_b[[#This Row],[s(tb)]]+(s_t/4))</f>
        <v>0.14444444444444443</v>
      </c>
      <c r="I48" s="3">
        <f t="shared" si="4"/>
        <v>7.4074074074073626E-4</v>
      </c>
      <c r="J48" s="14">
        <f t="shared" si="1"/>
        <v>14.814814814814724</v>
      </c>
      <c r="M48" s="8">
        <v>2.7000000000000001E-3</v>
      </c>
      <c r="N48" s="16">
        <f>(-INDEX(Overview[b],3)+SQRT(POWER(INDEX(Overview[b],3),2)-(4*INDEX(Overview[a],3)*st_c[[#This Row],[c]])))/(2*INDEX(Overview[a],3))</f>
        <v>0.26306049644070245</v>
      </c>
      <c r="O48" s="3">
        <f t="shared" si="5"/>
        <v>1.1616131887986492E-3</v>
      </c>
      <c r="P48" s="14">
        <f t="shared" si="2"/>
        <v>23.232263775972982</v>
      </c>
    </row>
    <row r="49" spans="1:16" x14ac:dyDescent="0.25">
      <c r="A49" s="2">
        <v>4.6000000000000001E-4</v>
      </c>
      <c r="B49" s="3" cm="1">
        <f t="array" ref="B49">SQRT((4*POWER(ttotal3,2)*st_a[[#This Row],[s(ta)]])/(9*s_t))</f>
        <v>8.7017334255338738E-2</v>
      </c>
      <c r="C49" s="3">
        <f t="shared" si="3"/>
        <v>9.5103767295169617E-4</v>
      </c>
      <c r="D49" s="14">
        <f t="shared" si="0"/>
        <v>19.020753459033923</v>
      </c>
      <c r="G49" s="8">
        <v>1.2100000000000001E-3</v>
      </c>
      <c r="H49" s="3" cm="1">
        <f t="array" ref="H49">((2*ttotal3)/(3*s_t))*(st_b[[#This Row],[s(tb)]]+(s_t/4))</f>
        <v>0.14518518518518517</v>
      </c>
      <c r="I49" s="3">
        <f t="shared" si="4"/>
        <v>7.4074074074073626E-4</v>
      </c>
      <c r="J49" s="14">
        <f t="shared" si="1"/>
        <v>14.814814814814724</v>
      </c>
      <c r="M49" s="8">
        <v>2.7100000000000002E-3</v>
      </c>
      <c r="N49" s="16">
        <f>(-INDEX(Overview[b],3)+SQRT(POWER(INDEX(Overview[b],3),2)-(4*INDEX(Overview[a],3)*st_c[[#This Row],[c]])))/(2*INDEX(Overview[a],3))</f>
        <v>0.26424163664378636</v>
      </c>
      <c r="O49" s="3">
        <f t="shared" si="5"/>
        <v>1.181140203083908E-3</v>
      </c>
      <c r="P49" s="14">
        <f t="shared" si="2"/>
        <v>23.62280406167816</v>
      </c>
    </row>
    <row r="50" spans="1:16" x14ac:dyDescent="0.25">
      <c r="A50" s="2">
        <v>4.7000000000000004E-4</v>
      </c>
      <c r="B50" s="3" cm="1">
        <f t="array" ref="B50">SQRT((4*POWER(ttotal3,2)*st_a[[#This Row],[s(ta)]])/(9*s_t))</f>
        <v>8.7958089533614198E-2</v>
      </c>
      <c r="C50" s="3">
        <f t="shared" si="3"/>
        <v>9.4075527827545968E-4</v>
      </c>
      <c r="D50" s="14">
        <f t="shared" si="0"/>
        <v>18.815105565509192</v>
      </c>
      <c r="G50" s="8">
        <v>1.2200000000000002E-3</v>
      </c>
      <c r="H50" s="3" cm="1">
        <f t="array" ref="H50">((2*ttotal3)/(3*s_t))*(st_b[[#This Row],[s(tb)]]+(s_t/4))</f>
        <v>0.14592592592592593</v>
      </c>
      <c r="I50" s="3">
        <f t="shared" si="4"/>
        <v>7.4074074074076401E-4</v>
      </c>
      <c r="J50" s="14">
        <f t="shared" si="1"/>
        <v>14.81481481481528</v>
      </c>
      <c r="M50" s="8">
        <v>2.7200000000000002E-3</v>
      </c>
      <c r="N50" s="16">
        <f>(-INDEX(Overview[b],3)+SQRT(POWER(INDEX(Overview[b],3),2)-(4*INDEX(Overview[a],3)*st_c[[#This Row],[c]])))/(2*INDEX(Overview[a],3))</f>
        <v>0.26544332303769103</v>
      </c>
      <c r="O50" s="3">
        <f t="shared" si="5"/>
        <v>1.2016863939046663E-3</v>
      </c>
      <c r="P50" s="14">
        <f t="shared" si="2"/>
        <v>24.033727878093323</v>
      </c>
    </row>
    <row r="51" spans="1:16" x14ac:dyDescent="0.25">
      <c r="A51" s="2">
        <v>4.8000000000000007E-4</v>
      </c>
      <c r="B51" s="3" cm="1">
        <f t="array" ref="B51">SQRT((4*POWER(ttotal3,2)*st_a[[#This Row],[s(ta)]])/(9*s_t))</f>
        <v>8.8888888888888906E-2</v>
      </c>
      <c r="C51" s="3">
        <f t="shared" si="3"/>
        <v>9.3079935527470847E-4</v>
      </c>
      <c r="D51" s="14">
        <f t="shared" si="0"/>
        <v>18.615987105494167</v>
      </c>
      <c r="G51" s="8">
        <v>1.2300000000000002E-3</v>
      </c>
      <c r="H51" s="3" cm="1">
        <f t="array" ref="H51">((2*ttotal3)/(3*s_t))*(st_b[[#This Row],[s(tb)]]+(s_t/4))</f>
        <v>0.14666666666666664</v>
      </c>
      <c r="I51" s="3">
        <f t="shared" si="4"/>
        <v>7.407407407407085E-4</v>
      </c>
      <c r="J51" s="14">
        <f t="shared" si="1"/>
        <v>14.81481481481417</v>
      </c>
      <c r="M51" s="8">
        <v>2.7300000000000002E-3</v>
      </c>
      <c r="N51" s="16">
        <f>(-INDEX(Overview[b],3)+SQRT(POWER(INDEX(Overview[b],3),2)-(4*INDEX(Overview[a],3)*st_c[[#This Row],[c]])))/(2*INDEX(Overview[a],3))</f>
        <v>0.26666666666666639</v>
      </c>
      <c r="O51" s="3">
        <f t="shared" si="5"/>
        <v>1.2233436289753596E-3</v>
      </c>
      <c r="P51" s="14">
        <f t="shared" si="2"/>
        <v>24.466872579507193</v>
      </c>
    </row>
    <row r="52" spans="1:16" x14ac:dyDescent="0.25">
      <c r="A52" s="2">
        <v>4.9000000000000009E-4</v>
      </c>
      <c r="B52" s="3" cm="1">
        <f t="array" ref="B52">SQRT((4*POWER(ttotal3,2)*st_a[[#This Row],[s(ta)]])/(9*s_t))</f>
        <v>8.9810041873941787E-2</v>
      </c>
      <c r="C52" s="3">
        <f t="shared" si="3"/>
        <v>9.2115298505288101E-4</v>
      </c>
      <c r="D52" s="14">
        <f t="shared" si="0"/>
        <v>18.423059701057621</v>
      </c>
      <c r="G52" s="8">
        <v>1.24E-3</v>
      </c>
      <c r="H52" s="3" cm="1">
        <f t="array" ref="H52">((2*ttotal3)/(3*s_t))*(st_b[[#This Row],[s(tb)]]+(s_t/4))</f>
        <v>0.14740740740740738</v>
      </c>
      <c r="I52" s="3">
        <f t="shared" si="4"/>
        <v>7.4074074074073626E-4</v>
      </c>
      <c r="J52" s="14">
        <f t="shared" si="1"/>
        <v>14.814814814814724</v>
      </c>
      <c r="M52" s="8">
        <v>2.7400000000000002E-3</v>
      </c>
      <c r="N52" s="16">
        <f>(-INDEX(Overview[b],3)+SQRT(POWER(INDEX(Overview[b],3),2)-(4*INDEX(Overview[a],3)*st_c[[#This Row],[c]])))/(2*INDEX(Overview[a],3))</f>
        <v>0.26791288247164535</v>
      </c>
      <c r="O52" s="3">
        <f t="shared" si="5"/>
        <v>1.2462158049789673E-3</v>
      </c>
      <c r="P52" s="14">
        <f t="shared" si="2"/>
        <v>24.924316099579347</v>
      </c>
    </row>
    <row r="53" spans="1:16" x14ac:dyDescent="0.25">
      <c r="A53" s="2">
        <v>5.0000000000000001E-4</v>
      </c>
      <c r="B53" s="3" cm="1">
        <f t="array" ref="B53">SQRT((4*POWER(ttotal3,2)*st_a[[#This Row],[s(ta)]])/(9*s_t))</f>
        <v>9.0721842325302893E-2</v>
      </c>
      <c r="C53" s="3">
        <f t="shared" si="3"/>
        <v>9.1180045136110555E-4</v>
      </c>
      <c r="D53" s="14">
        <f t="shared" si="0"/>
        <v>18.23600902722211</v>
      </c>
      <c r="G53" s="8">
        <v>1.25E-3</v>
      </c>
      <c r="H53" s="3" cm="1">
        <f t="array" ref="H53">((2*ttotal3)/(3*s_t))*(st_b[[#This Row],[s(tb)]]+(s_t/4))</f>
        <v>0.14814814814814814</v>
      </c>
      <c r="I53" s="3">
        <f t="shared" si="4"/>
        <v>7.4074074074076401E-4</v>
      </c>
      <c r="J53" s="14">
        <f t="shared" si="1"/>
        <v>14.81481481481528</v>
      </c>
      <c r="M53" s="8">
        <v>2.7500000000000003E-3</v>
      </c>
      <c r="N53" s="16">
        <f>(-INDEX(Overview[b],3)+SQRT(POWER(INDEX(Overview[b],3),2)-(4*INDEX(Overview[a],3)*st_c[[#This Row],[c]])))/(2*INDEX(Overview[a],3))</f>
        <v>0.26918330342337471</v>
      </c>
      <c r="O53" s="3">
        <f t="shared" si="5"/>
        <v>1.2704209517293563E-3</v>
      </c>
      <c r="P53" s="14">
        <f t="shared" si="2"/>
        <v>25.408419034587126</v>
      </c>
    </row>
    <row r="54" spans="1:16" x14ac:dyDescent="0.25">
      <c r="A54" s="2">
        <v>5.1000000000000004E-4</v>
      </c>
      <c r="B54" s="3" cm="1">
        <f t="array" ref="B54">SQRT((4*POWER(ttotal3,2)*st_a[[#This Row],[s(ta)]])/(9*s_t))</f>
        <v>9.1624569458170241E-2</v>
      </c>
      <c r="C54" s="3">
        <f t="shared" si="3"/>
        <v>9.0272713286734807E-4</v>
      </c>
      <c r="D54" s="14">
        <f t="shared" si="0"/>
        <v>18.054542657346961</v>
      </c>
      <c r="G54" s="8">
        <v>1.2600000000000001E-3</v>
      </c>
      <c r="H54" s="3" cm="1">
        <f t="array" ref="H54">((2*ttotal3)/(3*s_t))*(st_b[[#This Row],[s(tb)]]+(s_t/4))</f>
        <v>0.14888888888888888</v>
      </c>
      <c r="I54" s="3">
        <f t="shared" si="4"/>
        <v>7.4074074074073626E-4</v>
      </c>
      <c r="J54" s="14">
        <f t="shared" si="1"/>
        <v>14.814814814814724</v>
      </c>
      <c r="M54" s="8">
        <v>2.7600000000000003E-3</v>
      </c>
      <c r="N54" s="16">
        <f>(-INDEX(Overview[b],3)+SQRT(POWER(INDEX(Overview[b],3),2)-(4*INDEX(Overview[a],3)*st_c[[#This Row],[c]])))/(2*INDEX(Overview[a],3))</f>
        <v>0.27047939722786229</v>
      </c>
      <c r="O54" s="3">
        <f t="shared" si="5"/>
        <v>1.2960938044875858E-3</v>
      </c>
      <c r="P54" s="14">
        <f t="shared" si="2"/>
        <v>25.921876089751716</v>
      </c>
    </row>
    <row r="55" spans="1:16" x14ac:dyDescent="0.25">
      <c r="A55" s="2">
        <v>5.2000000000000006E-4</v>
      </c>
      <c r="B55" s="3" cm="1">
        <f t="array" ref="B55">SQRT((4*POWER(ttotal3,2)*st_a[[#This Row],[s(ta)]])/(9*s_t))</f>
        <v>9.2518488865161466E-2</v>
      </c>
      <c r="C55" s="3">
        <f t="shared" si="3"/>
        <v>8.9391940699122541E-4</v>
      </c>
      <c r="D55" s="14">
        <f t="shared" si="0"/>
        <v>17.878388139824509</v>
      </c>
      <c r="G55" s="8">
        <v>1.2700000000000001E-3</v>
      </c>
      <c r="H55" s="3" cm="1">
        <f t="array" ref="H55">((2*ttotal3)/(3*s_t))*(st_b[[#This Row],[s(tb)]]+(s_t/4))</f>
        <v>0.14962962962962961</v>
      </c>
      <c r="I55" s="3">
        <f t="shared" si="4"/>
        <v>7.4074074074073626E-4</v>
      </c>
      <c r="J55" s="14">
        <f t="shared" si="1"/>
        <v>14.814814814814724</v>
      </c>
      <c r="M55" s="8">
        <v>2.7700000000000003E-3</v>
      </c>
      <c r="N55" s="16">
        <f>(-INDEX(Overview[b],3)+SQRT(POWER(INDEX(Overview[b],3),2)-(4*INDEX(Overview[a],3)*st_c[[#This Row],[c]])))/(2*INDEX(Overview[a],3))</f>
        <v>0.27180278620060666</v>
      </c>
      <c r="O55" s="3">
        <f t="shared" si="5"/>
        <v>1.323388972744366E-3</v>
      </c>
      <c r="P55" s="14">
        <f t="shared" si="2"/>
        <v>26.467779454887317</v>
      </c>
    </row>
    <row r="56" spans="1:16" x14ac:dyDescent="0.25">
      <c r="A56" s="2">
        <v>5.3000000000000009E-4</v>
      </c>
      <c r="B56" s="3" cm="1">
        <f t="array" ref="B56">SQRT((4*POWER(ttotal3,2)*st_a[[#This Row],[s(ta)]])/(9*s_t))</f>
        <v>9.3403853429025865E-2</v>
      </c>
      <c r="C56" s="3">
        <f t="shared" si="3"/>
        <v>8.8536456386439921E-4</v>
      </c>
      <c r="D56" s="14">
        <f t="shared" si="0"/>
        <v>17.707291277287982</v>
      </c>
      <c r="G56" s="8">
        <v>1.2800000000000001E-3</v>
      </c>
      <c r="H56" s="3" cm="1">
        <f t="array" ref="H56">((2*ttotal3)/(3*s_t))*(st_b[[#This Row],[s(tb)]]+(s_t/4))</f>
        <v>0.15037037037037035</v>
      </c>
      <c r="I56" s="3">
        <f t="shared" si="4"/>
        <v>7.4074074074073626E-4</v>
      </c>
      <c r="J56" s="14">
        <f t="shared" si="1"/>
        <v>14.814814814814724</v>
      </c>
      <c r="M56" s="8">
        <v>2.7800000000000004E-3</v>
      </c>
      <c r="N56" s="16">
        <f>(-INDEX(Overview[b],3)+SQRT(POWER(INDEX(Overview[b],3),2)-(4*INDEX(Overview[a],3)*st_c[[#This Row],[c]])))/(2*INDEX(Overview[a],3))</f>
        <v>0.27315527107677046</v>
      </c>
      <c r="O56" s="3">
        <f t="shared" si="5"/>
        <v>1.3524848761637953E-3</v>
      </c>
      <c r="P56" s="14">
        <f t="shared" si="2"/>
        <v>27.049697523275906</v>
      </c>
    </row>
    <row r="57" spans="1:16" x14ac:dyDescent="0.25">
      <c r="A57" s="2">
        <v>5.4000000000000001E-4</v>
      </c>
      <c r="B57" s="3" cm="1">
        <f t="array" ref="B57">SQRT((4*POWER(ttotal3,2)*st_a[[#This Row],[s(ta)]])/(9*s_t))</f>
        <v>9.4280904158206336E-2</v>
      </c>
      <c r="C57" s="3">
        <f t="shared" si="3"/>
        <v>8.7705072918047022E-4</v>
      </c>
      <c r="D57" s="14">
        <f t="shared" si="0"/>
        <v>17.541014583609403</v>
      </c>
      <c r="G57" s="8">
        <v>1.2900000000000001E-3</v>
      </c>
      <c r="H57" s="3" cm="1">
        <f t="array" ref="H57">((2*ttotal3)/(3*s_t))*(st_b[[#This Row],[s(tb)]]+(s_t/4))</f>
        <v>0.15111111111111108</v>
      </c>
      <c r="I57" s="3">
        <f t="shared" si="4"/>
        <v>7.4074074074073626E-4</v>
      </c>
      <c r="J57" s="14">
        <f t="shared" si="1"/>
        <v>14.814814814814724</v>
      </c>
      <c r="M57" s="8">
        <v>2.7900000000000004E-3</v>
      </c>
      <c r="N57" s="16">
        <f>(-INDEX(Overview[b],3)+SQRT(POWER(INDEX(Overview[b],3),2)-(4*INDEX(Overview[a],3)*st_c[[#This Row],[c]])))/(2*INDEX(Overview[a],3))</f>
        <v>0.27453885975412007</v>
      </c>
      <c r="O57" s="3">
        <f t="shared" si="5"/>
        <v>1.383588677349612E-3</v>
      </c>
      <c r="P57" s="14">
        <f t="shared" si="2"/>
        <v>27.671773546992238</v>
      </c>
    </row>
    <row r="58" spans="1:16" x14ac:dyDescent="0.25">
      <c r="A58" s="2">
        <v>5.5000000000000003E-4</v>
      </c>
      <c r="B58" s="3" cm="1">
        <f t="array" ref="B58">SQRT((4*POWER(ttotal3,2)*st_a[[#This Row],[s(ta)]])/(9*s_t))</f>
        <v>9.5149870953075033E-2</v>
      </c>
      <c r="C58" s="3">
        <f t="shared" si="3"/>
        <v>8.6896679486869743E-4</v>
      </c>
      <c r="D58" s="14">
        <f t="shared" si="0"/>
        <v>17.379335897373949</v>
      </c>
      <c r="G58" s="8">
        <v>1.3000000000000002E-3</v>
      </c>
      <c r="H58" s="3" cm="1">
        <f t="array" ref="H58">((2*ttotal3)/(3*s_t))*(st_b[[#This Row],[s(tb)]]+(s_t/4))</f>
        <v>0.15185185185185185</v>
      </c>
      <c r="I58" s="3">
        <f t="shared" si="4"/>
        <v>7.4074074074076401E-4</v>
      </c>
      <c r="J58" s="14">
        <f t="shared" si="1"/>
        <v>14.81481481481528</v>
      </c>
      <c r="M58" s="8">
        <v>2.8000000000000004E-3</v>
      </c>
      <c r="N58" s="16">
        <f>(-INDEX(Overview[b],3)+SQRT(POWER(INDEX(Overview[b],3),2)-(4*INDEX(Overview[a],3)*st_c[[#This Row],[c]])))/(2*INDEX(Overview[a],3))</f>
        <v>0.27595580227840838</v>
      </c>
      <c r="O58" s="3">
        <f t="shared" si="5"/>
        <v>1.4169425242883116E-3</v>
      </c>
      <c r="P58" s="14">
        <f t="shared" si="2"/>
        <v>28.33885048576623</v>
      </c>
    </row>
    <row r="59" spans="1:16" x14ac:dyDescent="0.25">
      <c r="A59" s="2">
        <v>5.6000000000000006E-4</v>
      </c>
      <c r="B59" s="3" cm="1">
        <f t="array" ref="B59">SQRT((4*POWER(ttotal3,2)*st_a[[#This Row],[s(ta)]])/(9*s_t))</f>
        <v>9.6010973309746075E-2</v>
      </c>
      <c r="C59" s="3">
        <f t="shared" si="3"/>
        <v>8.611023566710424E-4</v>
      </c>
      <c r="D59" s="14">
        <f t="shared" si="0"/>
        <v>17.222047133420848</v>
      </c>
      <c r="G59" s="8">
        <v>1.3100000000000002E-3</v>
      </c>
      <c r="H59" s="3" cm="1">
        <f t="array" ref="H59">((2*ttotal3)/(3*s_t))*(st_b[[#This Row],[s(tb)]]+(s_t/4))</f>
        <v>0.15259259259259259</v>
      </c>
      <c r="I59" s="3">
        <f t="shared" si="4"/>
        <v>7.4074074074073626E-4</v>
      </c>
      <c r="J59" s="14">
        <f t="shared" si="1"/>
        <v>14.814814814814724</v>
      </c>
      <c r="M59" s="8">
        <v>2.8100000000000004E-3</v>
      </c>
      <c r="N59" s="16">
        <f>(-INDEX(Overview[b],3)+SQRT(POWER(INDEX(Overview[b],3),2)-(4*INDEX(Overview[a],3)*st_c[[#This Row],[c]])))/(2*INDEX(Overview[a],3))</f>
        <v>0.277408633812809</v>
      </c>
      <c r="O59" s="3">
        <f t="shared" si="5"/>
        <v>1.4528315344006226E-3</v>
      </c>
      <c r="P59" s="14">
        <f t="shared" si="2"/>
        <v>29.056630688012451</v>
      </c>
    </row>
    <row r="60" spans="1:16" x14ac:dyDescent="0.25">
      <c r="A60" s="2">
        <v>5.7000000000000009E-4</v>
      </c>
      <c r="B60" s="3" cm="1">
        <f t="array" ref="B60">SQRT((4*POWER(ttotal3,2)*st_a[[#This Row],[s(ta)]])/(9*s_t))</f>
        <v>9.686442096757053E-2</v>
      </c>
      <c r="C60" s="3">
        <f t="shared" si="3"/>
        <v>8.5344765782445486E-4</v>
      </c>
      <c r="D60" s="14">
        <f t="shared" si="0"/>
        <v>17.068953156489098</v>
      </c>
      <c r="G60" s="8">
        <v>1.3200000000000002E-3</v>
      </c>
      <c r="H60" s="3" cm="1">
        <f t="array" ref="H60">((2*ttotal3)/(3*s_t))*(st_b[[#This Row],[s(tb)]]+(s_t/4))</f>
        <v>0.15333333333333332</v>
      </c>
      <c r="I60" s="3">
        <f t="shared" si="4"/>
        <v>7.4074074074073626E-4</v>
      </c>
      <c r="J60" s="14">
        <f t="shared" si="1"/>
        <v>14.814814814814724</v>
      </c>
      <c r="M60" s="8">
        <v>2.82E-3</v>
      </c>
      <c r="N60" s="16">
        <f>(-INDEX(Overview[b],3)+SQRT(POWER(INDEX(Overview[b],3),2)-(4*INDEX(Overview[a],3)*st_c[[#This Row],[c]])))/(2*INDEX(Overview[a],3))</f>
        <v>0.27890022793815128</v>
      </c>
      <c r="O60" s="3">
        <f t="shared" si="5"/>
        <v>1.4915941253422771E-3</v>
      </c>
      <c r="P60" s="14">
        <f t="shared" si="2"/>
        <v>29.831882506845542</v>
      </c>
    </row>
    <row r="61" spans="1:16" x14ac:dyDescent="0.25">
      <c r="A61" s="2">
        <v>5.8E-4</v>
      </c>
      <c r="B61" s="3" cm="1">
        <f t="array" ref="B61">SQRT((4*POWER(ttotal3,2)*st_a[[#This Row],[s(ta)]])/(9*s_t))</f>
        <v>9.7710414505725332E-2</v>
      </c>
      <c r="C61" s="3">
        <f t="shared" si="3"/>
        <v>8.4599353815480172E-4</v>
      </c>
      <c r="D61" s="14">
        <f t="shared" si="0"/>
        <v>16.919870763096032</v>
      </c>
      <c r="G61" s="8">
        <v>1.33E-3</v>
      </c>
      <c r="H61" s="3" cm="1">
        <f t="array" ref="H61">((2*ttotal3)/(3*s_t))*(st_b[[#This Row],[s(tb)]]+(s_t/4))</f>
        <v>0.15407407407407406</v>
      </c>
      <c r="I61" s="3">
        <f t="shared" si="4"/>
        <v>7.4074074074073626E-4</v>
      </c>
      <c r="J61" s="14">
        <f t="shared" si="1"/>
        <v>14.814814814814724</v>
      </c>
      <c r="M61" s="8">
        <v>2.8300000000000001E-3</v>
      </c>
      <c r="N61" s="16">
        <f>(-INDEX(Overview[b],3)+SQRT(POWER(INDEX(Overview[b],3),2)-(4*INDEX(Overview[a],3)*st_c[[#This Row],[c]])))/(2*INDEX(Overview[a],3))</f>
        <v>0.28043386349227489</v>
      </c>
      <c r="O61" s="3">
        <f t="shared" si="5"/>
        <v>1.5336355541236135E-3</v>
      </c>
      <c r="P61" s="14">
        <f t="shared" si="2"/>
        <v>30.672711082472269</v>
      </c>
    </row>
    <row r="62" spans="1:16" x14ac:dyDescent="0.25">
      <c r="A62" s="2">
        <v>5.9000000000000003E-4</v>
      </c>
      <c r="B62" s="3" cm="1">
        <f t="array" ref="B62">SQRT((4*POWER(ttotal3,2)*st_a[[#This Row],[s(ta)]])/(9*s_t))</f>
        <v>9.8549145893704226E-2</v>
      </c>
      <c r="C62" s="3">
        <f t="shared" si="3"/>
        <v>8.3873138797889435E-4</v>
      </c>
      <c r="D62" s="14">
        <f t="shared" si="0"/>
        <v>16.774627759577886</v>
      </c>
      <c r="G62" s="8">
        <v>1.34E-3</v>
      </c>
      <c r="H62" s="3" cm="1">
        <f t="array" ref="H62">((2*ttotal3)/(3*s_t))*(st_b[[#This Row],[s(tb)]]+(s_t/4))</f>
        <v>0.15481481481481477</v>
      </c>
      <c r="I62" s="3">
        <f t="shared" si="4"/>
        <v>7.407407407407085E-4</v>
      </c>
      <c r="J62" s="14">
        <f t="shared" si="1"/>
        <v>14.81481481481417</v>
      </c>
      <c r="M62" s="8">
        <v>2.8400000000000001E-3</v>
      </c>
      <c r="N62" s="16">
        <f>(-INDEX(Overview[b],3)+SQRT(POWER(INDEX(Overview[b],3),2)-(4*INDEX(Overview[a],3)*st_c[[#This Row],[c]])))/(2*INDEX(Overview[a],3))</f>
        <v>0.28201330940536634</v>
      </c>
      <c r="O62" s="3">
        <f t="shared" si="5"/>
        <v>1.5794459130914484E-3</v>
      </c>
      <c r="P62" s="14">
        <f t="shared" si="2"/>
        <v>31.588918261828969</v>
      </c>
    </row>
    <row r="63" spans="1:16" x14ac:dyDescent="0.25">
      <c r="A63" s="2">
        <v>6.0000000000000006E-4</v>
      </c>
      <c r="B63" s="3" cm="1">
        <f t="array" ref="B63">SQRT((4*POWER(ttotal3,2)*st_a[[#This Row],[s(ta)]])/(9*s_t))</f>
        <v>9.9380798999990652E-2</v>
      </c>
      <c r="C63" s="3">
        <f t="shared" si="3"/>
        <v>8.3165310628642575E-4</v>
      </c>
      <c r="D63" s="14">
        <f t="shared" si="0"/>
        <v>16.633062125728515</v>
      </c>
      <c r="G63" s="8">
        <v>1.3500000000000001E-3</v>
      </c>
      <c r="H63" s="3" cm="1">
        <f t="array" ref="H63">((2*ttotal3)/(3*s_t))*(st_b[[#This Row],[s(tb)]]+(s_t/4))</f>
        <v>0.15555555555555556</v>
      </c>
      <c r="I63" s="3">
        <f t="shared" si="4"/>
        <v>7.4074074074079177E-4</v>
      </c>
      <c r="J63" s="14">
        <f t="shared" si="1"/>
        <v>14.814814814815835</v>
      </c>
      <c r="M63" s="8">
        <v>2.8500000000000001E-3</v>
      </c>
      <c r="N63" s="16">
        <f>(-INDEX(Overview[b],3)+SQRT(POWER(INDEX(Overview[b],3),2)-(4*INDEX(Overview[a],3)*st_c[[#This Row],[c]])))/(2*INDEX(Overview[a],3))</f>
        <v>0.28364293383333766</v>
      </c>
      <c r="O63" s="3">
        <f t="shared" si="5"/>
        <v>1.6296244279713212E-3</v>
      </c>
      <c r="P63" s="14">
        <f t="shared" si="2"/>
        <v>32.592488559426421</v>
      </c>
    </row>
    <row r="64" spans="1:16" x14ac:dyDescent="0.25">
      <c r="A64" s="2">
        <v>6.1000000000000008E-4</v>
      </c>
      <c r="B64" s="3" cm="1">
        <f t="array" ref="B64">SQRT((4*POWER(ttotal3,2)*st_a[[#This Row],[s(ta)]])/(9*s_t))</f>
        <v>0.10020555006273099</v>
      </c>
      <c r="C64" s="3">
        <f t="shared" si="3"/>
        <v>8.2475106274033927E-4</v>
      </c>
      <c r="D64" s="14">
        <f t="shared" si="0"/>
        <v>16.495021254806783</v>
      </c>
      <c r="G64" s="8">
        <v>1.3600000000000001E-3</v>
      </c>
      <c r="H64" s="3" cm="1">
        <f t="array" ref="H64">((2*ttotal3)/(3*s_t))*(st_b[[#This Row],[s(tb)]]+(s_t/4))</f>
        <v>0.15629629629629627</v>
      </c>
      <c r="I64" s="3">
        <f t="shared" si="4"/>
        <v>7.407407407407085E-4</v>
      </c>
      <c r="J64" s="14">
        <f t="shared" si="1"/>
        <v>14.81481481481417</v>
      </c>
      <c r="M64" s="8">
        <v>2.8600000000000001E-3</v>
      </c>
      <c r="N64" s="16">
        <f>(-INDEX(Overview[b],3)+SQRT(POWER(INDEX(Overview[b],3),2)-(4*INDEX(Overview[a],3)*st_c[[#This Row],[c]])))/(2*INDEX(Overview[a],3))</f>
        <v>0.28532784667845984</v>
      </c>
      <c r="O64" s="3">
        <f t="shared" si="5"/>
        <v>1.6849128451221773E-3</v>
      </c>
      <c r="P64" s="14">
        <f t="shared" si="2"/>
        <v>33.698256902443546</v>
      </c>
    </row>
    <row r="65" spans="1:16" x14ac:dyDescent="0.25">
      <c r="A65" s="2">
        <v>6.2E-4</v>
      </c>
      <c r="B65" s="3" cm="1">
        <f t="array" ref="B65">SQRT((4*POWER(ttotal3,2)*st_a[[#This Row],[s(ta)]])/(9*s_t))</f>
        <v>0.10102356812582115</v>
      </c>
      <c r="C65" s="3">
        <f t="shared" si="3"/>
        <v>8.1801806309016178E-4</v>
      </c>
      <c r="D65" s="14">
        <f t="shared" si="0"/>
        <v>16.360361261803234</v>
      </c>
      <c r="G65" s="8">
        <v>1.3700000000000001E-3</v>
      </c>
      <c r="H65" s="3" cm="1">
        <f t="array" ref="H65">((2*ttotal3)/(3*s_t))*(st_b[[#This Row],[s(tb)]]+(s_t/4))</f>
        <v>0.15703703703703703</v>
      </c>
      <c r="I65" s="3">
        <f t="shared" si="4"/>
        <v>7.4074074074076401E-4</v>
      </c>
      <c r="J65" s="14">
        <f t="shared" si="1"/>
        <v>14.81481481481528</v>
      </c>
      <c r="M65" s="8">
        <v>2.8700000000000002E-3</v>
      </c>
      <c r="N65" s="16">
        <f>(-INDEX(Overview[b],3)+SQRT(POWER(INDEX(Overview[b],3),2)-(4*INDEX(Overview[a],3)*st_c[[#This Row],[c]])))/(2*INDEX(Overview[a],3))</f>
        <v>0.28707408890075237</v>
      </c>
      <c r="O65" s="3">
        <f t="shared" si="5"/>
        <v>1.7462422222925267E-3</v>
      </c>
      <c r="P65" s="14">
        <f t="shared" si="2"/>
        <v>34.924844445850532</v>
      </c>
    </row>
    <row r="66" spans="1:16" x14ac:dyDescent="0.25">
      <c r="A66" s="2">
        <v>6.3000000000000003E-4</v>
      </c>
      <c r="B66" s="3" cm="1">
        <f t="array" ref="B66">SQRT((4*POWER(ttotal3,2)*st_a[[#This Row],[s(ta)]])/(9*s_t))</f>
        <v>0.10183501544346311</v>
      </c>
      <c r="C66" s="3">
        <f t="shared" si="3"/>
        <v>8.1144731764196121E-4</v>
      </c>
      <c r="D66" s="14">
        <f t="shared" si="0"/>
        <v>16.228946352839223</v>
      </c>
      <c r="G66" s="8">
        <v>1.3800000000000002E-3</v>
      </c>
      <c r="H66" s="3" cm="1">
        <f t="array" ref="H66">((2*ttotal3)/(3*s_t))*(st_b[[#This Row],[s(tb)]]+(s_t/4))</f>
        <v>0.15777777777777774</v>
      </c>
      <c r="I66" s="3">
        <f t="shared" si="4"/>
        <v>7.407407407407085E-4</v>
      </c>
      <c r="J66" s="14">
        <f t="shared" si="1"/>
        <v>14.81481481481417</v>
      </c>
      <c r="M66" s="8">
        <v>2.8800000000000002E-3</v>
      </c>
      <c r="N66" s="16">
        <f>(-INDEX(Overview[b],3)+SQRT(POWER(INDEX(Overview[b],3),2)-(4*INDEX(Overview[a],3)*st_c[[#This Row],[c]])))/(2*INDEX(Overview[a],3))</f>
        <v>0.2888888888888887</v>
      </c>
      <c r="O66" s="3">
        <f t="shared" si="5"/>
        <v>1.8147999881363286E-3</v>
      </c>
      <c r="P66" s="14">
        <f t="shared" si="2"/>
        <v>36.295999762726574</v>
      </c>
    </row>
    <row r="67" spans="1:16" x14ac:dyDescent="0.25">
      <c r="A67" s="2">
        <v>6.4000000000000005E-4</v>
      </c>
      <c r="B67" s="3" cm="1">
        <f t="array" ref="B67">SQRT((4*POWER(ttotal3,2)*st_a[[#This Row],[s(ta)]])/(9*s_t))</f>
        <v>0.10264004785593346</v>
      </c>
      <c r="C67" s="3">
        <f t="shared" si="3"/>
        <v>8.0503241247034674E-4</v>
      </c>
      <c r="D67" s="14">
        <f t="shared" si="0"/>
        <v>16.100648249406934</v>
      </c>
      <c r="G67" s="8">
        <v>1.3900000000000002E-3</v>
      </c>
      <c r="H67" s="3" cm="1">
        <f t="array" ref="H67">((2*ttotal3)/(3*s_t))*(st_b[[#This Row],[s(tb)]]+(s_t/4))</f>
        <v>0.15851851851851853</v>
      </c>
      <c r="I67" s="3">
        <f t="shared" si="4"/>
        <v>7.4074074074079177E-4</v>
      </c>
      <c r="J67" s="14">
        <f t="shared" si="1"/>
        <v>14.814814814815835</v>
      </c>
      <c r="M67" s="8">
        <v>2.8900000000000002E-3</v>
      </c>
      <c r="N67" s="16">
        <f>(-INDEX(Overview[b],3)+SQRT(POWER(INDEX(Overview[b],3),2)-(4*INDEX(Overview[a],3)*st_c[[#This Row],[c]])))/(2*INDEX(Overview[a],3))</f>
        <v>0.29078101743305135</v>
      </c>
      <c r="O67" s="3">
        <f t="shared" si="5"/>
        <v>1.8921285441626523E-3</v>
      </c>
      <c r="P67" s="14">
        <f t="shared" si="2"/>
        <v>37.842570883253046</v>
      </c>
    </row>
    <row r="68" spans="1:16" x14ac:dyDescent="0.25">
      <c r="A68" s="2">
        <v>6.5000000000000008E-4</v>
      </c>
      <c r="B68" s="3" cm="1">
        <f t="array" ref="B68">SQRT((4*POWER(ttotal3,2)*st_a[[#This Row],[s(ta)]])/(9*s_t))</f>
        <v>0.10343881513902921</v>
      </c>
      <c r="C68" s="3">
        <f t="shared" si="3"/>
        <v>7.9876728309574707E-4</v>
      </c>
      <c r="D68" s="14">
        <f t="shared" ref="D68:D78" si="6">C68/0.00005</f>
        <v>15.975345661914941</v>
      </c>
      <c r="G68" s="8">
        <v>1.4000000000000002E-3</v>
      </c>
      <c r="H68" s="3" cm="1">
        <f t="array" ref="H68">((2*ttotal3)/(3*s_t))*(st_b[[#This Row],[s(tb)]]+(s_t/4))</f>
        <v>0.15925925925925924</v>
      </c>
      <c r="I68" s="3">
        <f t="shared" si="4"/>
        <v>7.407407407407085E-4</v>
      </c>
      <c r="J68" s="14">
        <f t="shared" ref="J68:J131" si="7">I68/0.00005</f>
        <v>14.81481481481417</v>
      </c>
      <c r="M68" s="8">
        <v>2.9000000000000002E-3</v>
      </c>
      <c r="N68" s="16">
        <f>(-INDEX(Overview[b],3)+SQRT(POWER(INDEX(Overview[b],3),2)-(4*INDEX(Overview[a],3)*st_c[[#This Row],[c]])))/(2*INDEX(Overview[a],3))</f>
        <v>0.29276129203665396</v>
      </c>
      <c r="O68" s="3">
        <f t="shared" si="5"/>
        <v>1.9802746036026164E-3</v>
      </c>
      <c r="P68" s="14">
        <f t="shared" ref="P68:P78" si="8">O68/0.00005</f>
        <v>39.605492072052328</v>
      </c>
    </row>
    <row r="69" spans="1:16" x14ac:dyDescent="0.25">
      <c r="A69" s="2">
        <v>6.600000000000001E-4</v>
      </c>
      <c r="B69" s="3" cm="1">
        <f t="array" ref="B69">SQRT((4*POWER(ttotal3,2)*st_a[[#This Row],[s(ta)]])/(9*s_t))</f>
        <v>0.10423146132940955</v>
      </c>
      <c r="C69" s="3">
        <f t="shared" ref="C69:C78" si="9">B69-B68</f>
        <v>7.9264619038034445E-4</v>
      </c>
      <c r="D69" s="14">
        <f t="shared" si="6"/>
        <v>15.852923807606889</v>
      </c>
      <c r="G69" s="8">
        <v>1.41E-3</v>
      </c>
      <c r="H69" s="3" cm="1">
        <f t="array" ref="H69">((2*ttotal3)/(3*s_t))*(st_b[[#This Row],[s(tb)]]+(s_t/4))</f>
        <v>0.15999999999999998</v>
      </c>
      <c r="I69" s="3">
        <f t="shared" ref="I69:I132" si="10">H69-H68</f>
        <v>7.4074074074073626E-4</v>
      </c>
      <c r="J69" s="14">
        <f t="shared" si="7"/>
        <v>14.814814814814724</v>
      </c>
      <c r="M69" s="8">
        <v>2.9100000000000003E-3</v>
      </c>
      <c r="N69" s="16">
        <f>(-INDEX(Overview[b],3)+SQRT(POWER(INDEX(Overview[b],3),2)-(4*INDEX(Overview[a],3)*st_c[[#This Row],[c]])))/(2*INDEX(Overview[a],3))</f>
        <v>0.29484331538735792</v>
      </c>
      <c r="O69" s="3">
        <f t="shared" ref="O69:O78" si="11">N69-N68</f>
        <v>2.0820233507039543E-3</v>
      </c>
      <c r="P69" s="14">
        <f t="shared" si="8"/>
        <v>41.640467014079086</v>
      </c>
    </row>
    <row r="70" spans="1:16" x14ac:dyDescent="0.25">
      <c r="A70" s="2">
        <v>6.7000000000000002E-4</v>
      </c>
      <c r="B70" s="3" cm="1">
        <f t="array" ref="B70">SQRT((4*POWER(ttotal3,2)*st_a[[#This Row],[s(ta)]])/(9*s_t))</f>
        <v>0.10501812502783575</v>
      </c>
      <c r="C70" s="3">
        <f t="shared" si="9"/>
        <v>7.8666369842619877E-4</v>
      </c>
      <c r="D70" s="14">
        <f t="shared" si="6"/>
        <v>15.733273968523974</v>
      </c>
      <c r="G70" s="8">
        <v>1.42E-3</v>
      </c>
      <c r="H70" s="3" cm="1">
        <f t="array" ref="H70">((2*ttotal3)/(3*s_t))*(st_b[[#This Row],[s(tb)]]+(s_t/4))</f>
        <v>0.16074074074074071</v>
      </c>
      <c r="I70" s="3">
        <f t="shared" si="10"/>
        <v>7.4074074074073626E-4</v>
      </c>
      <c r="J70" s="14">
        <f t="shared" si="7"/>
        <v>14.814814814814724</v>
      </c>
      <c r="M70" s="8">
        <v>2.9200000000000003E-3</v>
      </c>
      <c r="N70" s="16">
        <f>(-INDEX(Overview[b],3)+SQRT(POWER(INDEX(Overview[b],3),2)-(4*INDEX(Overview[a],3)*st_c[[#This Row],[c]])))/(2*INDEX(Overview[a],3))</f>
        <v>0.2970445964032119</v>
      </c>
      <c r="O70" s="3">
        <f t="shared" si="11"/>
        <v>2.2012810158539842E-3</v>
      </c>
      <c r="P70" s="14">
        <f t="shared" si="8"/>
        <v>44.025620317079678</v>
      </c>
    </row>
    <row r="71" spans="1:16" x14ac:dyDescent="0.25">
      <c r="A71" s="2">
        <v>6.8000000000000005E-4</v>
      </c>
      <c r="B71" s="3" cm="1">
        <f t="array" ref="B71">SQRT((4*POWER(ttotal3,2)*st_a[[#This Row],[s(ta)]])/(9*s_t))</f>
        <v>0.1057989396821163</v>
      </c>
      <c r="C71" s="3">
        <f t="shared" si="9"/>
        <v>7.8081465428055108E-4</v>
      </c>
      <c r="D71" s="14">
        <f t="shared" si="6"/>
        <v>15.616293085611021</v>
      </c>
      <c r="G71" s="8">
        <v>1.4300000000000001E-3</v>
      </c>
      <c r="H71" s="3" cm="1">
        <f t="array" ref="H71">((2*ttotal3)/(3*s_t))*(st_b[[#This Row],[s(tb)]]+(s_t/4))</f>
        <v>0.16148148148148145</v>
      </c>
      <c r="I71" s="3">
        <f t="shared" si="10"/>
        <v>7.4074074074073626E-4</v>
      </c>
      <c r="J71" s="14">
        <f t="shared" si="7"/>
        <v>14.814814814814724</v>
      </c>
      <c r="M71" s="8">
        <v>2.9300000000000003E-3</v>
      </c>
      <c r="N71" s="16">
        <f>(-INDEX(Overview[b],3)+SQRT(POWER(INDEX(Overview[b],3),2)-(4*INDEX(Overview[a],3)*st_c[[#This Row],[c]])))/(2*INDEX(Overview[a],3))</f>
        <v>0.29938832818551186</v>
      </c>
      <c r="O71" s="3">
        <f t="shared" si="11"/>
        <v>2.3437317822999626E-3</v>
      </c>
      <c r="P71" s="14">
        <f t="shared" si="8"/>
        <v>46.874635645999248</v>
      </c>
    </row>
    <row r="72" spans="1:16" x14ac:dyDescent="0.25">
      <c r="A72" s="2">
        <v>6.9000000000000008E-4</v>
      </c>
      <c r="B72" s="3" cm="1">
        <f t="array" ref="B72">SQRT((4*POWER(ttotal3,2)*st_a[[#This Row],[s(ta)]])/(9*s_t))</f>
        <v>0.10657403385139377</v>
      </c>
      <c r="C72" s="3">
        <f t="shared" si="9"/>
        <v>7.7509416927747099E-4</v>
      </c>
      <c r="D72" s="14">
        <f t="shared" si="6"/>
        <v>15.501883385549419</v>
      </c>
      <c r="G72" s="8">
        <v>1.4400000000000001E-3</v>
      </c>
      <c r="H72" s="3" cm="1">
        <f t="array" ref="H72">((2*ttotal3)/(3*s_t))*(st_b[[#This Row],[s(tb)]]+(s_t/4))</f>
        <v>0.16222222222222221</v>
      </c>
      <c r="I72" s="3">
        <f t="shared" si="10"/>
        <v>7.4074074074076401E-4</v>
      </c>
      <c r="J72" s="14">
        <f t="shared" si="7"/>
        <v>14.81481481481528</v>
      </c>
      <c r="M72" s="8">
        <v>2.9400000000000003E-3</v>
      </c>
      <c r="N72" s="16">
        <f>(-INDEX(Overview[b],3)+SQRT(POWER(INDEX(Overview[b],3),2)-(4*INDEX(Overview[a],3)*st_c[[#This Row],[c]])))/(2*INDEX(Overview[a],3))</f>
        <v>0.30190636528059728</v>
      </c>
      <c r="O72" s="3">
        <f t="shared" si="11"/>
        <v>2.5180370950854125E-3</v>
      </c>
      <c r="P72" s="14">
        <f t="shared" si="8"/>
        <v>50.360741901708245</v>
      </c>
    </row>
    <row r="73" spans="1:16" x14ac:dyDescent="0.25">
      <c r="A73" s="2">
        <v>7.000000000000001E-4</v>
      </c>
      <c r="B73" s="3" cm="1">
        <f t="array" ref="B73">SQRT((4*POWER(ttotal3,2)*st_a[[#This Row],[s(ta)]])/(9*s_t))</f>
        <v>0.10734353145325511</v>
      </c>
      <c r="C73" s="3">
        <f t="shared" si="9"/>
        <v>7.6949760186133254E-4</v>
      </c>
      <c r="D73" s="14">
        <f t="shared" si="6"/>
        <v>15.389952037226649</v>
      </c>
      <c r="G73" s="8">
        <v>1.4500000000000001E-3</v>
      </c>
      <c r="H73" s="3" cm="1">
        <f t="array" ref="H73">((2*ttotal3)/(3*s_t))*(st_b[[#This Row],[s(tb)]]+(s_t/4))</f>
        <v>0.16296296296296295</v>
      </c>
      <c r="I73" s="3">
        <f t="shared" si="10"/>
        <v>7.4074074074073626E-4</v>
      </c>
      <c r="J73" s="14">
        <f t="shared" si="7"/>
        <v>14.814814814814724</v>
      </c>
      <c r="M73" s="8">
        <v>2.9500000000000004E-3</v>
      </c>
      <c r="N73" s="16">
        <f>(-INDEX(Overview[b],3)+SQRT(POWER(INDEX(Overview[b],3),2)-(4*INDEX(Overview[a],3)*st_c[[#This Row],[c]])))/(2*INDEX(Overview[a],3))</f>
        <v>0.3046445678058704</v>
      </c>
      <c r="O73" s="3">
        <f t="shared" si="11"/>
        <v>2.7382025252731257E-3</v>
      </c>
      <c r="P73" s="14">
        <f t="shared" si="8"/>
        <v>54.764050505462514</v>
      </c>
    </row>
    <row r="74" spans="1:16" x14ac:dyDescent="0.25">
      <c r="A74" s="2">
        <v>7.1000000000000002E-4</v>
      </c>
      <c r="B74" s="3" cm="1">
        <f t="array" ref="B74">SQRT((4*POWER(ttotal3,2)*st_a[[#This Row],[s(ta)]])/(9*s_t))</f>
        <v>0.10810755199501054</v>
      </c>
      <c r="C74" s="3">
        <f t="shared" si="9"/>
        <v>7.6402054175543632E-4</v>
      </c>
      <c r="D74" s="14">
        <f t="shared" si="6"/>
        <v>15.280410835108725</v>
      </c>
      <c r="G74" s="8">
        <v>1.4600000000000001E-3</v>
      </c>
      <c r="H74" s="3" cm="1">
        <f t="array" ref="H74">((2*ttotal3)/(3*s_t))*(st_b[[#This Row],[s(tb)]]+(s_t/4))</f>
        <v>0.16370370370370368</v>
      </c>
      <c r="I74" s="3">
        <f t="shared" si="10"/>
        <v>7.4074074074073626E-4</v>
      </c>
      <c r="J74" s="14">
        <f t="shared" si="7"/>
        <v>14.814814814814724</v>
      </c>
      <c r="M74" s="8">
        <v>2.9600000000000004E-3</v>
      </c>
      <c r="N74" s="16">
        <f>(-INDEX(Overview[b],3)+SQRT(POWER(INDEX(Overview[b],3),2)-(4*INDEX(Overview[a],3)*st_c[[#This Row],[c]])))/(2*INDEX(Overview[a],3))</f>
        <v>0.3076733213693495</v>
      </c>
      <c r="O74" s="3">
        <f t="shared" si="11"/>
        <v>3.0287535634790919E-3</v>
      </c>
      <c r="P74" s="14">
        <f t="shared" si="8"/>
        <v>60.575071269581834</v>
      </c>
    </row>
    <row r="75" spans="1:16" x14ac:dyDescent="0.25">
      <c r="A75" s="2">
        <v>7.2000000000000005E-4</v>
      </c>
      <c r="B75" s="3" cm="1">
        <f t="array" ref="B75">SQRT((4*POWER(ttotal3,2)*st_a[[#This Row],[s(ta)]])/(9*s_t))</f>
        <v>0.10886621079036347</v>
      </c>
      <c r="C75" s="3">
        <f t="shared" si="9"/>
        <v>7.5865879535293168E-4</v>
      </c>
      <c r="D75" s="14">
        <f t="shared" si="6"/>
        <v>15.173175907058633</v>
      </c>
      <c r="G75" s="8">
        <v>1.4700000000000002E-3</v>
      </c>
      <c r="H75" s="3" cm="1">
        <f t="array" ref="H75">((2*ttotal3)/(3*s_t))*(st_b[[#This Row],[s(tb)]]+(s_t/4))</f>
        <v>0.16444444444444442</v>
      </c>
      <c r="I75" s="3">
        <f t="shared" si="10"/>
        <v>7.4074074074073626E-4</v>
      </c>
      <c r="J75" s="14">
        <f t="shared" si="7"/>
        <v>14.814814814814724</v>
      </c>
      <c r="M75" s="8">
        <v>2.9700000000000004E-3</v>
      </c>
      <c r="N75" s="16">
        <f>(-INDEX(Overview[b],3)+SQRT(POWER(INDEX(Overview[b],3),2)-(4*INDEX(Overview[a],3)*st_c[[#This Row],[c]])))/(2*INDEX(Overview[a],3))</f>
        <v>0.31111111111111039</v>
      </c>
      <c r="O75" s="3">
        <f t="shared" si="11"/>
        <v>3.4377897417608994E-3</v>
      </c>
      <c r="P75" s="14">
        <f t="shared" si="8"/>
        <v>68.755794835217984</v>
      </c>
    </row>
    <row r="76" spans="1:16" x14ac:dyDescent="0.25">
      <c r="A76" s="2">
        <v>7.3000000000000007E-4</v>
      </c>
      <c r="B76" s="3" cm="1">
        <f t="array" ref="B76">SQRT((4*POWER(ttotal3,2)*st_a[[#This Row],[s(ta)]])/(9*s_t))</f>
        <v>0.10961961916258328</v>
      </c>
      <c r="C76" s="3">
        <f t="shared" si="9"/>
        <v>7.5340837221980761E-4</v>
      </c>
      <c r="D76" s="14">
        <f t="shared" si="6"/>
        <v>15.068167444396151</v>
      </c>
      <c r="G76" s="8">
        <v>1.4800000000000002E-3</v>
      </c>
      <c r="H76" s="3" cm="1">
        <f t="array" ref="H76">((2*ttotal3)/(3*s_t))*(st_b[[#This Row],[s(tb)]]+(s_t/4))</f>
        <v>0.16518518518518518</v>
      </c>
      <c r="I76" s="3">
        <f t="shared" si="10"/>
        <v>7.4074074074076401E-4</v>
      </c>
      <c r="J76" s="14">
        <f t="shared" si="7"/>
        <v>14.81481481481528</v>
      </c>
      <c r="M76" s="8">
        <v>2.9800000000000004E-3</v>
      </c>
      <c r="N76" s="16">
        <f>(-INDEX(Overview[b],3)+SQRT(POWER(INDEX(Overview[b],3),2)-(4*INDEX(Overview[a],3)*st_c[[#This Row],[c]])))/(2*INDEX(Overview[a],3))</f>
        <v>0.31518896486827164</v>
      </c>
      <c r="O76" s="3">
        <f t="shared" si="11"/>
        <v>4.0778537571612428E-3</v>
      </c>
      <c r="P76" s="14">
        <f t="shared" si="8"/>
        <v>81.55707514322485</v>
      </c>
    </row>
    <row r="77" spans="1:16" x14ac:dyDescent="0.25">
      <c r="A77" s="2">
        <v>7.400000000000001E-4</v>
      </c>
      <c r="B77" s="3" cm="1">
        <f t="array" ref="B77">SQRT((4*POWER(ttotal3,2)*st_a[[#This Row],[s(ta)]])/(9*s_t))</f>
        <v>0.11036788463519512</v>
      </c>
      <c r="C77" s="3">
        <f t="shared" si="9"/>
        <v>7.4826547261183651E-4</v>
      </c>
      <c r="D77" s="14">
        <f t="shared" si="6"/>
        <v>14.965309452236729</v>
      </c>
      <c r="G77" s="8">
        <v>1.4900000000000002E-3</v>
      </c>
      <c r="H77" s="3" cm="1">
        <f t="array" ref="H77">((2*ttotal3)/(3*s_t))*(st_b[[#This Row],[s(tb)]]+(s_t/4))</f>
        <v>0.16592592592592592</v>
      </c>
      <c r="I77" s="3">
        <f t="shared" si="10"/>
        <v>7.4074074074073626E-4</v>
      </c>
      <c r="J77" s="14">
        <f t="shared" si="7"/>
        <v>14.814814814814724</v>
      </c>
      <c r="M77" s="8">
        <v>2.99E-3</v>
      </c>
      <c r="N77" s="16">
        <f>(-INDEX(Overview[b],3)+SQRT(POWER(INDEX(Overview[b],3),2)-(4*INDEX(Overview[a],3)*st_c[[#This Row],[c]])))/(2*INDEX(Overview[a],3))</f>
        <v>0.32050332735134029</v>
      </c>
      <c r="O77" s="3">
        <f t="shared" si="11"/>
        <v>5.3143624830686575E-3</v>
      </c>
      <c r="P77" s="14">
        <f t="shared" si="8"/>
        <v>106.28724966137315</v>
      </c>
    </row>
    <row r="78" spans="1:16" x14ac:dyDescent="0.25">
      <c r="A78" s="2">
        <v>7.5000000000000002E-4</v>
      </c>
      <c r="B78" s="3" cm="1">
        <f t="array" ref="B78">SQRT((4*POWER(ttotal3,2)*st_a[[#This Row],[s(ta)]])/(9*s_t))</f>
        <v>0.1111111111111111</v>
      </c>
      <c r="C78" s="3">
        <f t="shared" si="9"/>
        <v>7.4322647591598678E-4</v>
      </c>
      <c r="D78" s="14">
        <f t="shared" si="6"/>
        <v>14.864529518319735</v>
      </c>
      <c r="G78" s="8">
        <v>1.5E-3</v>
      </c>
      <c r="H78" s="3" cm="1">
        <f t="array" ref="H78">((2*ttotal3)/(3*s_t))*(st_b[[#This Row],[s(tb)]]+(s_t/4))</f>
        <v>0.16666666666666666</v>
      </c>
      <c r="I78" s="3">
        <f t="shared" si="10"/>
        <v>7.4074074074073626E-4</v>
      </c>
      <c r="J78" s="14">
        <f t="shared" si="7"/>
        <v>14.814814814814724</v>
      </c>
      <c r="M78" s="8">
        <v>3.0000000000000001E-3</v>
      </c>
      <c r="N78" s="16">
        <f>(-INDEX(Overview[b],3)+SQRT(POWER(INDEX(Overview[b],3),2)-(4*INDEX(Overview[a],3)*st_c[[#This Row],[c]])))/(2*INDEX(Overview[a],3))</f>
        <v>0.33333332791321396</v>
      </c>
      <c r="O78" s="3">
        <f t="shared" si="11"/>
        <v>1.2830000561873667E-2</v>
      </c>
      <c r="P78" s="14">
        <f t="shared" si="8"/>
        <v>256.60001123747332</v>
      </c>
    </row>
    <row r="79" spans="1:16" x14ac:dyDescent="0.25">
      <c r="G79" s="8">
        <v>1.5100000000000001E-3</v>
      </c>
      <c r="H79" s="3" cm="1">
        <f t="array" ref="H79">((2*ttotal3)/(3*s_t))*(st_b[[#This Row],[s(tb)]]+(s_t/4))</f>
        <v>0.16740740740740737</v>
      </c>
      <c r="I79" s="3">
        <f t="shared" si="10"/>
        <v>7.407407407407085E-4</v>
      </c>
      <c r="J79" s="14">
        <f t="shared" si="7"/>
        <v>14.81481481481417</v>
      </c>
    </row>
    <row r="80" spans="1:16" x14ac:dyDescent="0.25">
      <c r="G80" s="8">
        <v>1.5200000000000001E-3</v>
      </c>
      <c r="H80" s="3" cm="1">
        <f t="array" ref="H80">((2*ttotal3)/(3*s_t))*(st_b[[#This Row],[s(tb)]]+(s_t/4))</f>
        <v>0.16814814814814816</v>
      </c>
      <c r="I80" s="3">
        <f t="shared" si="10"/>
        <v>7.4074074074079177E-4</v>
      </c>
      <c r="J80" s="14">
        <f t="shared" si="7"/>
        <v>14.814814814815835</v>
      </c>
    </row>
    <row r="81" spans="7:10" x14ac:dyDescent="0.25">
      <c r="G81" s="8">
        <v>1.5300000000000001E-3</v>
      </c>
      <c r="H81" s="3" cm="1">
        <f t="array" ref="H81">((2*ttotal3)/(3*s_t))*(st_b[[#This Row],[s(tb)]]+(s_t/4))</f>
        <v>0.16888888888888887</v>
      </c>
      <c r="I81" s="3">
        <f t="shared" si="10"/>
        <v>7.407407407407085E-4</v>
      </c>
      <c r="J81" s="14">
        <f t="shared" si="7"/>
        <v>14.81481481481417</v>
      </c>
    </row>
    <row r="82" spans="7:10" x14ac:dyDescent="0.25">
      <c r="G82" s="8">
        <v>1.5400000000000001E-3</v>
      </c>
      <c r="H82" s="3" cm="1">
        <f t="array" ref="H82">((2*ttotal3)/(3*s_t))*(st_b[[#This Row],[s(tb)]]+(s_t/4))</f>
        <v>0.16962962962962963</v>
      </c>
      <c r="I82" s="3">
        <f t="shared" si="10"/>
        <v>7.4074074074076401E-4</v>
      </c>
      <c r="J82" s="14">
        <f t="shared" si="7"/>
        <v>14.81481481481528</v>
      </c>
    </row>
    <row r="83" spans="7:10" x14ac:dyDescent="0.25">
      <c r="G83" s="8">
        <v>1.5500000000000002E-3</v>
      </c>
      <c r="H83" s="3" cm="1">
        <f t="array" ref="H83">((2*ttotal3)/(3*s_t))*(st_b[[#This Row],[s(tb)]]+(s_t/4))</f>
        <v>0.17037037037037034</v>
      </c>
      <c r="I83" s="3">
        <f t="shared" si="10"/>
        <v>7.407407407407085E-4</v>
      </c>
      <c r="J83" s="14">
        <f t="shared" si="7"/>
        <v>14.81481481481417</v>
      </c>
    </row>
    <row r="84" spans="7:10" x14ac:dyDescent="0.25">
      <c r="G84" s="8">
        <v>1.5600000000000002E-3</v>
      </c>
      <c r="H84" s="3" cm="1">
        <f t="array" ref="H84">((2*ttotal3)/(3*s_t))*(st_b[[#This Row],[s(tb)]]+(s_t/4))</f>
        <v>0.1711111111111111</v>
      </c>
      <c r="I84" s="3">
        <f t="shared" si="10"/>
        <v>7.4074074074076401E-4</v>
      </c>
      <c r="J84" s="14">
        <f t="shared" si="7"/>
        <v>14.81481481481528</v>
      </c>
    </row>
    <row r="85" spans="7:10" x14ac:dyDescent="0.25">
      <c r="G85" s="8">
        <v>1.5700000000000002E-3</v>
      </c>
      <c r="H85" s="3" cm="1">
        <f t="array" ref="H85">((2*ttotal3)/(3*s_t))*(st_b[[#This Row],[s(tb)]]+(s_t/4))</f>
        <v>0.17185185185185181</v>
      </c>
      <c r="I85" s="3">
        <f t="shared" si="10"/>
        <v>7.407407407407085E-4</v>
      </c>
      <c r="J85" s="14">
        <f t="shared" si="7"/>
        <v>14.81481481481417</v>
      </c>
    </row>
    <row r="86" spans="7:10" x14ac:dyDescent="0.25">
      <c r="G86" s="8">
        <v>1.58E-3</v>
      </c>
      <c r="H86" s="3" cm="1">
        <f t="array" ref="H86">((2*ttotal3)/(3*s_t))*(st_b[[#This Row],[s(tb)]]+(s_t/4))</f>
        <v>0.17259259259259258</v>
      </c>
      <c r="I86" s="3">
        <f t="shared" si="10"/>
        <v>7.4074074074076401E-4</v>
      </c>
      <c r="J86" s="14">
        <f t="shared" si="7"/>
        <v>14.81481481481528</v>
      </c>
    </row>
    <row r="87" spans="7:10" x14ac:dyDescent="0.25">
      <c r="G87" s="8">
        <v>1.5900000000000001E-3</v>
      </c>
      <c r="H87" s="3" cm="1">
        <f t="array" ref="H87">((2*ttotal3)/(3*s_t))*(st_b[[#This Row],[s(tb)]]+(s_t/4))</f>
        <v>0.17333333333333331</v>
      </c>
      <c r="I87" s="3">
        <f t="shared" si="10"/>
        <v>7.4074074074073626E-4</v>
      </c>
      <c r="J87" s="14">
        <f t="shared" si="7"/>
        <v>14.814814814814724</v>
      </c>
    </row>
    <row r="88" spans="7:10" x14ac:dyDescent="0.25">
      <c r="G88" s="8">
        <v>1.6000000000000001E-3</v>
      </c>
      <c r="H88" s="3" cm="1">
        <f t="array" ref="H88">((2*ttotal3)/(3*s_t))*(st_b[[#This Row],[s(tb)]]+(s_t/4))</f>
        <v>0.17407407407407405</v>
      </c>
      <c r="I88" s="3">
        <f t="shared" si="10"/>
        <v>7.4074074074073626E-4</v>
      </c>
      <c r="J88" s="14">
        <f t="shared" si="7"/>
        <v>14.814814814814724</v>
      </c>
    </row>
    <row r="89" spans="7:10" x14ac:dyDescent="0.25">
      <c r="G89" s="8">
        <v>1.6100000000000001E-3</v>
      </c>
      <c r="H89" s="3" cm="1">
        <f t="array" ref="H89">((2*ttotal3)/(3*s_t))*(st_b[[#This Row],[s(tb)]]+(s_t/4))</f>
        <v>0.17481481481481478</v>
      </c>
      <c r="I89" s="3">
        <f t="shared" si="10"/>
        <v>7.4074074074073626E-4</v>
      </c>
      <c r="J89" s="14">
        <f t="shared" si="7"/>
        <v>14.814814814814724</v>
      </c>
    </row>
    <row r="90" spans="7:10" x14ac:dyDescent="0.25">
      <c r="G90" s="8">
        <v>1.6200000000000001E-3</v>
      </c>
      <c r="H90" s="3" cm="1">
        <f t="array" ref="H90">((2*ttotal3)/(3*s_t))*(st_b[[#This Row],[s(tb)]]+(s_t/4))</f>
        <v>0.17555555555555555</v>
      </c>
      <c r="I90" s="3">
        <f t="shared" si="10"/>
        <v>7.4074074074076401E-4</v>
      </c>
      <c r="J90" s="14">
        <f t="shared" si="7"/>
        <v>14.81481481481528</v>
      </c>
    </row>
    <row r="91" spans="7:10" x14ac:dyDescent="0.25">
      <c r="G91" s="8">
        <v>1.6300000000000002E-3</v>
      </c>
      <c r="H91" s="3" cm="1">
        <f t="array" ref="H91">((2*ttotal3)/(3*s_t))*(st_b[[#This Row],[s(tb)]]+(s_t/4))</f>
        <v>0.17629629629629628</v>
      </c>
      <c r="I91" s="3">
        <f t="shared" si="10"/>
        <v>7.4074074074073626E-4</v>
      </c>
      <c r="J91" s="14">
        <f t="shared" si="7"/>
        <v>14.814814814814724</v>
      </c>
    </row>
    <row r="92" spans="7:10" x14ac:dyDescent="0.25">
      <c r="G92" s="8">
        <v>1.6400000000000002E-3</v>
      </c>
      <c r="H92" s="3" cm="1">
        <f t="array" ref="H92">((2*ttotal3)/(3*s_t))*(st_b[[#This Row],[s(tb)]]+(s_t/4))</f>
        <v>0.17703703703703702</v>
      </c>
      <c r="I92" s="3">
        <f t="shared" si="10"/>
        <v>7.4074074074073626E-4</v>
      </c>
      <c r="J92" s="14">
        <f t="shared" si="7"/>
        <v>14.814814814814724</v>
      </c>
    </row>
    <row r="93" spans="7:10" x14ac:dyDescent="0.25">
      <c r="G93" s="8">
        <v>1.6500000000000002E-3</v>
      </c>
      <c r="H93" s="3" cm="1">
        <f t="array" ref="H93">((2*ttotal3)/(3*s_t))*(st_b[[#This Row],[s(tb)]]+(s_t/4))</f>
        <v>0.17777777777777776</v>
      </c>
      <c r="I93" s="3">
        <f t="shared" si="10"/>
        <v>7.4074074074073626E-4</v>
      </c>
      <c r="J93" s="14">
        <f t="shared" si="7"/>
        <v>14.814814814814724</v>
      </c>
    </row>
    <row r="94" spans="7:10" x14ac:dyDescent="0.25">
      <c r="G94" s="8">
        <v>1.6600000000000002E-3</v>
      </c>
      <c r="H94" s="3" cm="1">
        <f t="array" ref="H94">((2*ttotal3)/(3*s_t))*(st_b[[#This Row],[s(tb)]]+(s_t/4))</f>
        <v>0.17851851851851852</v>
      </c>
      <c r="I94" s="3">
        <f t="shared" si="10"/>
        <v>7.4074074074076401E-4</v>
      </c>
      <c r="J94" s="14">
        <f t="shared" si="7"/>
        <v>14.81481481481528</v>
      </c>
    </row>
    <row r="95" spans="7:10" x14ac:dyDescent="0.25">
      <c r="G95" s="8">
        <v>1.67E-3</v>
      </c>
      <c r="H95" s="3" cm="1">
        <f t="array" ref="H95">((2*ttotal3)/(3*s_t))*(st_b[[#This Row],[s(tb)]]+(s_t/4))</f>
        <v>0.17925925925925926</v>
      </c>
      <c r="I95" s="3">
        <f t="shared" si="10"/>
        <v>7.4074074074073626E-4</v>
      </c>
      <c r="J95" s="14">
        <f t="shared" si="7"/>
        <v>14.814814814814724</v>
      </c>
    </row>
    <row r="96" spans="7:10" x14ac:dyDescent="0.25">
      <c r="G96" s="8">
        <v>1.6800000000000001E-3</v>
      </c>
      <c r="H96" s="3" cm="1">
        <f t="array" ref="H96">((2*ttotal3)/(3*s_t))*(st_b[[#This Row],[s(tb)]]+(s_t/4))</f>
        <v>0.17999999999999997</v>
      </c>
      <c r="I96" s="3">
        <f t="shared" si="10"/>
        <v>7.407407407407085E-4</v>
      </c>
      <c r="J96" s="14">
        <f t="shared" si="7"/>
        <v>14.81481481481417</v>
      </c>
    </row>
    <row r="97" spans="7:10" x14ac:dyDescent="0.25">
      <c r="G97" s="8">
        <v>1.6900000000000001E-3</v>
      </c>
      <c r="H97" s="3" cm="1">
        <f t="array" ref="H97">((2*ttotal3)/(3*s_t))*(st_b[[#This Row],[s(tb)]]+(s_t/4))</f>
        <v>0.18074074074074073</v>
      </c>
      <c r="I97" s="3">
        <f t="shared" si="10"/>
        <v>7.4074074074076401E-4</v>
      </c>
      <c r="J97" s="14">
        <f t="shared" si="7"/>
        <v>14.81481481481528</v>
      </c>
    </row>
    <row r="98" spans="7:10" x14ac:dyDescent="0.25">
      <c r="G98" s="8">
        <v>1.7000000000000001E-3</v>
      </c>
      <c r="H98" s="3" cm="1">
        <f t="array" ref="H98">((2*ttotal3)/(3*s_t))*(st_b[[#This Row],[s(tb)]]+(s_t/4))</f>
        <v>0.18148148148148144</v>
      </c>
      <c r="I98" s="3">
        <f t="shared" si="10"/>
        <v>7.407407407407085E-4</v>
      </c>
      <c r="J98" s="14">
        <f t="shared" si="7"/>
        <v>14.81481481481417</v>
      </c>
    </row>
    <row r="99" spans="7:10" x14ac:dyDescent="0.25">
      <c r="G99" s="8">
        <v>1.7100000000000001E-3</v>
      </c>
      <c r="H99" s="3" cm="1">
        <f t="array" ref="H99">((2*ttotal3)/(3*s_t))*(st_b[[#This Row],[s(tb)]]+(s_t/4))</f>
        <v>0.18222222222222223</v>
      </c>
      <c r="I99" s="3">
        <f t="shared" si="10"/>
        <v>7.4074074074079177E-4</v>
      </c>
      <c r="J99" s="14">
        <f t="shared" si="7"/>
        <v>14.814814814815835</v>
      </c>
    </row>
    <row r="100" spans="7:10" x14ac:dyDescent="0.25">
      <c r="G100" s="8">
        <v>1.7200000000000002E-3</v>
      </c>
      <c r="H100" s="3" cm="1">
        <f t="array" ref="H100">((2*ttotal3)/(3*s_t))*(st_b[[#This Row],[s(tb)]]+(s_t/4))</f>
        <v>0.18296296296296294</v>
      </c>
      <c r="I100" s="3">
        <f t="shared" si="10"/>
        <v>7.407407407407085E-4</v>
      </c>
      <c r="J100" s="14">
        <f t="shared" si="7"/>
        <v>14.81481481481417</v>
      </c>
    </row>
    <row r="101" spans="7:10" x14ac:dyDescent="0.25">
      <c r="G101" s="8">
        <v>1.7300000000000002E-3</v>
      </c>
      <c r="H101" s="3" cm="1">
        <f t="array" ref="H101">((2*ttotal3)/(3*s_t))*(st_b[[#This Row],[s(tb)]]+(s_t/4))</f>
        <v>0.1837037037037037</v>
      </c>
      <c r="I101" s="3">
        <f t="shared" si="10"/>
        <v>7.4074074074076401E-4</v>
      </c>
      <c r="J101" s="14">
        <f t="shared" si="7"/>
        <v>14.81481481481528</v>
      </c>
    </row>
    <row r="102" spans="7:10" x14ac:dyDescent="0.25">
      <c r="G102" s="8">
        <v>1.7400000000000002E-3</v>
      </c>
      <c r="H102" s="3" cm="1">
        <f t="array" ref="H102">((2*ttotal3)/(3*s_t))*(st_b[[#This Row],[s(tb)]]+(s_t/4))</f>
        <v>0.18444444444444441</v>
      </c>
      <c r="I102" s="3">
        <f t="shared" si="10"/>
        <v>7.407407407407085E-4</v>
      </c>
      <c r="J102" s="14">
        <f t="shared" si="7"/>
        <v>14.81481481481417</v>
      </c>
    </row>
    <row r="103" spans="7:10" x14ac:dyDescent="0.25">
      <c r="G103" s="8">
        <v>1.75E-3</v>
      </c>
      <c r="H103" s="3" cm="1">
        <f t="array" ref="H103">((2*ttotal3)/(3*s_t))*(st_b[[#This Row],[s(tb)]]+(s_t/4))</f>
        <v>0.18518518518518515</v>
      </c>
      <c r="I103" s="3">
        <f t="shared" si="10"/>
        <v>7.4074074074073626E-4</v>
      </c>
      <c r="J103" s="14">
        <f t="shared" si="7"/>
        <v>14.814814814814724</v>
      </c>
    </row>
    <row r="104" spans="7:10" x14ac:dyDescent="0.25">
      <c r="G104" s="8">
        <v>1.7600000000000001E-3</v>
      </c>
      <c r="H104" s="3" cm="1">
        <f t="array" ref="H104">((2*ttotal3)/(3*s_t))*(st_b[[#This Row],[s(tb)]]+(s_t/4))</f>
        <v>0.18592592592592591</v>
      </c>
      <c r="I104" s="3">
        <f t="shared" si="10"/>
        <v>7.4074074074076401E-4</v>
      </c>
      <c r="J104" s="14">
        <f t="shared" si="7"/>
        <v>14.81481481481528</v>
      </c>
    </row>
    <row r="105" spans="7:10" x14ac:dyDescent="0.25">
      <c r="G105" s="8">
        <v>1.7700000000000001E-3</v>
      </c>
      <c r="H105" s="3" cm="1">
        <f t="array" ref="H105">((2*ttotal3)/(3*s_t))*(st_b[[#This Row],[s(tb)]]+(s_t/4))</f>
        <v>0.18666666666666665</v>
      </c>
      <c r="I105" s="3">
        <f t="shared" si="10"/>
        <v>7.4074074074073626E-4</v>
      </c>
      <c r="J105" s="14">
        <f t="shared" si="7"/>
        <v>14.814814814814724</v>
      </c>
    </row>
    <row r="106" spans="7:10" x14ac:dyDescent="0.25">
      <c r="G106" s="8">
        <v>1.7800000000000001E-3</v>
      </c>
      <c r="H106" s="3" cm="1">
        <f t="array" ref="H106">((2*ttotal3)/(3*s_t))*(st_b[[#This Row],[s(tb)]]+(s_t/4))</f>
        <v>0.18740740740740738</v>
      </c>
      <c r="I106" s="3">
        <f t="shared" si="10"/>
        <v>7.4074074074073626E-4</v>
      </c>
      <c r="J106" s="14">
        <f t="shared" si="7"/>
        <v>14.814814814814724</v>
      </c>
    </row>
    <row r="107" spans="7:10" x14ac:dyDescent="0.25">
      <c r="G107" s="8">
        <v>1.7900000000000001E-3</v>
      </c>
      <c r="H107" s="3" cm="1">
        <f t="array" ref="H107">((2*ttotal3)/(3*s_t))*(st_b[[#This Row],[s(tb)]]+(s_t/4))</f>
        <v>0.18814814814814812</v>
      </c>
      <c r="I107" s="3">
        <f t="shared" si="10"/>
        <v>7.4074074074073626E-4</v>
      </c>
      <c r="J107" s="14">
        <f t="shared" si="7"/>
        <v>14.814814814814724</v>
      </c>
    </row>
    <row r="108" spans="7:10" x14ac:dyDescent="0.25">
      <c r="G108" s="8">
        <v>1.8000000000000002E-3</v>
      </c>
      <c r="H108" s="3" cm="1">
        <f t="array" ref="H108">((2*ttotal3)/(3*s_t))*(st_b[[#This Row],[s(tb)]]+(s_t/4))</f>
        <v>0.18888888888888888</v>
      </c>
      <c r="I108" s="3">
        <f t="shared" si="10"/>
        <v>7.4074074074076401E-4</v>
      </c>
      <c r="J108" s="14">
        <f t="shared" si="7"/>
        <v>14.81481481481528</v>
      </c>
    </row>
    <row r="109" spans="7:10" x14ac:dyDescent="0.25">
      <c r="G109" s="8">
        <v>1.8100000000000002E-3</v>
      </c>
      <c r="H109" s="3" cm="1">
        <f t="array" ref="H109">((2*ttotal3)/(3*s_t))*(st_b[[#This Row],[s(tb)]]+(s_t/4))</f>
        <v>0.18962962962962962</v>
      </c>
      <c r="I109" s="3">
        <f t="shared" si="10"/>
        <v>7.4074074074073626E-4</v>
      </c>
      <c r="J109" s="14">
        <f t="shared" si="7"/>
        <v>14.814814814814724</v>
      </c>
    </row>
    <row r="110" spans="7:10" x14ac:dyDescent="0.25">
      <c r="G110" s="8">
        <v>1.8200000000000002E-3</v>
      </c>
      <c r="H110" s="3" cm="1">
        <f t="array" ref="H110">((2*ttotal3)/(3*s_t))*(st_b[[#This Row],[s(tb)]]+(s_t/4))</f>
        <v>0.19037037037037036</v>
      </c>
      <c r="I110" s="3">
        <f t="shared" si="10"/>
        <v>7.4074074074073626E-4</v>
      </c>
      <c r="J110" s="14">
        <f t="shared" si="7"/>
        <v>14.814814814814724</v>
      </c>
    </row>
    <row r="111" spans="7:10" x14ac:dyDescent="0.25">
      <c r="G111" s="8">
        <v>1.8300000000000002E-3</v>
      </c>
      <c r="H111" s="3" cm="1">
        <f t="array" ref="H111">((2*ttotal3)/(3*s_t))*(st_b[[#This Row],[s(tb)]]+(s_t/4))</f>
        <v>0.19111111111111109</v>
      </c>
      <c r="I111" s="3">
        <f t="shared" si="10"/>
        <v>7.4074074074073626E-4</v>
      </c>
      <c r="J111" s="14">
        <f t="shared" si="7"/>
        <v>14.814814814814724</v>
      </c>
    </row>
    <row r="112" spans="7:10" x14ac:dyDescent="0.25">
      <c r="G112" s="8">
        <v>1.8400000000000001E-3</v>
      </c>
      <c r="H112" s="3" cm="1">
        <f t="array" ref="H112">((2*ttotal3)/(3*s_t))*(st_b[[#This Row],[s(tb)]]+(s_t/4))</f>
        <v>0.19185185185185183</v>
      </c>
      <c r="I112" s="3">
        <f t="shared" si="10"/>
        <v>7.4074074074073626E-4</v>
      </c>
      <c r="J112" s="14">
        <f t="shared" si="7"/>
        <v>14.814814814814724</v>
      </c>
    </row>
    <row r="113" spans="7:10" x14ac:dyDescent="0.25">
      <c r="G113" s="8">
        <v>1.8500000000000001E-3</v>
      </c>
      <c r="H113" s="3" cm="1">
        <f t="array" ref="H113">((2*ttotal3)/(3*s_t))*(st_b[[#This Row],[s(tb)]]+(s_t/4))</f>
        <v>0.19259259259259257</v>
      </c>
      <c r="I113" s="3">
        <f t="shared" si="10"/>
        <v>7.4074074074073626E-4</v>
      </c>
      <c r="J113" s="14">
        <f t="shared" si="7"/>
        <v>14.814814814814724</v>
      </c>
    </row>
    <row r="114" spans="7:10" x14ac:dyDescent="0.25">
      <c r="G114" s="8">
        <v>1.8600000000000001E-3</v>
      </c>
      <c r="H114" s="3" cm="1">
        <f t="array" ref="H114">((2*ttotal3)/(3*s_t))*(st_b[[#This Row],[s(tb)]]+(s_t/4))</f>
        <v>0.19333333333333333</v>
      </c>
      <c r="I114" s="3">
        <f t="shared" si="10"/>
        <v>7.4074074074076401E-4</v>
      </c>
      <c r="J114" s="14">
        <f t="shared" si="7"/>
        <v>14.81481481481528</v>
      </c>
    </row>
    <row r="115" spans="7:10" x14ac:dyDescent="0.25">
      <c r="G115" s="8">
        <v>1.8700000000000001E-3</v>
      </c>
      <c r="H115" s="3" cm="1">
        <f t="array" ref="H115">((2*ttotal3)/(3*s_t))*(st_b[[#This Row],[s(tb)]]+(s_t/4))</f>
        <v>0.19407407407407404</v>
      </c>
      <c r="I115" s="3">
        <f t="shared" si="10"/>
        <v>7.407407407407085E-4</v>
      </c>
      <c r="J115" s="14">
        <f t="shared" si="7"/>
        <v>14.81481481481417</v>
      </c>
    </row>
    <row r="116" spans="7:10" x14ac:dyDescent="0.25">
      <c r="G116" s="8">
        <v>1.8800000000000002E-3</v>
      </c>
      <c r="H116" s="3" cm="1">
        <f t="array" ref="H116">((2*ttotal3)/(3*s_t))*(st_b[[#This Row],[s(tb)]]+(s_t/4))</f>
        <v>0.1948148148148148</v>
      </c>
      <c r="I116" s="3">
        <f t="shared" si="10"/>
        <v>7.4074074074076401E-4</v>
      </c>
      <c r="J116" s="14">
        <f t="shared" si="7"/>
        <v>14.81481481481528</v>
      </c>
    </row>
    <row r="117" spans="7:10" x14ac:dyDescent="0.25">
      <c r="G117" s="8">
        <v>1.8900000000000002E-3</v>
      </c>
      <c r="H117" s="3" cm="1">
        <f t="array" ref="H117">((2*ttotal3)/(3*s_t))*(st_b[[#This Row],[s(tb)]]+(s_t/4))</f>
        <v>0.19555555555555551</v>
      </c>
      <c r="I117" s="3">
        <f t="shared" si="10"/>
        <v>7.407407407407085E-4</v>
      </c>
      <c r="J117" s="14">
        <f t="shared" si="7"/>
        <v>14.81481481481417</v>
      </c>
    </row>
    <row r="118" spans="7:10" x14ac:dyDescent="0.25">
      <c r="G118" s="8">
        <v>1.9000000000000002E-3</v>
      </c>
      <c r="H118" s="3" cm="1">
        <f t="array" ref="H118">((2*ttotal3)/(3*s_t))*(st_b[[#This Row],[s(tb)]]+(s_t/4))</f>
        <v>0.1962962962962963</v>
      </c>
      <c r="I118" s="3">
        <f t="shared" si="10"/>
        <v>7.4074074074079177E-4</v>
      </c>
      <c r="J118" s="14">
        <f t="shared" si="7"/>
        <v>14.814814814815835</v>
      </c>
    </row>
    <row r="119" spans="7:10" x14ac:dyDescent="0.25">
      <c r="G119" s="8">
        <v>1.9100000000000002E-3</v>
      </c>
      <c r="H119" s="3" cm="1">
        <f t="array" ref="H119">((2*ttotal3)/(3*s_t))*(st_b[[#This Row],[s(tb)]]+(s_t/4))</f>
        <v>0.19703703703703701</v>
      </c>
      <c r="I119" s="3">
        <f t="shared" si="10"/>
        <v>7.407407407407085E-4</v>
      </c>
      <c r="J119" s="14">
        <f t="shared" si="7"/>
        <v>14.81481481481417</v>
      </c>
    </row>
    <row r="120" spans="7:10" x14ac:dyDescent="0.25">
      <c r="G120" s="8">
        <v>1.9200000000000003E-3</v>
      </c>
      <c r="H120" s="3" cm="1">
        <f t="array" ref="H120">((2*ttotal3)/(3*s_t))*(st_b[[#This Row],[s(tb)]]+(s_t/4))</f>
        <v>0.19777777777777777</v>
      </c>
      <c r="I120" s="3">
        <f t="shared" si="10"/>
        <v>7.4074074074076401E-4</v>
      </c>
      <c r="J120" s="14">
        <f t="shared" si="7"/>
        <v>14.81481481481528</v>
      </c>
    </row>
    <row r="121" spans="7:10" x14ac:dyDescent="0.25">
      <c r="G121" s="8">
        <v>1.9300000000000001E-3</v>
      </c>
      <c r="H121" s="3" cm="1">
        <f t="array" ref="H121">((2*ttotal3)/(3*s_t))*(st_b[[#This Row],[s(tb)]]+(s_t/4))</f>
        <v>0.19851851851851848</v>
      </c>
      <c r="I121" s="3">
        <f t="shared" si="10"/>
        <v>7.407407407407085E-4</v>
      </c>
      <c r="J121" s="14">
        <f t="shared" si="7"/>
        <v>14.81481481481417</v>
      </c>
    </row>
    <row r="122" spans="7:10" x14ac:dyDescent="0.25">
      <c r="G122" s="8">
        <v>1.9400000000000001E-3</v>
      </c>
      <c r="H122" s="3" cm="1">
        <f t="array" ref="H122">((2*ttotal3)/(3*s_t))*(st_b[[#This Row],[s(tb)]]+(s_t/4))</f>
        <v>0.19925925925925925</v>
      </c>
      <c r="I122" s="3">
        <f t="shared" si="10"/>
        <v>7.4074074074076401E-4</v>
      </c>
      <c r="J122" s="14">
        <f t="shared" si="7"/>
        <v>14.81481481481528</v>
      </c>
    </row>
    <row r="123" spans="7:10" x14ac:dyDescent="0.25">
      <c r="G123" s="8">
        <v>1.9500000000000001E-3</v>
      </c>
      <c r="H123" s="3" cm="1">
        <f t="array" ref="H123">((2*ttotal3)/(3*s_t))*(st_b[[#This Row],[s(tb)]]+(s_t/4))</f>
        <v>0.19999999999999998</v>
      </c>
      <c r="I123" s="3">
        <f t="shared" si="10"/>
        <v>7.4074074074073626E-4</v>
      </c>
      <c r="J123" s="14">
        <f t="shared" si="7"/>
        <v>14.814814814814724</v>
      </c>
    </row>
    <row r="124" spans="7:10" x14ac:dyDescent="0.25">
      <c r="G124" s="8">
        <v>1.9600000000000004E-3</v>
      </c>
      <c r="H124" s="3" cm="1">
        <f t="array" ref="H124">((2*ttotal3)/(3*s_t))*(st_b[[#This Row],[s(tb)]]+(s_t/4))</f>
        <v>0.20074074074074075</v>
      </c>
      <c r="I124" s="3">
        <f t="shared" si="10"/>
        <v>7.4074074074076401E-4</v>
      </c>
      <c r="J124" s="14">
        <f t="shared" si="7"/>
        <v>14.81481481481528</v>
      </c>
    </row>
    <row r="125" spans="7:10" x14ac:dyDescent="0.25">
      <c r="G125" s="8">
        <v>1.97E-3</v>
      </c>
      <c r="H125" s="3" cm="1">
        <f t="array" ref="H125">((2*ttotal3)/(3*s_t))*(st_b[[#This Row],[s(tb)]]+(s_t/4))</f>
        <v>0.20148148148148146</v>
      </c>
      <c r="I125" s="3">
        <f t="shared" si="10"/>
        <v>7.407407407407085E-4</v>
      </c>
      <c r="J125" s="14">
        <f t="shared" si="7"/>
        <v>14.81481481481417</v>
      </c>
    </row>
    <row r="126" spans="7:10" x14ac:dyDescent="0.25">
      <c r="G126" s="8">
        <v>1.98E-3</v>
      </c>
      <c r="H126" s="3" cm="1">
        <f t="array" ref="H126">((2*ttotal3)/(3*s_t))*(st_b[[#This Row],[s(tb)]]+(s_t/4))</f>
        <v>0.20222222222222216</v>
      </c>
      <c r="I126" s="3">
        <f t="shared" si="10"/>
        <v>7.407407407407085E-4</v>
      </c>
      <c r="J126" s="14">
        <f t="shared" si="7"/>
        <v>14.81481481481417</v>
      </c>
    </row>
    <row r="127" spans="7:10" x14ac:dyDescent="0.25">
      <c r="G127" s="8">
        <v>1.99E-3</v>
      </c>
      <c r="H127" s="3" cm="1">
        <f t="array" ref="H127">((2*ttotal3)/(3*s_t))*(st_b[[#This Row],[s(tb)]]+(s_t/4))</f>
        <v>0.20296296296296296</v>
      </c>
      <c r="I127" s="3">
        <f t="shared" si="10"/>
        <v>7.4074074074079177E-4</v>
      </c>
      <c r="J127" s="14">
        <f t="shared" si="7"/>
        <v>14.814814814815835</v>
      </c>
    </row>
    <row r="128" spans="7:10" x14ac:dyDescent="0.25">
      <c r="G128" s="8">
        <v>2E-3</v>
      </c>
      <c r="H128" s="3" cm="1">
        <f t="array" ref="H128">((2*ttotal3)/(3*s_t))*(st_b[[#This Row],[s(tb)]]+(s_t/4))</f>
        <v>0.20370370370370366</v>
      </c>
      <c r="I128" s="3">
        <f t="shared" si="10"/>
        <v>7.407407407407085E-4</v>
      </c>
      <c r="J128" s="14">
        <f t="shared" si="7"/>
        <v>14.81481481481417</v>
      </c>
    </row>
    <row r="129" spans="7:10" x14ac:dyDescent="0.25">
      <c r="G129" s="8">
        <v>2.0100000000000001E-3</v>
      </c>
      <c r="H129" s="3" cm="1">
        <f t="array" ref="H129">((2*ttotal3)/(3*s_t))*(st_b[[#This Row],[s(tb)]]+(s_t/4))</f>
        <v>0.20444444444444443</v>
      </c>
      <c r="I129" s="3">
        <f t="shared" si="10"/>
        <v>7.4074074074076401E-4</v>
      </c>
      <c r="J129" s="14">
        <f t="shared" si="7"/>
        <v>14.81481481481528</v>
      </c>
    </row>
    <row r="130" spans="7:10" x14ac:dyDescent="0.25">
      <c r="G130" s="8">
        <v>2.0200000000000001E-3</v>
      </c>
      <c r="H130" s="3" cm="1">
        <f t="array" ref="H130">((2*ttotal3)/(3*s_t))*(st_b[[#This Row],[s(tb)]]+(s_t/4))</f>
        <v>0.20518518518518514</v>
      </c>
      <c r="I130" s="3">
        <f t="shared" si="10"/>
        <v>7.407407407407085E-4</v>
      </c>
      <c r="J130" s="14">
        <f t="shared" si="7"/>
        <v>14.81481481481417</v>
      </c>
    </row>
    <row r="131" spans="7:10" x14ac:dyDescent="0.25">
      <c r="G131" s="8">
        <v>2.0300000000000001E-3</v>
      </c>
      <c r="H131" s="3" cm="1">
        <f t="array" ref="H131">((2*ttotal3)/(3*s_t))*(st_b[[#This Row],[s(tb)]]+(s_t/4))</f>
        <v>0.20592592592592593</v>
      </c>
      <c r="I131" s="3">
        <f t="shared" si="10"/>
        <v>7.4074074074079177E-4</v>
      </c>
      <c r="J131" s="14">
        <f t="shared" si="7"/>
        <v>14.814814814815835</v>
      </c>
    </row>
    <row r="132" spans="7:10" x14ac:dyDescent="0.25">
      <c r="G132" s="8">
        <v>2.0400000000000001E-3</v>
      </c>
      <c r="H132" s="3" cm="1">
        <f t="array" ref="H132">((2*ttotal3)/(3*s_t))*(st_b[[#This Row],[s(tb)]]+(s_t/4))</f>
        <v>0.20666666666666664</v>
      </c>
      <c r="I132" s="3">
        <f t="shared" si="10"/>
        <v>7.407407407407085E-4</v>
      </c>
      <c r="J132" s="14">
        <f t="shared" ref="J132:J153" si="12">I132/0.00005</f>
        <v>14.81481481481417</v>
      </c>
    </row>
    <row r="133" spans="7:10" x14ac:dyDescent="0.25">
      <c r="G133" s="8">
        <v>2.0500000000000002E-3</v>
      </c>
      <c r="H133" s="3" cm="1">
        <f t="array" ref="H133">((2*ttotal3)/(3*s_t))*(st_b[[#This Row],[s(tb)]]+(s_t/4))</f>
        <v>0.2074074074074074</v>
      </c>
      <c r="I133" s="3">
        <f t="shared" ref="I133:I153" si="13">H133-H132</f>
        <v>7.4074074074076401E-4</v>
      </c>
      <c r="J133" s="14">
        <f t="shared" si="12"/>
        <v>14.81481481481528</v>
      </c>
    </row>
    <row r="134" spans="7:10" x14ac:dyDescent="0.25">
      <c r="G134" s="8">
        <v>2.0600000000000002E-3</v>
      </c>
      <c r="H134" s="3" cm="1">
        <f t="array" ref="H134">((2*ttotal3)/(3*s_t))*(st_b[[#This Row],[s(tb)]]+(s_t/4))</f>
        <v>0.20814814814814811</v>
      </c>
      <c r="I134" s="3">
        <f t="shared" si="13"/>
        <v>7.407407407407085E-4</v>
      </c>
      <c r="J134" s="14">
        <f t="shared" si="12"/>
        <v>14.81481481481417</v>
      </c>
    </row>
    <row r="135" spans="7:10" x14ac:dyDescent="0.25">
      <c r="G135" s="8">
        <v>2.0700000000000002E-3</v>
      </c>
      <c r="H135" s="3" cm="1">
        <f t="array" ref="H135">((2*ttotal3)/(3*s_t))*(st_b[[#This Row],[s(tb)]]+(s_t/4))</f>
        <v>0.2088888888888889</v>
      </c>
      <c r="I135" s="3">
        <f t="shared" si="13"/>
        <v>7.4074074074079177E-4</v>
      </c>
      <c r="J135" s="14">
        <f t="shared" si="12"/>
        <v>14.814814814815835</v>
      </c>
    </row>
    <row r="136" spans="7:10" x14ac:dyDescent="0.25">
      <c r="G136" s="8">
        <v>2.0800000000000003E-3</v>
      </c>
      <c r="H136" s="3" cm="1">
        <f t="array" ref="H136">((2*ttotal3)/(3*s_t))*(st_b[[#This Row],[s(tb)]]+(s_t/4))</f>
        <v>0.20962962962962961</v>
      </c>
      <c r="I136" s="3">
        <f t="shared" si="13"/>
        <v>7.407407407407085E-4</v>
      </c>
      <c r="J136" s="14">
        <f t="shared" si="12"/>
        <v>14.81481481481417</v>
      </c>
    </row>
    <row r="137" spans="7:10" x14ac:dyDescent="0.25">
      <c r="G137" s="8">
        <v>2.0900000000000003E-3</v>
      </c>
      <c r="H137" s="3" cm="1">
        <f t="array" ref="H137">((2*ttotal3)/(3*s_t))*(st_b[[#This Row],[s(tb)]]+(s_t/4))</f>
        <v>0.21037037037037037</v>
      </c>
      <c r="I137" s="3">
        <f t="shared" si="13"/>
        <v>7.4074074074076401E-4</v>
      </c>
      <c r="J137" s="14">
        <f t="shared" si="12"/>
        <v>14.81481481481528</v>
      </c>
    </row>
    <row r="138" spans="7:10" x14ac:dyDescent="0.25">
      <c r="G138" s="8">
        <v>2.1000000000000003E-3</v>
      </c>
      <c r="H138" s="3" cm="1">
        <f t="array" ref="H138">((2*ttotal3)/(3*s_t))*(st_b[[#This Row],[s(tb)]]+(s_t/4))</f>
        <v>0.21111111111111108</v>
      </c>
      <c r="I138" s="3">
        <f t="shared" si="13"/>
        <v>7.407407407407085E-4</v>
      </c>
      <c r="J138" s="14">
        <f t="shared" si="12"/>
        <v>14.81481481481417</v>
      </c>
    </row>
    <row r="139" spans="7:10" x14ac:dyDescent="0.25">
      <c r="G139" s="8">
        <v>2.1100000000000003E-3</v>
      </c>
      <c r="H139" s="3" cm="1">
        <f t="array" ref="H139">((2*ttotal3)/(3*s_t))*(st_b[[#This Row],[s(tb)]]+(s_t/4))</f>
        <v>0.21185185185185185</v>
      </c>
      <c r="I139" s="3">
        <f t="shared" si="13"/>
        <v>7.4074074074076401E-4</v>
      </c>
      <c r="J139" s="14">
        <f t="shared" si="12"/>
        <v>14.81481481481528</v>
      </c>
    </row>
    <row r="140" spans="7:10" x14ac:dyDescent="0.25">
      <c r="G140" s="8">
        <v>2.1200000000000004E-3</v>
      </c>
      <c r="H140" s="3" cm="1">
        <f t="array" ref="H140">((2*ttotal3)/(3*s_t))*(st_b[[#This Row],[s(tb)]]+(s_t/4))</f>
        <v>0.21259259259259258</v>
      </c>
      <c r="I140" s="3">
        <f t="shared" si="13"/>
        <v>7.4074074074073626E-4</v>
      </c>
      <c r="J140" s="14">
        <f t="shared" si="12"/>
        <v>14.814814814814724</v>
      </c>
    </row>
    <row r="141" spans="7:10" x14ac:dyDescent="0.25">
      <c r="G141" s="8">
        <v>2.1300000000000004E-3</v>
      </c>
      <c r="H141" s="3" cm="1">
        <f t="array" ref="H141">((2*ttotal3)/(3*s_t))*(st_b[[#This Row],[s(tb)]]+(s_t/4))</f>
        <v>0.21333333333333335</v>
      </c>
      <c r="I141" s="3">
        <f t="shared" si="13"/>
        <v>7.4074074074076401E-4</v>
      </c>
      <c r="J141" s="14">
        <f t="shared" si="12"/>
        <v>14.81481481481528</v>
      </c>
    </row>
    <row r="142" spans="7:10" x14ac:dyDescent="0.25">
      <c r="G142" s="8">
        <v>2.14E-3</v>
      </c>
      <c r="H142" s="3" cm="1">
        <f t="array" ref="H142">((2*ttotal3)/(3*s_t))*(st_b[[#This Row],[s(tb)]]+(s_t/4))</f>
        <v>0.21407407407407406</v>
      </c>
      <c r="I142" s="3">
        <f t="shared" si="13"/>
        <v>7.407407407407085E-4</v>
      </c>
      <c r="J142" s="14">
        <f t="shared" si="12"/>
        <v>14.81481481481417</v>
      </c>
    </row>
    <row r="143" spans="7:10" x14ac:dyDescent="0.25">
      <c r="G143" s="8">
        <v>2.15E-3</v>
      </c>
      <c r="H143" s="3" cm="1">
        <f t="array" ref="H143">((2*ttotal3)/(3*s_t))*(st_b[[#This Row],[s(tb)]]+(s_t/4))</f>
        <v>0.21481481481481476</v>
      </c>
      <c r="I143" s="3">
        <f t="shared" si="13"/>
        <v>7.407407407407085E-4</v>
      </c>
      <c r="J143" s="14">
        <f t="shared" si="12"/>
        <v>14.81481481481417</v>
      </c>
    </row>
    <row r="144" spans="7:10" x14ac:dyDescent="0.25">
      <c r="G144" s="8">
        <v>2.16E-3</v>
      </c>
      <c r="H144" s="3" cm="1">
        <f t="array" ref="H144">((2*ttotal3)/(3*s_t))*(st_b[[#This Row],[s(tb)]]+(s_t/4))</f>
        <v>0.21555555555555553</v>
      </c>
      <c r="I144" s="3">
        <f t="shared" si="13"/>
        <v>7.4074074074076401E-4</v>
      </c>
      <c r="J144" s="14">
        <f t="shared" si="12"/>
        <v>14.81481481481528</v>
      </c>
    </row>
    <row r="145" spans="7:10" x14ac:dyDescent="0.25">
      <c r="G145" s="8">
        <v>2.1700000000000001E-3</v>
      </c>
      <c r="H145" s="3" cm="1">
        <f t="array" ref="H145">((2*ttotal3)/(3*s_t))*(st_b[[#This Row],[s(tb)]]+(s_t/4))</f>
        <v>0.21629629629629624</v>
      </c>
      <c r="I145" s="3">
        <f t="shared" si="13"/>
        <v>7.407407407407085E-4</v>
      </c>
      <c r="J145" s="14">
        <f t="shared" si="12"/>
        <v>14.81481481481417</v>
      </c>
    </row>
    <row r="146" spans="7:10" x14ac:dyDescent="0.25">
      <c r="G146" s="8">
        <v>2.1800000000000001E-3</v>
      </c>
      <c r="H146" s="3" cm="1">
        <f t="array" ref="H146">((2*ttotal3)/(3*s_t))*(st_b[[#This Row],[s(tb)]]+(s_t/4))</f>
        <v>0.21703703703703703</v>
      </c>
      <c r="I146" s="3">
        <f t="shared" si="13"/>
        <v>7.4074074074079177E-4</v>
      </c>
      <c r="J146" s="14">
        <f t="shared" si="12"/>
        <v>14.814814814815835</v>
      </c>
    </row>
    <row r="147" spans="7:10" x14ac:dyDescent="0.25">
      <c r="G147" s="8">
        <v>2.1900000000000001E-3</v>
      </c>
      <c r="H147" s="3" cm="1">
        <f t="array" ref="H147">((2*ttotal3)/(3*s_t))*(st_b[[#This Row],[s(tb)]]+(s_t/4))</f>
        <v>0.21777777777777774</v>
      </c>
      <c r="I147" s="3">
        <f t="shared" si="13"/>
        <v>7.407407407407085E-4</v>
      </c>
      <c r="J147" s="14">
        <f t="shared" si="12"/>
        <v>14.81481481481417</v>
      </c>
    </row>
    <row r="148" spans="7:10" x14ac:dyDescent="0.25">
      <c r="G148" s="8">
        <v>2.2000000000000001E-3</v>
      </c>
      <c r="H148" s="3" cm="1">
        <f t="array" ref="H148">((2*ttotal3)/(3*s_t))*(st_b[[#This Row],[s(tb)]]+(s_t/4))</f>
        <v>0.2185185185185185</v>
      </c>
      <c r="I148" s="3">
        <f t="shared" si="13"/>
        <v>7.4074074074076401E-4</v>
      </c>
      <c r="J148" s="14">
        <f t="shared" si="12"/>
        <v>14.81481481481528</v>
      </c>
    </row>
    <row r="149" spans="7:10" x14ac:dyDescent="0.25">
      <c r="G149" s="8">
        <v>2.2100000000000002E-3</v>
      </c>
      <c r="H149" s="3" cm="1">
        <f t="array" ref="H149">((2*ttotal3)/(3*s_t))*(st_b[[#This Row],[s(tb)]]+(s_t/4))</f>
        <v>0.21925925925925921</v>
      </c>
      <c r="I149" s="3">
        <f t="shared" si="13"/>
        <v>7.407407407407085E-4</v>
      </c>
      <c r="J149" s="14">
        <f t="shared" si="12"/>
        <v>14.81481481481417</v>
      </c>
    </row>
    <row r="150" spans="7:10" x14ac:dyDescent="0.25">
      <c r="G150" s="8">
        <v>2.2200000000000002E-3</v>
      </c>
      <c r="H150" s="3" cm="1">
        <f t="array" ref="H150">((2*ttotal3)/(3*s_t))*(st_b[[#This Row],[s(tb)]]+(s_t/4))</f>
        <v>0.22</v>
      </c>
      <c r="I150" s="3">
        <f t="shared" si="13"/>
        <v>7.4074074074079177E-4</v>
      </c>
      <c r="J150" s="14">
        <f t="shared" si="12"/>
        <v>14.814814814815835</v>
      </c>
    </row>
    <row r="151" spans="7:10" x14ac:dyDescent="0.25">
      <c r="G151" s="8">
        <v>2.2300000000000002E-3</v>
      </c>
      <c r="H151" s="3" cm="1">
        <f t="array" ref="H151">((2*ttotal3)/(3*s_t))*(st_b[[#This Row],[s(tb)]]+(s_t/4))</f>
        <v>0.22074074074074071</v>
      </c>
      <c r="I151" s="3">
        <f t="shared" si="13"/>
        <v>7.407407407407085E-4</v>
      </c>
      <c r="J151" s="14">
        <f t="shared" si="12"/>
        <v>14.81481481481417</v>
      </c>
    </row>
    <row r="152" spans="7:10" x14ac:dyDescent="0.25">
      <c r="G152" s="8">
        <v>2.2400000000000002E-3</v>
      </c>
      <c r="H152" s="3" cm="1">
        <f t="array" ref="H152">((2*ttotal3)/(3*s_t))*(st_b[[#This Row],[s(tb)]]+(s_t/4))</f>
        <v>0.22148148148148147</v>
      </c>
      <c r="I152" s="3">
        <f t="shared" si="13"/>
        <v>7.4074074074076401E-4</v>
      </c>
      <c r="J152" s="14">
        <f t="shared" si="12"/>
        <v>14.81481481481528</v>
      </c>
    </row>
    <row r="153" spans="7:10" x14ac:dyDescent="0.25">
      <c r="G153" s="8">
        <v>2.2500000000000003E-3</v>
      </c>
      <c r="H153" s="3" cm="1">
        <f t="array" ref="H153">((2*ttotal3)/(3*s_t))*(st_b[[#This Row],[s(tb)]]+(s_t/4))</f>
        <v>0.22222222222222218</v>
      </c>
      <c r="I153" s="3">
        <f t="shared" si="13"/>
        <v>7.407407407407085E-4</v>
      </c>
      <c r="J153" s="14">
        <f t="shared" si="12"/>
        <v>14.81481481481417</v>
      </c>
    </row>
  </sheetData>
  <pageMargins left="0.7" right="0.7" top="0.75" bottom="0.75" header="0.3" footer="0.3"/>
  <ignoredErrors>
    <ignoredError sqref="I3 C3 O3" calculatedColumn="1"/>
  </ignoredErrors>
  <tableParts count="3">
    <tablePart r:id="rId1"/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50F7B-D314-493E-9D36-65354DD16FE5}">
  <sheetPr codeName="Sheet8"/>
  <dimension ref="A2:P153"/>
  <sheetViews>
    <sheetView workbookViewId="0">
      <selection activeCell="G3" sqref="G3:G153"/>
    </sheetView>
  </sheetViews>
  <sheetFormatPr defaultRowHeight="15" x14ac:dyDescent="0.25"/>
  <cols>
    <col min="1" max="1" width="8.42578125" style="2" customWidth="1"/>
    <col min="2" max="2" width="11.5703125" style="3" bestFit="1" customWidth="1"/>
    <col min="3" max="3" width="12.85546875" customWidth="1"/>
    <col min="4" max="4" width="9.5703125" style="14" bestFit="1" customWidth="1"/>
    <col min="5" max="5" width="9.5703125" style="14" customWidth="1"/>
    <col min="7" max="7" width="10.28515625" style="8" customWidth="1"/>
    <col min="8" max="8" width="11.28515625" style="3" bestFit="1" customWidth="1"/>
    <col min="9" max="9" width="11.28515625" bestFit="1" customWidth="1"/>
    <col min="10" max="10" width="11.28515625" style="14" bestFit="1" customWidth="1"/>
    <col min="11" max="11" width="11.28515625" style="14" customWidth="1"/>
    <col min="13" max="13" width="10.28515625" style="8" customWidth="1"/>
    <col min="14" max="14" width="11.28515625" style="3" bestFit="1" customWidth="1"/>
    <col min="15" max="15" width="11.28515625" bestFit="1" customWidth="1"/>
    <col min="16" max="16" width="11.7109375" style="14" customWidth="1"/>
  </cols>
  <sheetData>
    <row r="2" spans="1:16" s="15" customFormat="1" x14ac:dyDescent="0.25">
      <c r="A2" s="15" t="s">
        <v>34</v>
      </c>
      <c r="B2" s="3" t="s">
        <v>27</v>
      </c>
      <c r="C2" s="15" t="s">
        <v>55</v>
      </c>
      <c r="D2" s="15" t="s">
        <v>56</v>
      </c>
      <c r="G2" s="15" t="s">
        <v>35</v>
      </c>
      <c r="H2" s="13" t="s">
        <v>27</v>
      </c>
      <c r="I2" s="15" t="s">
        <v>55</v>
      </c>
      <c r="J2" s="17" t="s">
        <v>56</v>
      </c>
      <c r="K2" s="17"/>
      <c r="M2" s="15" t="s">
        <v>36</v>
      </c>
      <c r="N2" s="13" t="s">
        <v>27</v>
      </c>
      <c r="O2" s="15" t="s">
        <v>55</v>
      </c>
      <c r="P2" s="17" t="s">
        <v>56</v>
      </c>
    </row>
    <row r="3" spans="1:16" x14ac:dyDescent="0.25">
      <c r="A3" s="2">
        <v>0</v>
      </c>
      <c r="B3" s="3" cm="1">
        <f t="array" ref="B3">SQRT((4*POWER(ttotal4,2)*st_a[[#This Row],[s(ta)]])/(9*s_t))</f>
        <v>0</v>
      </c>
      <c r="C3" s="3">
        <v>0</v>
      </c>
      <c r="D3" s="14">
        <f>C3/0.00005</f>
        <v>0</v>
      </c>
      <c r="G3" s="8">
        <v>7.5000000000000002E-4</v>
      </c>
      <c r="H3" s="3" cm="1">
        <f t="array" ref="H3">((2*ttotal4)/(3*s_t))*(st_b[[#This Row],[s(tb)]]+(s_t/4))</f>
        <v>8.3333333333333329E-2</v>
      </c>
      <c r="I3" s="3">
        <f>C78</f>
        <v>5.574198569370109E-4</v>
      </c>
      <c r="J3" s="14">
        <f>I3/0.00005</f>
        <v>11.148397138740217</v>
      </c>
      <c r="M3" s="8">
        <v>2.2500000000000003E-3</v>
      </c>
      <c r="N3" s="3">
        <f>(-INDEX(Overview[b],4)+SQRT(POWER(INDEX(Overview[b],4),2)-(4*INDEX(Overview[a],4)*st_c[[#This Row],[c]])))/(2*INDEX(Overview[a],4))</f>
        <v>0.16666666666666671</v>
      </c>
      <c r="O3" s="3">
        <f>I153</f>
        <v>5.5555555555553138E-4</v>
      </c>
      <c r="P3" s="14">
        <f>O3/0.00005</f>
        <v>11.111111111110628</v>
      </c>
    </row>
    <row r="4" spans="1:16" x14ac:dyDescent="0.25">
      <c r="A4" s="2">
        <v>1.0000000000000001E-5</v>
      </c>
      <c r="B4" s="3" cm="1">
        <f t="array" ref="B4">SQRT((4*POWER(ttotal4,2)*st_a[[#This Row],[s(ta)]])/(9*s_t))</f>
        <v>9.6225044864937624E-3</v>
      </c>
      <c r="C4" s="3">
        <f>B4-B3</f>
        <v>9.6225044864937624E-3</v>
      </c>
      <c r="D4" s="14">
        <f t="shared" ref="D4:D67" si="0">C4/0.00005</f>
        <v>192.45008972987523</v>
      </c>
      <c r="G4" s="8">
        <v>7.6000000000000004E-4</v>
      </c>
      <c r="H4" s="3" cm="1">
        <f t="array" ref="H4">((2*ttotal4)/(3*s_t))*(st_b[[#This Row],[s(tb)]]+(s_t/4))</f>
        <v>8.3888888888888888E-2</v>
      </c>
      <c r="I4" s="3">
        <f>H4-H3</f>
        <v>5.5555555555555913E-4</v>
      </c>
      <c r="J4" s="14">
        <f t="shared" ref="J4:J67" si="1">I4/0.00005</f>
        <v>11.111111111111182</v>
      </c>
      <c r="M4" s="8">
        <v>2.2600000000000003E-3</v>
      </c>
      <c r="N4" s="3">
        <f>(-INDEX(Overview[b],4)+SQRT(POWER(INDEX(Overview[b],4),2)-(4*INDEX(Overview[a],4)*st_c[[#This Row],[c]])))/(2*INDEX(Overview[a],4))</f>
        <v>0.16722408652360371</v>
      </c>
      <c r="O4" s="3">
        <f>N4-N3</f>
        <v>5.5741985693699703E-4</v>
      </c>
      <c r="P4" s="14">
        <f t="shared" ref="P4:P67" si="2">O4/0.00005</f>
        <v>11.14839713873994</v>
      </c>
    </row>
    <row r="5" spans="1:16" x14ac:dyDescent="0.25">
      <c r="A5" s="2">
        <v>2.0000000000000002E-5</v>
      </c>
      <c r="B5" s="3" cm="1">
        <f t="array" ref="B5">SQRT((4*POWER(ttotal4,2)*st_a[[#This Row],[s(ta)]])/(9*s_t))</f>
        <v>1.3608276348795434E-2</v>
      </c>
      <c r="C5" s="3">
        <f t="shared" ref="C5:C68" si="3">B5-B4</f>
        <v>3.9857718623016718E-3</v>
      </c>
      <c r="D5" s="14">
        <f t="shared" si="0"/>
        <v>79.715437246033432</v>
      </c>
      <c r="G5" s="8">
        <v>7.7000000000000007E-4</v>
      </c>
      <c r="H5" s="3" cm="1">
        <f t="array" ref="H5">((2*ttotal4)/(3*s_t))*(st_b[[#This Row],[s(tb)]]+(s_t/4))</f>
        <v>8.4444444444444447E-2</v>
      </c>
      <c r="I5" s="3">
        <f t="shared" ref="I5:I68" si="4">H5-H4</f>
        <v>5.5555555555555913E-4</v>
      </c>
      <c r="J5" s="14">
        <f t="shared" si="1"/>
        <v>11.111111111111182</v>
      </c>
      <c r="M5" s="8">
        <v>2.2700000000000003E-3</v>
      </c>
      <c r="N5" s="3">
        <f>(-INDEX(Overview[b],4)+SQRT(POWER(INDEX(Overview[b],4),2)-(4*INDEX(Overview[a],4)*st_c[[#This Row],[c]])))/(2*INDEX(Overview[a],4))</f>
        <v>0.16778528562806258</v>
      </c>
      <c r="O5" s="3">
        <f t="shared" ref="O5:O68" si="5">N5-N4</f>
        <v>5.6119910445887045E-4</v>
      </c>
      <c r="P5" s="14">
        <f t="shared" si="2"/>
        <v>11.223982089177408</v>
      </c>
    </row>
    <row r="6" spans="1:16" x14ac:dyDescent="0.25">
      <c r="A6" s="2">
        <v>3.0000000000000004E-5</v>
      </c>
      <c r="B6" s="3" cm="1">
        <f t="array" ref="B6">SQRT((4*POWER(ttotal4,2)*st_a[[#This Row],[s(ta)]])/(9*s_t))</f>
        <v>1.666666666666667E-2</v>
      </c>
      <c r="C6" s="3">
        <f t="shared" si="3"/>
        <v>3.0583903178712357E-3</v>
      </c>
      <c r="D6" s="14">
        <f t="shared" si="0"/>
        <v>61.167806357424709</v>
      </c>
      <c r="G6" s="8">
        <v>7.8000000000000009E-4</v>
      </c>
      <c r="H6" s="3" cm="1">
        <f t="array" ref="H6">((2*ttotal4)/(3*s_t))*(st_b[[#This Row],[s(tb)]]+(s_t/4))</f>
        <v>8.4999999999999992E-2</v>
      </c>
      <c r="I6" s="3">
        <f t="shared" si="4"/>
        <v>5.5555555555554526E-4</v>
      </c>
      <c r="J6" s="14">
        <f t="shared" si="1"/>
        <v>11.111111111110905</v>
      </c>
      <c r="M6" s="8">
        <v>2.2800000000000003E-3</v>
      </c>
      <c r="N6" s="3">
        <f>(-INDEX(Overview[b],4)+SQRT(POWER(INDEX(Overview[b],4),2)-(4*INDEX(Overview[a],4)*st_c[[#This Row],[c]])))/(2*INDEX(Overview[a],4))</f>
        <v>0.16835034190722747</v>
      </c>
      <c r="O6" s="3">
        <f t="shared" si="5"/>
        <v>5.6505627916489387E-4</v>
      </c>
      <c r="P6" s="14">
        <f t="shared" si="2"/>
        <v>11.301125583297877</v>
      </c>
    </row>
    <row r="7" spans="1:16" x14ac:dyDescent="0.25">
      <c r="A7" s="2">
        <v>4.0000000000000003E-5</v>
      </c>
      <c r="B7" s="3" cm="1">
        <f t="array" ref="B7">SQRT((4*POWER(ttotal4,2)*st_a[[#This Row],[s(ta)]])/(9*s_t))</f>
        <v>1.9245008972987525E-2</v>
      </c>
      <c r="C7" s="3">
        <f t="shared" si="3"/>
        <v>2.5783423063208549E-3</v>
      </c>
      <c r="D7" s="14">
        <f t="shared" si="0"/>
        <v>51.566846126417097</v>
      </c>
      <c r="G7" s="8">
        <v>7.9000000000000001E-4</v>
      </c>
      <c r="H7" s="3" cm="1">
        <f t="array" ref="H7">((2*ttotal4)/(3*s_t))*(st_b[[#This Row],[s(tb)]]+(s_t/4))</f>
        <v>8.5555555555555551E-2</v>
      </c>
      <c r="I7" s="3">
        <f t="shared" si="4"/>
        <v>5.5555555555555913E-4</v>
      </c>
      <c r="J7" s="14">
        <f t="shared" si="1"/>
        <v>11.111111111111182</v>
      </c>
      <c r="M7" s="8">
        <v>2.2900000000000004E-3</v>
      </c>
      <c r="N7" s="3">
        <f>(-INDEX(Overview[b],4)+SQRT(POWER(INDEX(Overview[b],4),2)-(4*INDEX(Overview[a],4)*st_c[[#This Row],[c]])))/(2*INDEX(Overview[a],4))</f>
        <v>0.16891933600374215</v>
      </c>
      <c r="O7" s="3">
        <f t="shared" si="5"/>
        <v>5.6899409651467447E-4</v>
      </c>
      <c r="P7" s="14">
        <f t="shared" si="2"/>
        <v>11.379881930293489</v>
      </c>
    </row>
    <row r="8" spans="1:16" x14ac:dyDescent="0.25">
      <c r="A8" s="2">
        <v>5.0000000000000002E-5</v>
      </c>
      <c r="B8" s="3" cm="1">
        <f t="array" ref="B8">SQRT((4*POWER(ttotal4,2)*st_a[[#This Row],[s(ta)]])/(9*s_t))</f>
        <v>2.151657414559676E-2</v>
      </c>
      <c r="C8" s="3">
        <f t="shared" si="3"/>
        <v>2.2715651726092356E-3</v>
      </c>
      <c r="D8" s="14">
        <f t="shared" si="0"/>
        <v>45.431303452184707</v>
      </c>
      <c r="G8" s="8">
        <v>8.0000000000000004E-4</v>
      </c>
      <c r="H8" s="3" cm="1">
        <f t="array" ref="H8">((2*ttotal4)/(3*s_t))*(st_b[[#This Row],[s(tb)]]+(s_t/4))</f>
        <v>8.611111111111111E-2</v>
      </c>
      <c r="I8" s="3">
        <f t="shared" si="4"/>
        <v>5.5555555555555913E-4</v>
      </c>
      <c r="J8" s="14">
        <f t="shared" si="1"/>
        <v>11.111111111111182</v>
      </c>
      <c r="M8" s="8">
        <v>2.3000000000000004E-3</v>
      </c>
      <c r="N8" s="3">
        <f>(-INDEX(Overview[b],4)+SQRT(POWER(INDEX(Overview[b],4),2)-(4*INDEX(Overview[a],4)*st_c[[#This Row],[c]])))/(2*INDEX(Overview[a],4))</f>
        <v>0.16949235141005869</v>
      </c>
      <c r="O8" s="3">
        <f t="shared" si="5"/>
        <v>5.7301540631654602E-4</v>
      </c>
      <c r="P8" s="14">
        <f t="shared" si="2"/>
        <v>11.46030812633092</v>
      </c>
    </row>
    <row r="9" spans="1:16" x14ac:dyDescent="0.25">
      <c r="A9" s="2">
        <v>6.0000000000000008E-5</v>
      </c>
      <c r="B9" s="3" cm="1">
        <f t="array" ref="B9">SQRT((4*POWER(ttotal4,2)*st_a[[#This Row],[s(ta)]])/(9*s_t))</f>
        <v>2.3570226039551587E-2</v>
      </c>
      <c r="C9" s="3">
        <f t="shared" si="3"/>
        <v>2.0536518939548269E-3</v>
      </c>
      <c r="D9" s="14">
        <f t="shared" si="0"/>
        <v>41.073037879096539</v>
      </c>
      <c r="G9" s="8">
        <v>8.1000000000000006E-4</v>
      </c>
      <c r="H9" s="3" cm="1">
        <f t="array" ref="H9">((2*ttotal4)/(3*s_t))*(st_b[[#This Row],[s(tb)]]+(s_t/4))</f>
        <v>8.666666666666667E-2</v>
      </c>
      <c r="I9" s="3">
        <f t="shared" si="4"/>
        <v>5.5555555555555913E-4</v>
      </c>
      <c r="J9" s="14">
        <f t="shared" si="1"/>
        <v>11.111111111111182</v>
      </c>
      <c r="M9" s="8">
        <v>2.31E-3</v>
      </c>
      <c r="N9" s="3">
        <f>(-INDEX(Overview[b],4)+SQRT(POWER(INDEX(Overview[b],4),2)-(4*INDEX(Overview[a],4)*st_c[[#This Row],[c]])))/(2*INDEX(Overview[a],4))</f>
        <v>0.17006947461145469</v>
      </c>
      <c r="O9" s="3">
        <f t="shared" si="5"/>
        <v>5.7712320139599593E-4</v>
      </c>
      <c r="P9" s="14">
        <f t="shared" si="2"/>
        <v>11.542464027919918</v>
      </c>
    </row>
    <row r="10" spans="1:16" x14ac:dyDescent="0.25">
      <c r="A10" s="2">
        <v>7.0000000000000007E-5</v>
      </c>
      <c r="B10" s="3" cm="1">
        <f t="array" ref="B10">SQRT((4*POWER(ttotal4,2)*st_a[[#This Row],[s(ta)]])/(9*s_t))</f>
        <v>2.5458753860865779E-2</v>
      </c>
      <c r="C10" s="3">
        <f t="shared" si="3"/>
        <v>1.8885278213141912E-3</v>
      </c>
      <c r="D10" s="14">
        <f t="shared" si="0"/>
        <v>37.770556426283825</v>
      </c>
      <c r="G10" s="8">
        <v>8.2000000000000009E-4</v>
      </c>
      <c r="H10" s="3" cm="1">
        <f t="array" ref="H10">((2*ttotal4)/(3*s_t))*(st_b[[#This Row],[s(tb)]]+(s_t/4))</f>
        <v>8.7222222222222229E-2</v>
      </c>
      <c r="I10" s="3">
        <f t="shared" si="4"/>
        <v>5.5555555555555913E-4</v>
      </c>
      <c r="J10" s="14">
        <f t="shared" si="1"/>
        <v>11.111111111111182</v>
      </c>
      <c r="M10" s="8">
        <v>2.32E-3</v>
      </c>
      <c r="N10" s="3">
        <f>(-INDEX(Overview[b],4)+SQRT(POWER(INDEX(Overview[b],4),2)-(4*INDEX(Overview[a],4)*st_c[[#This Row],[c]])))/(2*INDEX(Overview[a],4))</f>
        <v>0.17065079523841281</v>
      </c>
      <c r="O10" s="3">
        <f t="shared" si="5"/>
        <v>5.8132062695812059E-4</v>
      </c>
      <c r="P10" s="14">
        <f t="shared" si="2"/>
        <v>11.626412539162411</v>
      </c>
    </row>
    <row r="11" spans="1:16" x14ac:dyDescent="0.25">
      <c r="A11" s="2">
        <v>8.0000000000000007E-5</v>
      </c>
      <c r="B11" s="3" cm="1">
        <f t="array" ref="B11">SQRT((4*POWER(ttotal4,2)*st_a[[#This Row],[s(ta)]])/(9*s_t))</f>
        <v>2.7216552697590869E-2</v>
      </c>
      <c r="C11" s="3">
        <f t="shared" si="3"/>
        <v>1.7577988367250899E-3</v>
      </c>
      <c r="D11" s="14">
        <f t="shared" si="0"/>
        <v>35.155976734501799</v>
      </c>
      <c r="G11" s="8">
        <v>8.3000000000000012E-4</v>
      </c>
      <c r="H11" s="3" cm="1">
        <f t="array" ref="H11">((2*ttotal4)/(3*s_t))*(st_b[[#This Row],[s(tb)]]+(s_t/4))</f>
        <v>8.7777777777777788E-2</v>
      </c>
      <c r="I11" s="3">
        <f t="shared" si="4"/>
        <v>5.5555555555555913E-4</v>
      </c>
      <c r="J11" s="14">
        <f t="shared" si="1"/>
        <v>11.111111111111182</v>
      </c>
      <c r="M11" s="8">
        <v>2.33E-3</v>
      </c>
      <c r="N11" s="3">
        <f>(-INDEX(Overview[b],4)+SQRT(POWER(INDEX(Overview[b],4),2)-(4*INDEX(Overview[a],4)*st_c[[#This Row],[c]])))/(2*INDEX(Overview[a],4))</f>
        <v>0.17123640622912323</v>
      </c>
      <c r="O11" s="3">
        <f t="shared" si="5"/>
        <v>5.8561099071041678E-4</v>
      </c>
      <c r="P11" s="14">
        <f t="shared" si="2"/>
        <v>11.712219814208336</v>
      </c>
    </row>
    <row r="12" spans="1:16" x14ac:dyDescent="0.25">
      <c r="A12" s="2">
        <v>9.0000000000000006E-5</v>
      </c>
      <c r="B12" s="3" cm="1">
        <f t="array" ref="B12">SQRT((4*POWER(ttotal4,2)*st_a[[#This Row],[s(ta)]])/(9*s_t))</f>
        <v>2.8867513459481291E-2</v>
      </c>
      <c r="C12" s="3">
        <f t="shared" si="3"/>
        <v>1.6509607618904222E-3</v>
      </c>
      <c r="D12" s="14">
        <f t="shared" si="0"/>
        <v>33.019215237808446</v>
      </c>
      <c r="G12" s="8">
        <v>8.4000000000000003E-4</v>
      </c>
      <c r="H12" s="3" cm="1">
        <f t="array" ref="H12">((2*ttotal4)/(3*s_t))*(st_b[[#This Row],[s(tb)]]+(s_t/4))</f>
        <v>8.8333333333333333E-2</v>
      </c>
      <c r="I12" s="3">
        <f t="shared" si="4"/>
        <v>5.5555555555554526E-4</v>
      </c>
      <c r="J12" s="14">
        <f t="shared" si="1"/>
        <v>11.111111111110905</v>
      </c>
      <c r="M12" s="8">
        <v>2.3400000000000001E-3</v>
      </c>
      <c r="N12" s="3">
        <f>(-INDEX(Overview[b],4)+SQRT(POWER(INDEX(Overview[b],4),2)-(4*INDEX(Overview[a],4)*st_c[[#This Row],[c]])))/(2*INDEX(Overview[a],4))</f>
        <v>0.17182640400294286</v>
      </c>
      <c r="O12" s="3">
        <f t="shared" si="5"/>
        <v>5.8999777381962826E-4</v>
      </c>
      <c r="P12" s="14">
        <f t="shared" si="2"/>
        <v>11.799955476392565</v>
      </c>
    </row>
    <row r="13" spans="1:16" x14ac:dyDescent="0.25">
      <c r="A13" s="2">
        <v>1E-4</v>
      </c>
      <c r="B13" s="3" cm="1">
        <f t="array" ref="B13">SQRT((4*POWER(ttotal4,2)*st_a[[#This Row],[s(ta)]])/(9*s_t))</f>
        <v>3.0429030972509229E-2</v>
      </c>
      <c r="C13" s="3">
        <f t="shared" si="3"/>
        <v>1.561517513027938E-3</v>
      </c>
      <c r="D13" s="14">
        <f t="shared" si="0"/>
        <v>31.230350260558758</v>
      </c>
      <c r="G13" s="8">
        <v>8.5000000000000006E-4</v>
      </c>
      <c r="H13" s="3" cm="1">
        <f t="array" ref="H13">((2*ttotal4)/(3*s_t))*(st_b[[#This Row],[s(tb)]]+(s_t/4))</f>
        <v>8.8888888888888878E-2</v>
      </c>
      <c r="I13" s="3">
        <f t="shared" si="4"/>
        <v>5.5555555555554526E-4</v>
      </c>
      <c r="J13" s="14">
        <f t="shared" si="1"/>
        <v>11.111111111110905</v>
      </c>
      <c r="M13" s="8">
        <v>2.3500000000000001E-3</v>
      </c>
      <c r="N13" s="3">
        <f>(-INDEX(Overview[b],4)+SQRT(POWER(INDEX(Overview[b],4),2)-(4*INDEX(Overview[a],4)*st_c[[#This Row],[c]])))/(2*INDEX(Overview[a],4))</f>
        <v>0.17242088864572813</v>
      </c>
      <c r="O13" s="3">
        <f t="shared" si="5"/>
        <v>5.9448464278527569E-4</v>
      </c>
      <c r="P13" s="14">
        <f t="shared" si="2"/>
        <v>11.889692855705514</v>
      </c>
    </row>
    <row r="14" spans="1:16" x14ac:dyDescent="0.25">
      <c r="A14" s="2">
        <v>1.1E-4</v>
      </c>
      <c r="B14" s="3" cm="1">
        <f t="array" ref="B14">SQRT((4*POWER(ttotal4,2)*st_a[[#This Row],[s(ta)]])/(9*s_t))</f>
        <v>3.1914236925211274E-2</v>
      </c>
      <c r="C14" s="3">
        <f t="shared" si="3"/>
        <v>1.4852059527020456E-3</v>
      </c>
      <c r="D14" s="14">
        <f t="shared" si="0"/>
        <v>29.704119054040909</v>
      </c>
      <c r="G14" s="8">
        <v>8.6000000000000009E-4</v>
      </c>
      <c r="H14" s="3" cm="1">
        <f t="array" ref="H14">((2*ttotal4)/(3*s_t))*(st_b[[#This Row],[s(tb)]]+(s_t/4))</f>
        <v>8.9444444444444438E-2</v>
      </c>
      <c r="I14" s="3">
        <f t="shared" si="4"/>
        <v>5.5555555555555913E-4</v>
      </c>
      <c r="J14" s="14">
        <f t="shared" si="1"/>
        <v>11.111111111111182</v>
      </c>
      <c r="M14" s="8">
        <v>2.3600000000000001E-3</v>
      </c>
      <c r="N14" s="3">
        <f>(-INDEX(Overview[b],4)+SQRT(POWER(INDEX(Overview[b],4),2)-(4*INDEX(Overview[a],4)*st_c[[#This Row],[c]])))/(2*INDEX(Overview[a],4))</f>
        <v>0.1730199641080499</v>
      </c>
      <c r="O14" s="3">
        <f t="shared" si="5"/>
        <v>5.9907546232176867E-4</v>
      </c>
      <c r="P14" s="14">
        <f t="shared" si="2"/>
        <v>11.981509246435373</v>
      </c>
    </row>
    <row r="15" spans="1:16" x14ac:dyDescent="0.25">
      <c r="A15" s="2">
        <v>1.2000000000000002E-4</v>
      </c>
      <c r="B15" s="3" cm="1">
        <f t="array" ref="B15">SQRT((4*POWER(ttotal4,2)*st_a[[#This Row],[s(ta)]])/(9*s_t))</f>
        <v>3.333333333333334E-2</v>
      </c>
      <c r="C15" s="3">
        <f t="shared" si="3"/>
        <v>1.4190964081220656E-3</v>
      </c>
      <c r="D15" s="14">
        <f t="shared" si="0"/>
        <v>28.381928162441309</v>
      </c>
      <c r="G15" s="8">
        <v>8.7000000000000011E-4</v>
      </c>
      <c r="H15" s="3" cm="1">
        <f t="array" ref="H15">((2*ttotal4)/(3*s_t))*(st_b[[#This Row],[s(tb)]]+(s_t/4))</f>
        <v>0.09</v>
      </c>
      <c r="I15" s="3">
        <f t="shared" si="4"/>
        <v>5.5555555555555913E-4</v>
      </c>
      <c r="J15" s="14">
        <f t="shared" si="1"/>
        <v>11.111111111111182</v>
      </c>
      <c r="M15" s="8">
        <v>2.3700000000000001E-3</v>
      </c>
      <c r="N15" s="3">
        <f>(-INDEX(Overview[b],4)+SQRT(POWER(INDEX(Overview[b],4),2)-(4*INDEX(Overview[a],4)*st_c[[#This Row],[c]])))/(2*INDEX(Overview[a],4))</f>
        <v>0.17362373841740272</v>
      </c>
      <c r="O15" s="3">
        <f t="shared" si="5"/>
        <v>6.037743093528225E-4</v>
      </c>
      <c r="P15" s="14">
        <f t="shared" si="2"/>
        <v>12.07548618705645</v>
      </c>
    </row>
    <row r="16" spans="1:16" x14ac:dyDescent="0.25">
      <c r="A16" s="2">
        <v>1.3000000000000002E-4</v>
      </c>
      <c r="B16" s="3" cm="1">
        <f t="array" ref="B16">SQRT((4*POWER(ttotal4,2)*st_a[[#This Row],[s(ta)]])/(9*s_t))</f>
        <v>3.4694433324435545E-2</v>
      </c>
      <c r="C16" s="3">
        <f t="shared" si="3"/>
        <v>1.3610999911022048E-3</v>
      </c>
      <c r="D16" s="14">
        <f t="shared" si="0"/>
        <v>27.221999822044094</v>
      </c>
      <c r="G16" s="8">
        <v>8.8000000000000003E-4</v>
      </c>
      <c r="H16" s="3" cm="1">
        <f t="array" ref="H16">((2*ttotal4)/(3*s_t))*(st_b[[#This Row],[s(tb)]]+(s_t/4))</f>
        <v>9.0555555555555542E-2</v>
      </c>
      <c r="I16" s="3">
        <f t="shared" si="4"/>
        <v>5.5555555555554526E-4</v>
      </c>
      <c r="J16" s="14">
        <f t="shared" si="1"/>
        <v>11.111111111110905</v>
      </c>
      <c r="M16" s="8">
        <v>2.3800000000000002E-3</v>
      </c>
      <c r="N16" s="3">
        <f>(-INDEX(Overview[b],4)+SQRT(POWER(INDEX(Overview[b],4),2)-(4*INDEX(Overview[a],4)*st_c[[#This Row],[c]])))/(2*INDEX(Overview[a],4))</f>
        <v>0.17423232390563417</v>
      </c>
      <c r="O16" s="3">
        <f t="shared" si="5"/>
        <v>6.0858548823145009E-4</v>
      </c>
      <c r="P16" s="14">
        <f t="shared" si="2"/>
        <v>12.171709764629002</v>
      </c>
    </row>
    <row r="17" spans="1:16" x14ac:dyDescent="0.25">
      <c r="A17" s="2">
        <v>1.4000000000000001E-4</v>
      </c>
      <c r="B17" s="3" cm="1">
        <f t="array" ref="B17">SQRT((4*POWER(ttotal4,2)*st_a[[#This Row],[s(ta)]])/(9*s_t))</f>
        <v>3.600411499115478E-2</v>
      </c>
      <c r="C17" s="3">
        <f t="shared" si="3"/>
        <v>1.3096816667192354E-3</v>
      </c>
      <c r="D17" s="14">
        <f t="shared" si="0"/>
        <v>26.193633334384707</v>
      </c>
      <c r="G17" s="8">
        <v>8.9000000000000006E-4</v>
      </c>
      <c r="H17" s="3" cm="1">
        <f t="array" ref="H17">((2*ttotal4)/(3*s_t))*(st_b[[#This Row],[s(tb)]]+(s_t/4))</f>
        <v>9.1111111111111101E-2</v>
      </c>
      <c r="I17" s="3">
        <f t="shared" si="4"/>
        <v>5.5555555555555913E-4</v>
      </c>
      <c r="J17" s="14">
        <f t="shared" si="1"/>
        <v>11.111111111111182</v>
      </c>
      <c r="M17" s="8">
        <v>2.3900000000000002E-3</v>
      </c>
      <c r="N17" s="3">
        <f>(-INDEX(Overview[b],4)+SQRT(POWER(INDEX(Overview[b],4),2)-(4*INDEX(Overview[a],4)*st_c[[#This Row],[c]])))/(2*INDEX(Overview[a],4))</f>
        <v>0.17484583745295176</v>
      </c>
      <c r="O17" s="3">
        <f t="shared" si="5"/>
        <v>6.1351354731759011E-4</v>
      </c>
      <c r="P17" s="14">
        <f t="shared" si="2"/>
        <v>12.270270946351802</v>
      </c>
    </row>
    <row r="18" spans="1:16" x14ac:dyDescent="0.25">
      <c r="A18" s="2">
        <v>1.5000000000000001E-4</v>
      </c>
      <c r="B18" s="3" cm="1">
        <f t="array" ref="B18">SQRT((4*POWER(ttotal4,2)*st_a[[#This Row],[s(ta)]])/(9*s_t))</f>
        <v>3.7267799624996496E-2</v>
      </c>
      <c r="C18" s="3">
        <f t="shared" si="3"/>
        <v>1.2636846338417163E-3</v>
      </c>
      <c r="D18" s="14">
        <f t="shared" si="0"/>
        <v>25.273692676834322</v>
      </c>
      <c r="G18" s="8">
        <v>9.0000000000000008E-4</v>
      </c>
      <c r="H18" s="3" cm="1">
        <f t="array" ref="H18">((2*ttotal4)/(3*s_t))*(st_b[[#This Row],[s(tb)]]+(s_t/4))</f>
        <v>9.166666666666666E-2</v>
      </c>
      <c r="I18" s="3">
        <f t="shared" si="4"/>
        <v>5.5555555555555913E-4</v>
      </c>
      <c r="J18" s="14">
        <f t="shared" si="1"/>
        <v>11.111111111111182</v>
      </c>
      <c r="M18" s="8">
        <v>2.4000000000000002E-3</v>
      </c>
      <c r="N18" s="3">
        <f>(-INDEX(Overview[b],4)+SQRT(POWER(INDEX(Overview[b],4),2)-(4*INDEX(Overview[a],4)*st_c[[#This Row],[c]])))/(2*INDEX(Overview[a],4))</f>
        <v>0.17546440075000705</v>
      </c>
      <c r="O18" s="3">
        <f t="shared" si="5"/>
        <v>6.1856329705528568E-4</v>
      </c>
      <c r="P18" s="14">
        <f t="shared" si="2"/>
        <v>12.371265941105714</v>
      </c>
    </row>
    <row r="19" spans="1:16" x14ac:dyDescent="0.25">
      <c r="A19" s="2">
        <v>1.6000000000000001E-4</v>
      </c>
      <c r="B19" s="3" cm="1">
        <f t="array" ref="B19">SQRT((4*POWER(ttotal4,2)*st_a[[#This Row],[s(ta)]])/(9*s_t))</f>
        <v>3.849001794597505E-2</v>
      </c>
      <c r="C19" s="3">
        <f t="shared" si="3"/>
        <v>1.2222183209785534E-3</v>
      </c>
      <c r="D19" s="14">
        <f t="shared" si="0"/>
        <v>24.444366419571065</v>
      </c>
      <c r="G19" s="8">
        <v>9.1000000000000011E-4</v>
      </c>
      <c r="H19" s="3" cm="1">
        <f t="array" ref="H19">((2*ttotal4)/(3*s_t))*(st_b[[#This Row],[s(tb)]]+(s_t/4))</f>
        <v>9.2222222222222219E-2</v>
      </c>
      <c r="I19" s="3">
        <f t="shared" si="4"/>
        <v>5.5555555555555913E-4</v>
      </c>
      <c r="J19" s="14">
        <f t="shared" si="1"/>
        <v>11.111111111111182</v>
      </c>
      <c r="M19" s="8">
        <v>2.4100000000000002E-3</v>
      </c>
      <c r="N19" s="3">
        <f>(-INDEX(Overview[b],4)+SQRT(POWER(INDEX(Overview[b],4),2)-(4*INDEX(Overview[a],4)*st_c[[#This Row],[c]])))/(2*INDEX(Overview[a],4))</f>
        <v>0.17608814057972191</v>
      </c>
      <c r="O19" s="3">
        <f t="shared" si="5"/>
        <v>6.2373982971486441E-4</v>
      </c>
      <c r="P19" s="14">
        <f t="shared" si="2"/>
        <v>12.474796594297288</v>
      </c>
    </row>
    <row r="20" spans="1:16" x14ac:dyDescent="0.25">
      <c r="A20" s="2">
        <v>1.7000000000000001E-4</v>
      </c>
      <c r="B20" s="3" cm="1">
        <f t="array" ref="B20">SQRT((4*POWER(ttotal4,2)*st_a[[#This Row],[s(ta)]])/(9*s_t))</f>
        <v>3.9674602380793615E-2</v>
      </c>
      <c r="C20" s="3">
        <f t="shared" si="3"/>
        <v>1.1845844348185655E-3</v>
      </c>
      <c r="D20" s="14">
        <f t="shared" si="0"/>
        <v>23.691688696371308</v>
      </c>
      <c r="G20" s="8">
        <v>9.2000000000000003E-4</v>
      </c>
      <c r="H20" s="3" cm="1">
        <f t="array" ref="H20">((2*ttotal4)/(3*s_t))*(st_b[[#This Row],[s(tb)]]+(s_t/4))</f>
        <v>9.2777777777777765E-2</v>
      </c>
      <c r="I20" s="3">
        <f t="shared" si="4"/>
        <v>5.5555555555554526E-4</v>
      </c>
      <c r="J20" s="14">
        <f t="shared" si="1"/>
        <v>11.111111111110905</v>
      </c>
      <c r="M20" s="8">
        <v>2.4200000000000003E-3</v>
      </c>
      <c r="N20" s="3">
        <f>(-INDEX(Overview[b],4)+SQRT(POWER(INDEX(Overview[b],4),2)-(4*INDEX(Overview[a],4)*st_c[[#This Row],[c]])))/(2*INDEX(Overview[a],4))</f>
        <v>0.17671718912070603</v>
      </c>
      <c r="O20" s="3">
        <f t="shared" si="5"/>
        <v>6.2904854098411178E-4</v>
      </c>
      <c r="P20" s="14">
        <f t="shared" si="2"/>
        <v>12.580970819682236</v>
      </c>
    </row>
    <row r="21" spans="1:16" x14ac:dyDescent="0.25">
      <c r="A21" s="2">
        <v>1.8000000000000001E-4</v>
      </c>
      <c r="B21" s="3" cm="1">
        <f t="array" ref="B21">SQRT((4*POWER(ttotal4,2)*st_a[[#This Row],[s(ta)]])/(9*s_t))</f>
        <v>4.0824829046386304E-2</v>
      </c>
      <c r="C21" s="3">
        <f t="shared" si="3"/>
        <v>1.1502266655926893E-3</v>
      </c>
      <c r="D21" s="14">
        <f t="shared" si="0"/>
        <v>23.004533311853784</v>
      </c>
      <c r="G21" s="8">
        <v>9.3000000000000005E-4</v>
      </c>
      <c r="H21" s="3" cm="1">
        <f t="array" ref="H21">((2*ttotal4)/(3*s_t))*(st_b[[#This Row],[s(tb)]]+(s_t/4))</f>
        <v>9.3333333333333324E-2</v>
      </c>
      <c r="I21" s="3">
        <f t="shared" si="4"/>
        <v>5.5555555555555913E-4</v>
      </c>
      <c r="J21" s="14">
        <f t="shared" si="1"/>
        <v>11.111111111111182</v>
      </c>
      <c r="M21" s="8">
        <v>2.4300000000000003E-3</v>
      </c>
      <c r="N21" s="3">
        <f>(-INDEX(Overview[b],4)+SQRT(POWER(INDEX(Overview[b],4),2)-(4*INDEX(Overview[a],4)*st_c[[#This Row],[c]])))/(2*INDEX(Overview[a],4))</f>
        <v>0.1773516842743221</v>
      </c>
      <c r="O21" s="3">
        <f t="shared" si="5"/>
        <v>6.34495153616077E-4</v>
      </c>
      <c r="P21" s="14">
        <f t="shared" si="2"/>
        <v>12.68990307232154</v>
      </c>
    </row>
    <row r="22" spans="1:16" x14ac:dyDescent="0.25">
      <c r="A22" s="2">
        <v>1.9000000000000001E-4</v>
      </c>
      <c r="B22" s="3" cm="1">
        <f t="array" ref="B22">SQRT((4*POWER(ttotal4,2)*st_a[[#This Row],[s(ta)]])/(9*s_t))</f>
        <v>4.1943524640393054E-2</v>
      </c>
      <c r="C22" s="3">
        <f t="shared" si="3"/>
        <v>1.1186955940067494E-3</v>
      </c>
      <c r="D22" s="14">
        <f t="shared" si="0"/>
        <v>22.373911880134987</v>
      </c>
      <c r="G22" s="8">
        <v>9.4000000000000008E-4</v>
      </c>
      <c r="H22" s="3" cm="1">
        <f t="array" ref="H22">((2*ttotal4)/(3*s_t))*(st_b[[#This Row],[s(tb)]]+(s_t/4))</f>
        <v>9.3888888888888883E-2</v>
      </c>
      <c r="I22" s="3">
        <f t="shared" si="4"/>
        <v>5.5555555555555913E-4</v>
      </c>
      <c r="J22" s="14">
        <f t="shared" si="1"/>
        <v>11.111111111111182</v>
      </c>
      <c r="M22" s="8">
        <v>2.4400000000000003E-3</v>
      </c>
      <c r="N22" s="3">
        <f>(-INDEX(Overview[b],4)+SQRT(POWER(INDEX(Overview[b],4),2)-(4*INDEX(Overview[a],4)*st_c[[#This Row],[c]])))/(2*INDEX(Overview[a],4))</f>
        <v>0.17799177001769048</v>
      </c>
      <c r="O22" s="3">
        <f t="shared" si="5"/>
        <v>6.4008574336837931E-4</v>
      </c>
      <c r="P22" s="14">
        <f t="shared" si="2"/>
        <v>12.801714867367586</v>
      </c>
    </row>
    <row r="23" spans="1:16" x14ac:dyDescent="0.25">
      <c r="A23" s="2">
        <v>2.0000000000000001E-4</v>
      </c>
      <c r="B23" s="3" cm="1">
        <f t="array" ref="B23">SQRT((4*POWER(ttotal4,2)*st_a[[#This Row],[s(ta)]])/(9*s_t))</f>
        <v>4.3033148291193521E-2</v>
      </c>
      <c r="C23" s="3">
        <f t="shared" si="3"/>
        <v>1.089623650800467E-3</v>
      </c>
      <c r="D23" s="14">
        <f t="shared" si="0"/>
        <v>21.792473016009339</v>
      </c>
      <c r="G23" s="8">
        <v>9.5000000000000011E-4</v>
      </c>
      <c r="H23" s="3" cm="1">
        <f t="array" ref="H23">((2*ttotal4)/(3*s_t))*(st_b[[#This Row],[s(tb)]]+(s_t/4))</f>
        <v>9.4444444444444442E-2</v>
      </c>
      <c r="I23" s="3">
        <f t="shared" si="4"/>
        <v>5.5555555555555913E-4</v>
      </c>
      <c r="J23" s="14">
        <f t="shared" si="1"/>
        <v>11.111111111111182</v>
      </c>
      <c r="M23" s="8">
        <v>2.4500000000000004E-3</v>
      </c>
      <c r="N23" s="3">
        <f>(-INDEX(Overview[b],4)+SQRT(POWER(INDEX(Overview[b],4),2)-(4*INDEX(Overview[a],4)*st_c[[#This Row],[c]])))/(2*INDEX(Overview[a],4))</f>
        <v>0.17863759678519378</v>
      </c>
      <c r="O23" s="3">
        <f t="shared" si="5"/>
        <v>6.4582676750329915E-4</v>
      </c>
      <c r="P23" s="14">
        <f t="shared" si="2"/>
        <v>12.916535350065983</v>
      </c>
    </row>
    <row r="24" spans="1:16" x14ac:dyDescent="0.25">
      <c r="A24" s="2">
        <v>2.1000000000000001E-4</v>
      </c>
      <c r="B24" s="3" cm="1">
        <f t="array" ref="B24">SQRT((4*POWER(ttotal4,2)*st_a[[#This Row],[s(ta)]])/(9*s_t))</f>
        <v>4.4095855184409845E-2</v>
      </c>
      <c r="C24" s="3">
        <f t="shared" si="3"/>
        <v>1.0627068932163239E-3</v>
      </c>
      <c r="D24" s="14">
        <f t="shared" si="0"/>
        <v>21.254137864326477</v>
      </c>
      <c r="G24" s="8">
        <v>9.6000000000000013E-4</v>
      </c>
      <c r="H24" s="3" cm="1">
        <f t="array" ref="H24">((2*ttotal4)/(3*s_t))*(st_b[[#This Row],[s(tb)]]+(s_t/4))</f>
        <v>9.5000000000000001E-2</v>
      </c>
      <c r="I24" s="3">
        <f t="shared" si="4"/>
        <v>5.5555555555555913E-4</v>
      </c>
      <c r="J24" s="14">
        <f t="shared" si="1"/>
        <v>11.111111111111182</v>
      </c>
      <c r="M24" s="8">
        <v>2.4600000000000004E-3</v>
      </c>
      <c r="N24" s="3">
        <f>(-INDEX(Overview[b],4)+SQRT(POWER(INDEX(Overview[b],4),2)-(4*INDEX(Overview[a],4)*st_c[[#This Row],[c]])))/(2*INDEX(Overview[a],4))</f>
        <v>0.17928932188134528</v>
      </c>
      <c r="O24" s="3">
        <f t="shared" si="5"/>
        <v>6.5172509615149532E-4</v>
      </c>
      <c r="P24" s="14">
        <f t="shared" si="2"/>
        <v>13.034501923029906</v>
      </c>
    </row>
    <row r="25" spans="1:16" x14ac:dyDescent="0.25">
      <c r="A25" s="2">
        <v>2.2000000000000001E-4</v>
      </c>
      <c r="B25" s="3" cm="1">
        <f t="array" ref="B25">SQRT((4*POWER(ttotal4,2)*st_a[[#This Row],[s(ta)]])/(9*s_t))</f>
        <v>4.5133546692422005E-2</v>
      </c>
      <c r="C25" s="3">
        <f t="shared" si="3"/>
        <v>1.0376915080121604E-3</v>
      </c>
      <c r="D25" s="14">
        <f t="shared" si="0"/>
        <v>20.753830160243208</v>
      </c>
      <c r="G25" s="8">
        <v>9.7000000000000005E-4</v>
      </c>
      <c r="H25" s="3" cm="1">
        <f t="array" ref="H25">((2*ttotal4)/(3*s_t))*(st_b[[#This Row],[s(tb)]]+(s_t/4))</f>
        <v>9.555555555555556E-2</v>
      </c>
      <c r="I25" s="3">
        <f t="shared" si="4"/>
        <v>5.5555555555555913E-4</v>
      </c>
      <c r="J25" s="14">
        <f t="shared" si="1"/>
        <v>11.111111111111182</v>
      </c>
      <c r="M25" s="8">
        <v>2.4700000000000004E-3</v>
      </c>
      <c r="N25" s="3">
        <f>(-INDEX(Overview[b],4)+SQRT(POWER(INDEX(Overview[b],4),2)-(4*INDEX(Overview[a],4)*st_c[[#This Row],[c]])))/(2*INDEX(Overview[a],4))</f>
        <v>0.17994710992823063</v>
      </c>
      <c r="O25" s="3">
        <f t="shared" si="5"/>
        <v>6.577880468853492E-4</v>
      </c>
      <c r="P25" s="14">
        <f t="shared" si="2"/>
        <v>13.155760937706983</v>
      </c>
    </row>
    <row r="26" spans="1:16" x14ac:dyDescent="0.25">
      <c r="A26" s="2">
        <v>2.3000000000000001E-4</v>
      </c>
      <c r="B26" s="3" cm="1">
        <f t="array" ref="B26">SQRT((4*POWER(ttotal4,2)*st_a[[#This Row],[s(ta)]])/(9*s_t))</f>
        <v>4.6147910349544859E-2</v>
      </c>
      <c r="C26" s="3">
        <f t="shared" si="3"/>
        <v>1.0143636571228534E-3</v>
      </c>
      <c r="D26" s="14">
        <f t="shared" si="0"/>
        <v>20.287273142457067</v>
      </c>
      <c r="G26" s="8">
        <v>9.8000000000000019E-4</v>
      </c>
      <c r="H26" s="3" cm="1">
        <f t="array" ref="H26">((2*ttotal4)/(3*s_t))*(st_b[[#This Row],[s(tb)]]+(s_t/4))</f>
        <v>9.6111111111111119E-2</v>
      </c>
      <c r="I26" s="3">
        <f t="shared" si="4"/>
        <v>5.5555555555555913E-4</v>
      </c>
      <c r="J26" s="14">
        <f t="shared" si="1"/>
        <v>11.111111111111182</v>
      </c>
      <c r="M26" s="8">
        <v>2.48E-3</v>
      </c>
      <c r="N26" s="3">
        <f>(-INDEX(Overview[b],4)+SQRT(POWER(INDEX(Overview[b],4),2)-(4*INDEX(Overview[a],4)*st_c[[#This Row],[c]])))/(2*INDEX(Overview[a],4))</f>
        <v>0.18061113335112894</v>
      </c>
      <c r="O26" s="3">
        <f t="shared" si="5"/>
        <v>6.6402342289831329E-4</v>
      </c>
      <c r="P26" s="14">
        <f t="shared" si="2"/>
        <v>13.280468457966265</v>
      </c>
    </row>
    <row r="27" spans="1:16" x14ac:dyDescent="0.25">
      <c r="A27" s="2">
        <v>2.4000000000000003E-4</v>
      </c>
      <c r="B27" s="3" cm="1">
        <f t="array" ref="B27">SQRT((4*POWER(ttotal4,2)*st_a[[#This Row],[s(ta)]])/(9*s_t))</f>
        <v>4.7140452079103175E-2</v>
      </c>
      <c r="C27" s="3">
        <f t="shared" si="3"/>
        <v>9.925417295583161E-4</v>
      </c>
      <c r="D27" s="14">
        <f t="shared" si="0"/>
        <v>19.850834591166322</v>
      </c>
      <c r="G27" s="8">
        <v>9.8999999999999999E-4</v>
      </c>
      <c r="H27" s="3" cm="1">
        <f t="array" ref="H27">((2*ttotal4)/(3*s_t))*(st_b[[#This Row],[s(tb)]]+(s_t/4))</f>
        <v>9.6666666666666651E-2</v>
      </c>
      <c r="I27" s="3">
        <f t="shared" si="4"/>
        <v>5.5555555555553138E-4</v>
      </c>
      <c r="J27" s="14">
        <f t="shared" si="1"/>
        <v>11.111111111110628</v>
      </c>
      <c r="M27" s="8">
        <v>2.49E-3</v>
      </c>
      <c r="N27" s="3">
        <f>(-INDEX(Overview[b],4)+SQRT(POWER(INDEX(Overview[b],4),2)-(4*INDEX(Overview[a],4)*st_c[[#This Row],[c]])))/(2*INDEX(Overview[a],4))</f>
        <v>0.18128157290637231</v>
      </c>
      <c r="O27" s="3">
        <f t="shared" si="5"/>
        <v>6.7043955524337395E-4</v>
      </c>
      <c r="P27" s="14">
        <f t="shared" si="2"/>
        <v>13.408791104867479</v>
      </c>
    </row>
    <row r="28" spans="1:16" x14ac:dyDescent="0.25">
      <c r="A28" s="2">
        <v>2.5000000000000001E-4</v>
      </c>
      <c r="B28" s="3" cm="1">
        <f t="array" ref="B28">SQRT((4*POWER(ttotal4,2)*st_a[[#This Row],[s(ta)]])/(9*s_t))</f>
        <v>4.8112522432468816E-2</v>
      </c>
      <c r="C28" s="3">
        <f t="shared" si="3"/>
        <v>9.7207035336564079E-4</v>
      </c>
      <c r="D28" s="14">
        <f t="shared" si="0"/>
        <v>19.441407067312817</v>
      </c>
      <c r="G28" s="8">
        <v>1E-3</v>
      </c>
      <c r="H28" s="3" cm="1">
        <f t="array" ref="H28">((2*ttotal4)/(3*s_t))*(st_b[[#This Row],[s(tb)]]+(s_t/4))</f>
        <v>9.722222222222221E-2</v>
      </c>
      <c r="I28" s="3">
        <f t="shared" si="4"/>
        <v>5.5555555555555913E-4</v>
      </c>
      <c r="J28" s="14">
        <f t="shared" si="1"/>
        <v>11.111111111111182</v>
      </c>
      <c r="M28" s="8">
        <v>2.5000000000000001E-3</v>
      </c>
      <c r="N28" s="3">
        <f>(-INDEX(Overview[b],4)+SQRT(POWER(INDEX(Overview[b],4),2)-(4*INDEX(Overview[a],4)*st_c[[#This Row],[c]])))/(2*INDEX(Overview[a],4))</f>
        <v>0.18195861825602291</v>
      </c>
      <c r="O28" s="3">
        <f t="shared" si="5"/>
        <v>6.7704534965060126E-4</v>
      </c>
      <c r="P28" s="14">
        <f t="shared" si="2"/>
        <v>13.540906993012024</v>
      </c>
    </row>
    <row r="29" spans="1:16" x14ac:dyDescent="0.25">
      <c r="A29" s="2">
        <v>2.6000000000000003E-4</v>
      </c>
      <c r="B29" s="3" cm="1">
        <f t="array" ref="B29">SQRT((4*POWER(ttotal4,2)*st_a[[#This Row],[s(ta)]])/(9*s_t))</f>
        <v>4.9065338146265819E-2</v>
      </c>
      <c r="C29" s="3">
        <f t="shared" si="3"/>
        <v>9.5281571379700336E-4</v>
      </c>
      <c r="D29" s="14">
        <f t="shared" si="0"/>
        <v>19.056314275940068</v>
      </c>
      <c r="G29" s="8">
        <v>1.01E-3</v>
      </c>
      <c r="H29" s="3" cm="1">
        <f t="array" ref="H29">((2*ttotal4)/(3*s_t))*(st_b[[#This Row],[s(tb)]]+(s_t/4))</f>
        <v>9.7777777777777769E-2</v>
      </c>
      <c r="I29" s="3">
        <f t="shared" si="4"/>
        <v>5.5555555555555913E-4</v>
      </c>
      <c r="J29" s="14">
        <f t="shared" si="1"/>
        <v>11.111111111111182</v>
      </c>
      <c r="M29" s="8">
        <v>2.5100000000000001E-3</v>
      </c>
      <c r="N29" s="3">
        <f>(-INDEX(Overview[b],4)+SQRT(POWER(INDEX(Overview[b],4),2)-(4*INDEX(Overview[a],4)*st_c[[#This Row],[c]])))/(2*INDEX(Overview[a],4))</f>
        <v>0.18264246859454372</v>
      </c>
      <c r="O29" s="3">
        <f t="shared" si="5"/>
        <v>6.8385033852080834E-4</v>
      </c>
      <c r="P29" s="14">
        <f t="shared" si="2"/>
        <v>13.677006770416167</v>
      </c>
    </row>
    <row r="30" spans="1:16" x14ac:dyDescent="0.25">
      <c r="A30" s="2">
        <v>2.7E-4</v>
      </c>
      <c r="B30" s="3" cm="1">
        <f t="array" ref="B30">SQRT((4*POWER(ttotal4,2)*st_a[[#This Row],[s(ta)]])/(9*s_t))</f>
        <v>0.05</v>
      </c>
      <c r="C30" s="3">
        <f t="shared" si="3"/>
        <v>9.3466185373418387E-4</v>
      </c>
      <c r="D30" s="14">
        <f t="shared" si="0"/>
        <v>18.693237074683676</v>
      </c>
      <c r="G30" s="8">
        <v>1.0200000000000001E-3</v>
      </c>
      <c r="H30" s="3" cm="1">
        <f t="array" ref="H30">((2*ttotal4)/(3*s_t))*(st_b[[#This Row],[s(tb)]]+(s_t/4))</f>
        <v>9.8333333333333328E-2</v>
      </c>
      <c r="I30" s="3">
        <f t="shared" si="4"/>
        <v>5.5555555555555913E-4</v>
      </c>
      <c r="J30" s="14">
        <f t="shared" si="1"/>
        <v>11.111111111111182</v>
      </c>
      <c r="M30" s="8">
        <v>2.5200000000000001E-3</v>
      </c>
      <c r="N30" s="3">
        <f>(-INDEX(Overview[b],4)+SQRT(POWER(INDEX(Overview[b],4),2)-(4*INDEX(Overview[a],4)*st_c[[#This Row],[c]])))/(2*INDEX(Overview[a],4))</f>
        <v>0.18333333333333332</v>
      </c>
      <c r="O30" s="3">
        <f t="shared" si="5"/>
        <v>6.9086473878959831E-4</v>
      </c>
      <c r="P30" s="14">
        <f t="shared" si="2"/>
        <v>13.817294775791966</v>
      </c>
    </row>
    <row r="31" spans="1:16" x14ac:dyDescent="0.25">
      <c r="A31" s="2">
        <v>2.8000000000000003E-4</v>
      </c>
      <c r="B31" s="3" cm="1">
        <f t="array" ref="B31">SQRT((4*POWER(ttotal4,2)*st_a[[#This Row],[s(ta)]])/(9*s_t))</f>
        <v>5.0917507721731557E-2</v>
      </c>
      <c r="C31" s="3">
        <f t="shared" si="3"/>
        <v>9.1750772173155443E-4</v>
      </c>
      <c r="D31" s="14">
        <f t="shared" si="0"/>
        <v>18.350154434631087</v>
      </c>
      <c r="G31" s="8">
        <v>1.0300000000000001E-3</v>
      </c>
      <c r="H31" s="3" cm="1">
        <f t="array" ref="H31">((2*ttotal4)/(3*s_t))*(st_b[[#This Row],[s(tb)]]+(s_t/4))</f>
        <v>9.8888888888888887E-2</v>
      </c>
      <c r="I31" s="3">
        <f t="shared" si="4"/>
        <v>5.5555555555555913E-4</v>
      </c>
      <c r="J31" s="14">
        <f t="shared" si="1"/>
        <v>11.111111111111182</v>
      </c>
      <c r="M31" s="8">
        <v>2.5300000000000001E-3</v>
      </c>
      <c r="N31" s="3">
        <f>(-INDEX(Overview[b],4)+SQRT(POWER(INDEX(Overview[b],4),2)-(4*INDEX(Overview[a],4)*st_c[[#This Row],[c]])))/(2*INDEX(Overview[a],4))</f>
        <v>0.1840314328497894</v>
      </c>
      <c r="O31" s="3">
        <f t="shared" si="5"/>
        <v>6.9809951645607993E-4</v>
      </c>
      <c r="P31" s="14">
        <f t="shared" si="2"/>
        <v>13.961990329121598</v>
      </c>
    </row>
    <row r="32" spans="1:16" x14ac:dyDescent="0.25">
      <c r="A32" s="2">
        <v>2.9E-4</v>
      </c>
      <c r="B32" s="3" cm="1">
        <f t="array" ref="B32">SQRT((4*POWER(ttotal4,2)*st_a[[#This Row],[s(ta)]])/(9*s_t))</f>
        <v>5.1818772517160085E-2</v>
      </c>
      <c r="C32" s="3">
        <f t="shared" si="3"/>
        <v>9.0126479542852744E-4</v>
      </c>
      <c r="D32" s="14">
        <f t="shared" si="0"/>
        <v>18.025295908570548</v>
      </c>
      <c r="G32" s="8">
        <v>1.0400000000000001E-3</v>
      </c>
      <c r="H32" s="3" cm="1">
        <f t="array" ref="H32">((2*ttotal4)/(3*s_t))*(st_b[[#This Row],[s(tb)]]+(s_t/4))</f>
        <v>9.9444444444444446E-2</v>
      </c>
      <c r="I32" s="3">
        <f t="shared" si="4"/>
        <v>5.5555555555555913E-4</v>
      </c>
      <c r="J32" s="14">
        <f t="shared" si="1"/>
        <v>11.111111111111182</v>
      </c>
      <c r="M32" s="8">
        <v>2.5400000000000002E-3</v>
      </c>
      <c r="N32" s="3">
        <f>(-INDEX(Overview[b],4)+SQRT(POWER(INDEX(Overview[b],4),2)-(4*INDEX(Overview[a],4)*st_c[[#This Row],[c]])))/(2*INDEX(Overview[a],4))</f>
        <v>0.18473699930849605</v>
      </c>
      <c r="O32" s="3">
        <f t="shared" si="5"/>
        <v>7.055664587066468E-4</v>
      </c>
      <c r="P32" s="14">
        <f t="shared" si="2"/>
        <v>14.111329174132935</v>
      </c>
    </row>
    <row r="33" spans="1:16" x14ac:dyDescent="0.25">
      <c r="A33" s="2">
        <v>3.0000000000000003E-4</v>
      </c>
      <c r="B33" s="3" cm="1">
        <f t="array" ref="B33">SQRT((4*POWER(ttotal4,2)*st_a[[#This Row],[s(ta)]])/(9*s_t))</f>
        <v>5.2704627669472988E-2</v>
      </c>
      <c r="C33" s="3">
        <f t="shared" si="3"/>
        <v>8.8585515231290324E-4</v>
      </c>
      <c r="D33" s="14">
        <f t="shared" si="0"/>
        <v>17.717103046258064</v>
      </c>
      <c r="G33" s="8">
        <v>1.0500000000000002E-3</v>
      </c>
      <c r="H33" s="3" cm="1">
        <f t="array" ref="H33">((2*ttotal4)/(3*s_t))*(st_b[[#This Row],[s(tb)]]+(s_t/4))</f>
        <v>0.1</v>
      </c>
      <c r="I33" s="3">
        <f t="shared" si="4"/>
        <v>5.5555555555555913E-4</v>
      </c>
      <c r="J33" s="14">
        <f t="shared" si="1"/>
        <v>11.111111111111182</v>
      </c>
      <c r="M33" s="8">
        <v>2.5500000000000002E-3</v>
      </c>
      <c r="N33" s="3">
        <f>(-INDEX(Overview[b],4)+SQRT(POWER(INDEX(Overview[b],4),2)-(4*INDEX(Overview[a],4)*st_c[[#This Row],[c]])))/(2*INDEX(Overview[a],4))</f>
        <v>0.18545027756320973</v>
      </c>
      <c r="O33" s="3">
        <f t="shared" si="5"/>
        <v>7.1327825471367845E-4</v>
      </c>
      <c r="P33" s="14">
        <f t="shared" si="2"/>
        <v>14.265565094273569</v>
      </c>
    </row>
    <row r="34" spans="1:16" x14ac:dyDescent="0.25">
      <c r="A34" s="2">
        <v>3.1E-4</v>
      </c>
      <c r="B34" s="3" cm="1">
        <f t="array" ref="B34">SQRT((4*POWER(ttotal4,2)*st_a[[#This Row],[s(ta)]])/(9*s_t))</f>
        <v>5.3575837561071975E-2</v>
      </c>
      <c r="C34" s="3">
        <f t="shared" si="3"/>
        <v>8.7120989159898687E-4</v>
      </c>
      <c r="D34" s="14">
        <f t="shared" si="0"/>
        <v>17.424197831979736</v>
      </c>
      <c r="G34" s="8">
        <v>1.0600000000000002E-3</v>
      </c>
      <c r="H34" s="3" cm="1">
        <f t="array" ref="H34">((2*ttotal4)/(3*s_t))*(st_b[[#This Row],[s(tb)]]+(s_t/4))</f>
        <v>0.10055555555555555</v>
      </c>
      <c r="I34" s="3">
        <f t="shared" si="4"/>
        <v>5.5555555555554526E-4</v>
      </c>
      <c r="J34" s="14">
        <f t="shared" si="1"/>
        <v>11.111111111110905</v>
      </c>
      <c r="M34" s="8">
        <v>2.5600000000000002E-3</v>
      </c>
      <c r="N34" s="3">
        <f>(-INDEX(Overview[b],4)+SQRT(POWER(INDEX(Overview[b],4),2)-(4*INDEX(Overview[a],4)*st_c[[#This Row],[c]])))/(2*INDEX(Overview[a],4))</f>
        <v>0.18617152614957744</v>
      </c>
      <c r="O34" s="3">
        <f t="shared" si="5"/>
        <v>7.2124858636771205E-4</v>
      </c>
      <c r="P34" s="14">
        <f t="shared" si="2"/>
        <v>14.42497172735424</v>
      </c>
    </row>
    <row r="35" spans="1:16" x14ac:dyDescent="0.25">
      <c r="A35" s="2">
        <v>3.2000000000000003E-4</v>
      </c>
      <c r="B35" s="3" cm="1">
        <f t="array" ref="B35">SQRT((4*POWER(ttotal4,2)*st_a[[#This Row],[s(ta)]])/(9*s_t))</f>
        <v>5.4433105395181737E-2</v>
      </c>
      <c r="C35" s="3">
        <f t="shared" si="3"/>
        <v>8.5726783410976226E-4</v>
      </c>
      <c r="D35" s="14">
        <f t="shared" si="0"/>
        <v>17.145356682195246</v>
      </c>
      <c r="G35" s="8">
        <v>1.07E-3</v>
      </c>
      <c r="H35" s="3" cm="1">
        <f t="array" ref="H35">((2*ttotal4)/(3*s_t))*(st_b[[#This Row],[s(tb)]]+(s_t/4))</f>
        <v>0.1011111111111111</v>
      </c>
      <c r="I35" s="3">
        <f t="shared" si="4"/>
        <v>5.5555555555554526E-4</v>
      </c>
      <c r="J35" s="14">
        <f t="shared" si="1"/>
        <v>11.111111111110905</v>
      </c>
      <c r="M35" s="8">
        <v>2.5700000000000002E-3</v>
      </c>
      <c r="N35" s="3">
        <f>(-INDEX(Overview[b],4)+SQRT(POWER(INDEX(Overview[b],4),2)-(4*INDEX(Overview[a],4)*st_c[[#This Row],[c]])))/(2*INDEX(Overview[a],4))</f>
        <v>0.18690101837999701</v>
      </c>
      <c r="O35" s="3">
        <f t="shared" si="5"/>
        <v>7.2949223041957056E-4</v>
      </c>
      <c r="P35" s="14">
        <f t="shared" si="2"/>
        <v>14.589844608391411</v>
      </c>
    </row>
    <row r="36" spans="1:16" x14ac:dyDescent="0.25">
      <c r="A36" s="2">
        <v>3.3000000000000005E-4</v>
      </c>
      <c r="B36" s="3" cm="1">
        <f t="array" ref="B36">SQRT((4*POWER(ttotal4,2)*st_a[[#This Row],[s(ta)]])/(9*s_t))</f>
        <v>5.5277079839256671E-2</v>
      </c>
      <c r="C36" s="3">
        <f t="shared" si="3"/>
        <v>8.4397444407493388E-4</v>
      </c>
      <c r="D36" s="14">
        <f t="shared" si="0"/>
        <v>16.879488881498677</v>
      </c>
      <c r="G36" s="8">
        <v>1.08E-3</v>
      </c>
      <c r="H36" s="3" cm="1">
        <f t="array" ref="H36">((2*ttotal4)/(3*s_t))*(st_b[[#This Row],[s(tb)]]+(s_t/4))</f>
        <v>0.10166666666666666</v>
      </c>
      <c r="I36" s="3">
        <f t="shared" si="4"/>
        <v>5.5555555555555913E-4</v>
      </c>
      <c r="J36" s="14">
        <f t="shared" si="1"/>
        <v>11.111111111111182</v>
      </c>
      <c r="M36" s="8">
        <v>2.5800000000000003E-3</v>
      </c>
      <c r="N36" s="3">
        <f>(-INDEX(Overview[b],4)+SQRT(POWER(INDEX(Overview[b],4),2)-(4*INDEX(Overview[a],4)*st_c[[#This Row],[c]])))/(2*INDEX(Overview[a],4))</f>
        <v>0.1876390435537677</v>
      </c>
      <c r="O36" s="3">
        <f t="shared" si="5"/>
        <v>7.3802517377069554E-4</v>
      </c>
      <c r="P36" s="14">
        <f t="shared" si="2"/>
        <v>14.760503475413911</v>
      </c>
    </row>
    <row r="37" spans="1:16" x14ac:dyDescent="0.25">
      <c r="A37" s="2">
        <v>3.4000000000000002E-4</v>
      </c>
      <c r="B37" s="3" cm="1">
        <f t="array" ref="B37">SQRT((4*POWER(ttotal4,2)*st_a[[#This Row],[s(ta)]])/(9*s_t))</f>
        <v>5.6108360768678214E-2</v>
      </c>
      <c r="C37" s="3">
        <f t="shared" si="3"/>
        <v>8.3128092942154341E-4</v>
      </c>
      <c r="D37" s="14">
        <f t="shared" si="0"/>
        <v>16.625618588430868</v>
      </c>
      <c r="G37" s="8">
        <v>1.09E-3</v>
      </c>
      <c r="H37" s="3" cm="1">
        <f t="array" ref="H37">((2*ttotal4)/(3*s_t))*(st_b[[#This Row],[s(tb)]]+(s_t/4))</f>
        <v>0.10222222222222221</v>
      </c>
      <c r="I37" s="3">
        <f t="shared" si="4"/>
        <v>5.5555555555555913E-4</v>
      </c>
      <c r="J37" s="14">
        <f t="shared" si="1"/>
        <v>11.111111111111182</v>
      </c>
      <c r="M37" s="8">
        <v>2.5900000000000003E-3</v>
      </c>
      <c r="N37" s="3">
        <f>(-INDEX(Overview[b],4)+SQRT(POWER(INDEX(Overview[b],4),2)-(4*INDEX(Overview[a],4)*st_c[[#This Row],[c]])))/(2*INDEX(Overview[a],4))</f>
        <v>0.1883859082977255</v>
      </c>
      <c r="O37" s="3">
        <f t="shared" si="5"/>
        <v>7.4686474395779801E-4</v>
      </c>
      <c r="P37" s="14">
        <f t="shared" si="2"/>
        <v>14.93729487915596</v>
      </c>
    </row>
    <row r="38" spans="1:16" x14ac:dyDescent="0.25">
      <c r="A38" s="2">
        <v>3.5000000000000005E-4</v>
      </c>
      <c r="B38" s="3" cm="1">
        <f t="array" ref="B38">SQRT((4*POWER(ttotal4,2)*st_a[[#This Row],[s(ta)]])/(9*s_t))</f>
        <v>5.6927504255331107E-2</v>
      </c>
      <c r="C38" s="3">
        <f t="shared" si="3"/>
        <v>8.1914348665289294E-4</v>
      </c>
      <c r="D38" s="14">
        <f t="shared" si="0"/>
        <v>16.382869733057859</v>
      </c>
      <c r="G38" s="8">
        <v>1.1000000000000001E-3</v>
      </c>
      <c r="H38" s="3" cm="1">
        <f t="array" ref="H38">((2*ttotal4)/(3*s_t))*(st_b[[#This Row],[s(tb)]]+(s_t/4))</f>
        <v>0.10277777777777777</v>
      </c>
      <c r="I38" s="3">
        <f t="shared" si="4"/>
        <v>5.5555555555555913E-4</v>
      </c>
      <c r="J38" s="14">
        <f t="shared" si="1"/>
        <v>11.111111111111182</v>
      </c>
      <c r="M38" s="8">
        <v>2.6000000000000003E-3</v>
      </c>
      <c r="N38" s="3">
        <f>(-INDEX(Overview[b],4)+SQRT(POWER(INDEX(Overview[b],4),2)-(4*INDEX(Overview[a],4)*st_c[[#This Row],[c]])))/(2*INDEX(Overview[a],4))</f>
        <v>0.18914193805498156</v>
      </c>
      <c r="O38" s="3">
        <f t="shared" si="5"/>
        <v>7.5602975725605481E-4</v>
      </c>
      <c r="P38" s="14">
        <f t="shared" si="2"/>
        <v>15.120595145121095</v>
      </c>
    </row>
    <row r="39" spans="1:16" x14ac:dyDescent="0.25">
      <c r="A39" s="2">
        <v>3.6000000000000002E-4</v>
      </c>
      <c r="B39" s="3" cm="1">
        <f t="array" ref="B39">SQRT((4*POWER(ttotal4,2)*st_a[[#This Row],[s(ta)]])/(9*s_t))</f>
        <v>5.7735026918962581E-2</v>
      </c>
      <c r="C39" s="3">
        <f t="shared" si="3"/>
        <v>8.0752266363147418E-4</v>
      </c>
      <c r="D39" s="14">
        <f t="shared" si="0"/>
        <v>16.150453272629484</v>
      </c>
      <c r="G39" s="8">
        <v>1.1100000000000001E-3</v>
      </c>
      <c r="H39" s="3" cm="1">
        <f t="array" ref="H39">((2*ttotal4)/(3*s_t))*(st_b[[#This Row],[s(tb)]]+(s_t/4))</f>
        <v>0.10333333333333333</v>
      </c>
      <c r="I39" s="3">
        <f t="shared" si="4"/>
        <v>5.5555555555555913E-4</v>
      </c>
      <c r="J39" s="14">
        <f t="shared" si="1"/>
        <v>11.111111111111182</v>
      </c>
      <c r="M39" s="8">
        <v>2.6100000000000003E-3</v>
      </c>
      <c r="N39" s="3">
        <f>(-INDEX(Overview[b],4)+SQRT(POWER(INDEX(Overview[b],4),2)-(4*INDEX(Overview[a],4)*st_c[[#This Row],[c]])))/(2*INDEX(Overview[a],4))</f>
        <v>0.18990747874226693</v>
      </c>
      <c r="O39" s="3">
        <f t="shared" si="5"/>
        <v>7.655406872853765E-4</v>
      </c>
      <c r="P39" s="14">
        <f t="shared" si="2"/>
        <v>15.310813745707529</v>
      </c>
    </row>
    <row r="40" spans="1:16" x14ac:dyDescent="0.25">
      <c r="A40" s="2">
        <v>3.7000000000000005E-4</v>
      </c>
      <c r="B40" s="3" cm="1">
        <f t="array" ref="B40">SQRT((4*POWER(ttotal4,2)*st_a[[#This Row],[s(ta)]])/(9*s_t))</f>
        <v>5.8531409738070778E-2</v>
      </c>
      <c r="C40" s="3">
        <f t="shared" si="3"/>
        <v>7.9638281910819619E-4</v>
      </c>
      <c r="D40" s="14">
        <f t="shared" si="0"/>
        <v>15.927656382163923</v>
      </c>
      <c r="G40" s="8">
        <v>1.1200000000000001E-3</v>
      </c>
      <c r="H40" s="3" cm="1">
        <f t="array" ref="H40">((2*ttotal4)/(3*s_t))*(st_b[[#This Row],[s(tb)]]+(s_t/4))</f>
        <v>0.10388888888888889</v>
      </c>
      <c r="I40" s="3">
        <f t="shared" si="4"/>
        <v>5.5555555555555913E-4</v>
      </c>
      <c r="J40" s="14">
        <f t="shared" si="1"/>
        <v>11.111111111111182</v>
      </c>
      <c r="M40" s="8">
        <v>2.6200000000000004E-3</v>
      </c>
      <c r="N40" s="3">
        <f>(-INDEX(Overview[b],4)+SQRT(POWER(INDEX(Overview[b],4),2)-(4*INDEX(Overview[a],4)*st_c[[#This Row],[c]])))/(2*INDEX(Overview[a],4))</f>
        <v>0.19068289859982612</v>
      </c>
      <c r="O40" s="3">
        <f t="shared" si="5"/>
        <v>7.7541985755918974E-4</v>
      </c>
      <c r="P40" s="14">
        <f t="shared" si="2"/>
        <v>15.508397151183795</v>
      </c>
    </row>
    <row r="41" spans="1:16" x14ac:dyDescent="0.25">
      <c r="A41" s="2">
        <v>3.8000000000000002E-4</v>
      </c>
      <c r="B41" s="3" cm="1">
        <f t="array" ref="B41">SQRT((4*POWER(ttotal4,2)*st_a[[#This Row],[s(ta)]])/(9*s_t))</f>
        <v>5.9317101400173954E-2</v>
      </c>
      <c r="C41" s="3">
        <f t="shared" si="3"/>
        <v>7.8569166210317593E-4</v>
      </c>
      <c r="D41" s="14">
        <f t="shared" si="0"/>
        <v>15.713833242063517</v>
      </c>
      <c r="G41" s="8">
        <v>1.1300000000000001E-3</v>
      </c>
      <c r="H41" s="3" cm="1">
        <f t="array" ref="H41">((2*ttotal4)/(3*s_t))*(st_b[[#This Row],[s(tb)]]+(s_t/4))</f>
        <v>0.10444444444444444</v>
      </c>
      <c r="I41" s="3">
        <f t="shared" si="4"/>
        <v>5.5555555555554526E-4</v>
      </c>
      <c r="J41" s="14">
        <f t="shared" si="1"/>
        <v>11.111111111110905</v>
      </c>
      <c r="M41" s="8">
        <v>2.6300000000000004E-3</v>
      </c>
      <c r="N41" s="3">
        <f>(-INDEX(Overview[b],4)+SQRT(POWER(INDEX(Overview[b],4),2)-(4*INDEX(Overview[a],4)*st_c[[#This Row],[c]])))/(2*INDEX(Overview[a],4))</f>
        <v>0.19146859026192931</v>
      </c>
      <c r="O41" s="3">
        <f t="shared" si="5"/>
        <v>7.8569166210318286E-4</v>
      </c>
      <c r="P41" s="14">
        <f t="shared" si="2"/>
        <v>15.713833242063657</v>
      </c>
    </row>
    <row r="42" spans="1:16" x14ac:dyDescent="0.25">
      <c r="A42" s="2">
        <v>3.9000000000000005E-4</v>
      </c>
      <c r="B42" s="3" cm="1">
        <f t="array" ref="B42">SQRT((4*POWER(ttotal4,2)*st_a[[#This Row],[s(ta)]])/(9*s_t))</f>
        <v>6.0092521257733157E-2</v>
      </c>
      <c r="C42" s="3">
        <f t="shared" si="3"/>
        <v>7.7541985755920362E-4</v>
      </c>
      <c r="D42" s="14">
        <f t="shared" si="0"/>
        <v>15.508397151184072</v>
      </c>
      <c r="G42" s="8">
        <v>1.1400000000000002E-3</v>
      </c>
      <c r="H42" s="3" cm="1">
        <f t="array" ref="H42">((2*ttotal4)/(3*s_t))*(st_b[[#This Row],[s(tb)]]+(s_t/4))</f>
        <v>0.105</v>
      </c>
      <c r="I42" s="3">
        <f t="shared" si="4"/>
        <v>5.5555555555555913E-4</v>
      </c>
      <c r="J42" s="14">
        <f t="shared" si="1"/>
        <v>11.111111111111182</v>
      </c>
      <c r="M42" s="8">
        <v>2.6400000000000004E-3</v>
      </c>
      <c r="N42" s="3">
        <f>(-INDEX(Overview[b],4)+SQRT(POWER(INDEX(Overview[b],4),2)-(4*INDEX(Overview[a],4)*st_c[[#This Row],[c]])))/(2*INDEX(Overview[a],4))</f>
        <v>0.19226497308103749</v>
      </c>
      <c r="O42" s="3">
        <f t="shared" si="5"/>
        <v>7.9638281910818232E-4</v>
      </c>
      <c r="P42" s="14">
        <f t="shared" si="2"/>
        <v>15.927656382163645</v>
      </c>
    </row>
    <row r="43" spans="1:16" x14ac:dyDescent="0.25">
      <c r="A43" s="2">
        <v>4.0000000000000002E-4</v>
      </c>
      <c r="B43" s="3" cm="1">
        <f t="array" ref="B43">SQRT((4*POWER(ttotal4,2)*st_a[[#This Row],[s(ta)]])/(9*s_t))</f>
        <v>6.0858061945018457E-2</v>
      </c>
      <c r="C43" s="3">
        <f t="shared" si="3"/>
        <v>7.6554068728530017E-4</v>
      </c>
      <c r="D43" s="14">
        <f t="shared" si="0"/>
        <v>15.310813745706003</v>
      </c>
      <c r="G43" s="8">
        <v>1.1500000000000002E-3</v>
      </c>
      <c r="H43" s="3" cm="1">
        <f t="array" ref="H43">((2*ttotal4)/(3*s_t))*(st_b[[#This Row],[s(tb)]]+(s_t/4))</f>
        <v>0.10555555555555556</v>
      </c>
      <c r="I43" s="3">
        <f t="shared" si="4"/>
        <v>5.5555555555555913E-4</v>
      </c>
      <c r="J43" s="14">
        <f t="shared" si="1"/>
        <v>11.111111111111182</v>
      </c>
      <c r="M43" s="8">
        <v>2.65E-3</v>
      </c>
      <c r="N43" s="3">
        <f>(-INDEX(Overview[b],4)+SQRT(POWER(INDEX(Overview[b],4),2)-(4*INDEX(Overview[a],4)*st_c[[#This Row],[c]])))/(2*INDEX(Overview[a],4))</f>
        <v>0.19307249574466884</v>
      </c>
      <c r="O43" s="3">
        <f t="shared" si="5"/>
        <v>8.0752266363134928E-4</v>
      </c>
      <c r="P43" s="14">
        <f t="shared" si="2"/>
        <v>16.150453272626986</v>
      </c>
    </row>
    <row r="44" spans="1:16" x14ac:dyDescent="0.25">
      <c r="A44" s="2">
        <v>4.1000000000000005E-4</v>
      </c>
      <c r="B44" s="3" cm="1">
        <f t="array" ref="B44">SQRT((4*POWER(ttotal4,2)*st_a[[#This Row],[s(ta)]])/(9*s_t))</f>
        <v>6.1614091702274547E-2</v>
      </c>
      <c r="C44" s="3">
        <f t="shared" si="3"/>
        <v>7.5602975725608951E-4</v>
      </c>
      <c r="D44" s="14">
        <f t="shared" si="0"/>
        <v>15.12059514512179</v>
      </c>
      <c r="G44" s="8">
        <v>1.16E-3</v>
      </c>
      <c r="H44" s="3" cm="1">
        <f t="array" ref="H44">((2*ttotal4)/(3*s_t))*(st_b[[#This Row],[s(tb)]]+(s_t/4))</f>
        <v>0.1061111111111111</v>
      </c>
      <c r="I44" s="3">
        <f t="shared" si="4"/>
        <v>5.5555555555554526E-4</v>
      </c>
      <c r="J44" s="14">
        <f t="shared" si="1"/>
        <v>11.111111111110905</v>
      </c>
      <c r="M44" s="8">
        <v>2.66E-3</v>
      </c>
      <c r="N44" s="3">
        <f>(-INDEX(Overview[b],4)+SQRT(POWER(INDEX(Overview[b],4),2)-(4*INDEX(Overview[a],4)*st_c[[#This Row],[c]])))/(2*INDEX(Overview[a],4))</f>
        <v>0.19389163923132183</v>
      </c>
      <c r="O44" s="3">
        <f t="shared" si="5"/>
        <v>8.1914348665299008E-4</v>
      </c>
      <c r="P44" s="14">
        <f t="shared" si="2"/>
        <v>16.382869733059803</v>
      </c>
    </row>
    <row r="45" spans="1:16" x14ac:dyDescent="0.25">
      <c r="A45" s="2">
        <v>4.2000000000000002E-4</v>
      </c>
      <c r="B45" s="3" cm="1">
        <f t="array" ref="B45">SQRT((4*POWER(ttotal4,2)*st_a[[#This Row],[s(ta)]])/(9*s_t))</f>
        <v>6.2360956446232359E-2</v>
      </c>
      <c r="C45" s="3">
        <f t="shared" si="3"/>
        <v>7.4686474395781188E-4</v>
      </c>
      <c r="D45" s="14">
        <f t="shared" si="0"/>
        <v>14.937294879156237</v>
      </c>
      <c r="G45" s="8">
        <v>1.17E-3</v>
      </c>
      <c r="H45" s="3" cm="1">
        <f t="array" ref="H45">((2*ttotal4)/(3*s_t))*(st_b[[#This Row],[s(tb)]]+(s_t/4))</f>
        <v>0.10666666666666666</v>
      </c>
      <c r="I45" s="3">
        <f t="shared" si="4"/>
        <v>5.5555555555555913E-4</v>
      </c>
      <c r="J45" s="14">
        <f t="shared" si="1"/>
        <v>11.111111111111182</v>
      </c>
      <c r="M45" s="8">
        <v>2.6700000000000001E-3</v>
      </c>
      <c r="N45" s="3">
        <f>(-INDEX(Overview[b],4)+SQRT(POWER(INDEX(Overview[b],4),2)-(4*INDEX(Overview[a],4)*st_c[[#This Row],[c]])))/(2*INDEX(Overview[a],4))</f>
        <v>0.19472292016074344</v>
      </c>
      <c r="O45" s="3">
        <f t="shared" si="5"/>
        <v>8.312809294216128E-4</v>
      </c>
      <c r="P45" s="14">
        <f t="shared" si="2"/>
        <v>16.625618588432257</v>
      </c>
    </row>
    <row r="46" spans="1:16" x14ac:dyDescent="0.25">
      <c r="A46" s="2">
        <v>4.3000000000000004E-4</v>
      </c>
      <c r="B46" s="3" cm="1">
        <f t="array" ref="B46">SQRT((4*POWER(ttotal4,2)*st_a[[#This Row],[s(ta)]])/(9*s_t))</f>
        <v>6.3098981620003047E-2</v>
      </c>
      <c r="C46" s="3">
        <f t="shared" si="3"/>
        <v>7.380251737706886E-4</v>
      </c>
      <c r="D46" s="14">
        <f t="shared" si="0"/>
        <v>14.760503475413771</v>
      </c>
      <c r="G46" s="8">
        <v>1.1800000000000001E-3</v>
      </c>
      <c r="H46" s="3" cm="1">
        <f t="array" ref="H46">((2*ttotal4)/(3*s_t))*(st_b[[#This Row],[s(tb)]]+(s_t/4))</f>
        <v>0.10722222222222222</v>
      </c>
      <c r="I46" s="3">
        <f t="shared" si="4"/>
        <v>5.5555555555555913E-4</v>
      </c>
      <c r="J46" s="14">
        <f t="shared" si="1"/>
        <v>11.111111111111182</v>
      </c>
      <c r="M46" s="8">
        <v>2.6800000000000001E-3</v>
      </c>
      <c r="N46" s="3">
        <f>(-INDEX(Overview[b],4)+SQRT(POWER(INDEX(Overview[b],4),2)-(4*INDEX(Overview[a],4)*st_c[[#This Row],[c]])))/(2*INDEX(Overview[a],4))</f>
        <v>0.19556689460481827</v>
      </c>
      <c r="O46" s="3">
        <f t="shared" si="5"/>
        <v>8.439744440748298E-4</v>
      </c>
      <c r="P46" s="14">
        <f t="shared" si="2"/>
        <v>16.879488881496595</v>
      </c>
    </row>
    <row r="47" spans="1:16" x14ac:dyDescent="0.25">
      <c r="A47" s="2">
        <v>4.4000000000000002E-4</v>
      </c>
      <c r="B47" s="3" cm="1">
        <f t="array" ref="B47">SQRT((4*POWER(ttotal4,2)*st_a[[#This Row],[s(ta)]])/(9*s_t))</f>
        <v>6.3828473850422549E-2</v>
      </c>
      <c r="C47" s="3">
        <f t="shared" si="3"/>
        <v>7.2949223041950118E-4</v>
      </c>
      <c r="D47" s="14">
        <f t="shared" si="0"/>
        <v>14.589844608390022</v>
      </c>
      <c r="G47" s="8">
        <v>1.1900000000000001E-3</v>
      </c>
      <c r="H47" s="3" cm="1">
        <f t="array" ref="H47">((2*ttotal4)/(3*s_t))*(st_b[[#This Row],[s(tb)]]+(s_t/4))</f>
        <v>0.10777777777777778</v>
      </c>
      <c r="I47" s="3">
        <f t="shared" si="4"/>
        <v>5.5555555555555913E-4</v>
      </c>
      <c r="J47" s="14">
        <f t="shared" si="1"/>
        <v>11.111111111111182</v>
      </c>
      <c r="M47" s="8">
        <v>2.6900000000000001E-3</v>
      </c>
      <c r="N47" s="3">
        <f>(-INDEX(Overview[b],4)+SQRT(POWER(INDEX(Overview[b],4),2)-(4*INDEX(Overview[a],4)*st_c[[#This Row],[c]])))/(2*INDEX(Overview[a],4))</f>
        <v>0.19642416243892802</v>
      </c>
      <c r="O47" s="3">
        <f t="shared" si="5"/>
        <v>8.5726783410974838E-4</v>
      </c>
      <c r="P47" s="14">
        <f t="shared" si="2"/>
        <v>17.145356682194969</v>
      </c>
    </row>
    <row r="48" spans="1:16" x14ac:dyDescent="0.25">
      <c r="A48" s="2">
        <v>4.5000000000000004E-4</v>
      </c>
      <c r="B48" s="3" cm="1">
        <f t="array" ref="B48">SQRT((4*POWER(ttotal4,2)*st_a[[#This Row],[s(ta)]])/(9*s_t))</f>
        <v>6.4549722436790288E-2</v>
      </c>
      <c r="C48" s="3">
        <f t="shared" si="3"/>
        <v>7.2124858636773981E-4</v>
      </c>
      <c r="D48" s="14">
        <f t="shared" si="0"/>
        <v>14.424971727354796</v>
      </c>
      <c r="G48" s="8">
        <v>1.2000000000000001E-3</v>
      </c>
      <c r="H48" s="3" cm="1">
        <f t="array" ref="H48">((2*ttotal4)/(3*s_t))*(st_b[[#This Row],[s(tb)]]+(s_t/4))</f>
        <v>0.10833333333333332</v>
      </c>
      <c r="I48" s="3">
        <f t="shared" si="4"/>
        <v>5.5555555555554526E-4</v>
      </c>
      <c r="J48" s="14">
        <f t="shared" si="1"/>
        <v>11.111111111110905</v>
      </c>
      <c r="M48" s="8">
        <v>2.7000000000000001E-3</v>
      </c>
      <c r="N48" s="3">
        <f>(-INDEX(Overview[b],4)+SQRT(POWER(INDEX(Overview[b],4),2)-(4*INDEX(Overview[a],4)*st_c[[#This Row],[c]])))/(2*INDEX(Overview[a],4))</f>
        <v>0.19729537233052707</v>
      </c>
      <c r="O48" s="3">
        <f t="shared" si="5"/>
        <v>8.7120989159905626E-4</v>
      </c>
      <c r="P48" s="14">
        <f t="shared" si="2"/>
        <v>17.424197831981125</v>
      </c>
    </row>
    <row r="49" spans="1:16" x14ac:dyDescent="0.25">
      <c r="A49" s="2">
        <v>4.6000000000000001E-4</v>
      </c>
      <c r="B49" s="3" cm="1">
        <f t="array" ref="B49">SQRT((4*POWER(ttotal4,2)*st_a[[#This Row],[s(ta)]])/(9*s_t))</f>
        <v>6.5263000691504064E-2</v>
      </c>
      <c r="C49" s="3">
        <f t="shared" si="3"/>
        <v>7.1327825471377559E-4</v>
      </c>
      <c r="D49" s="14">
        <f t="shared" si="0"/>
        <v>14.265565094275511</v>
      </c>
      <c r="G49" s="8">
        <v>1.2100000000000001E-3</v>
      </c>
      <c r="H49" s="3" cm="1">
        <f t="array" ref="H49">((2*ttotal4)/(3*s_t))*(st_b[[#This Row],[s(tb)]]+(s_t/4))</f>
        <v>0.10888888888888887</v>
      </c>
      <c r="I49" s="3">
        <f t="shared" si="4"/>
        <v>5.5555555555554526E-4</v>
      </c>
      <c r="J49" s="14">
        <f t="shared" si="1"/>
        <v>11.111111111110905</v>
      </c>
      <c r="M49" s="8">
        <v>2.7100000000000002E-3</v>
      </c>
      <c r="N49" s="3">
        <f>(-INDEX(Overview[b],4)+SQRT(POWER(INDEX(Overview[b],4),2)-(4*INDEX(Overview[a],4)*st_c[[#This Row],[c]])))/(2*INDEX(Overview[a],4))</f>
        <v>0.19818122748283998</v>
      </c>
      <c r="O49" s="3">
        <f t="shared" si="5"/>
        <v>8.8585515231290324E-4</v>
      </c>
      <c r="P49" s="14">
        <f t="shared" si="2"/>
        <v>17.717103046258064</v>
      </c>
    </row>
    <row r="50" spans="1:16" x14ac:dyDescent="0.25">
      <c r="A50" s="2">
        <v>4.7000000000000004E-4</v>
      </c>
      <c r="B50" s="3" cm="1">
        <f t="array" ref="B50">SQRT((4*POWER(ttotal4,2)*st_a[[#This Row],[s(ta)]])/(9*s_t))</f>
        <v>6.5968567150210655E-2</v>
      </c>
      <c r="C50" s="3">
        <f t="shared" si="3"/>
        <v>7.0556645870659129E-4</v>
      </c>
      <c r="D50" s="14">
        <f t="shared" si="0"/>
        <v>14.111329174131825</v>
      </c>
      <c r="G50" s="8">
        <v>1.2200000000000002E-3</v>
      </c>
      <c r="H50" s="3" cm="1">
        <f t="array" ref="H50">((2*ttotal4)/(3*s_t))*(st_b[[#This Row],[s(tb)]]+(s_t/4))</f>
        <v>0.10944444444444446</v>
      </c>
      <c r="I50" s="3">
        <f t="shared" si="4"/>
        <v>5.5555555555558689E-4</v>
      </c>
      <c r="J50" s="14">
        <f t="shared" si="1"/>
        <v>11.111111111111738</v>
      </c>
      <c r="M50" s="8">
        <v>2.7200000000000002E-3</v>
      </c>
      <c r="N50" s="3">
        <f>(-INDEX(Overview[b],4)+SQRT(POWER(INDEX(Overview[b],4),2)-(4*INDEX(Overview[a],4)*st_c[[#This Row],[c]])))/(2*INDEX(Overview[a],4))</f>
        <v>0.19908249227826849</v>
      </c>
      <c r="O50" s="3">
        <f t="shared" si="5"/>
        <v>9.0126479542851357E-4</v>
      </c>
      <c r="P50" s="14">
        <f t="shared" si="2"/>
        <v>18.025295908570271</v>
      </c>
    </row>
    <row r="51" spans="1:16" x14ac:dyDescent="0.25">
      <c r="A51" s="2">
        <v>4.8000000000000007E-4</v>
      </c>
      <c r="B51" s="3" cm="1">
        <f t="array" ref="B51">SQRT((4*POWER(ttotal4,2)*st_a[[#This Row],[s(ta)]])/(9*s_t))</f>
        <v>6.666666666666668E-2</v>
      </c>
      <c r="C51" s="3">
        <f t="shared" si="3"/>
        <v>6.9809951645602442E-4</v>
      </c>
      <c r="D51" s="14">
        <f t="shared" si="0"/>
        <v>13.961990329120487</v>
      </c>
      <c r="G51" s="8">
        <v>1.2300000000000002E-3</v>
      </c>
      <c r="H51" s="3" cm="1">
        <f t="array" ref="H51">((2*ttotal4)/(3*s_t))*(st_b[[#This Row],[s(tb)]]+(s_t/4))</f>
        <v>0.10999999999999999</v>
      </c>
      <c r="I51" s="3">
        <f t="shared" si="4"/>
        <v>5.5555555555553138E-4</v>
      </c>
      <c r="J51" s="14">
        <f t="shared" si="1"/>
        <v>11.111111111110628</v>
      </c>
      <c r="M51" s="8">
        <v>2.7300000000000002E-3</v>
      </c>
      <c r="N51" s="3">
        <f>(-INDEX(Overview[b],4)+SQRT(POWER(INDEX(Overview[b],4),2)-(4*INDEX(Overview[a],4)*st_c[[#This Row],[c]])))/(2*INDEX(Overview[a],4))</f>
        <v>0.2</v>
      </c>
      <c r="O51" s="3">
        <f t="shared" si="5"/>
        <v>9.1750772173151973E-4</v>
      </c>
      <c r="P51" s="14">
        <f t="shared" si="2"/>
        <v>18.350154434630394</v>
      </c>
    </row>
    <row r="52" spans="1:16" x14ac:dyDescent="0.25">
      <c r="A52" s="2">
        <v>4.9000000000000009E-4</v>
      </c>
      <c r="B52" s="3" cm="1">
        <f t="array" ref="B52">SQRT((4*POWER(ttotal4,2)*st_a[[#This Row],[s(ta)]])/(9*s_t))</f>
        <v>6.7357531405456347E-2</v>
      </c>
      <c r="C52" s="3">
        <f t="shared" si="3"/>
        <v>6.908647387896677E-4</v>
      </c>
      <c r="D52" s="14">
        <f t="shared" si="0"/>
        <v>13.817294775793354</v>
      </c>
      <c r="G52" s="8">
        <v>1.24E-3</v>
      </c>
      <c r="H52" s="3" cm="1">
        <f t="array" ref="H52">((2*ttotal4)/(3*s_t))*(st_b[[#This Row],[s(tb)]]+(s_t/4))</f>
        <v>0.11055555555555555</v>
      </c>
      <c r="I52" s="3">
        <f t="shared" si="4"/>
        <v>5.5555555555555913E-4</v>
      </c>
      <c r="J52" s="14">
        <f t="shared" si="1"/>
        <v>11.111111111111182</v>
      </c>
      <c r="M52" s="8">
        <v>2.7400000000000002E-3</v>
      </c>
      <c r="N52" s="3">
        <f>(-INDEX(Overview[b],4)+SQRT(POWER(INDEX(Overview[b],4),2)-(4*INDEX(Overview[a],4)*st_c[[#This Row],[c]])))/(2*INDEX(Overview[a],4))</f>
        <v>0.20093466185373421</v>
      </c>
      <c r="O52" s="3">
        <f t="shared" si="5"/>
        <v>9.3466185373419775E-4</v>
      </c>
      <c r="P52" s="14">
        <f t="shared" si="2"/>
        <v>18.693237074683953</v>
      </c>
    </row>
    <row r="53" spans="1:16" x14ac:dyDescent="0.25">
      <c r="A53" s="2">
        <v>5.0000000000000001E-4</v>
      </c>
      <c r="B53" s="3" cm="1">
        <f t="array" ref="B53">SQRT((4*POWER(ttotal4,2)*st_a[[#This Row],[s(ta)]])/(9*s_t))</f>
        <v>6.804138174397717E-2</v>
      </c>
      <c r="C53" s="3">
        <f t="shared" si="3"/>
        <v>6.8385033852082222E-4</v>
      </c>
      <c r="D53" s="14">
        <f t="shared" si="0"/>
        <v>13.677006770416444</v>
      </c>
      <c r="G53" s="8">
        <v>1.25E-3</v>
      </c>
      <c r="H53" s="3" cm="1">
        <f t="array" ref="H53">((2*ttotal4)/(3*s_t))*(st_b[[#This Row],[s(tb)]]+(s_t/4))</f>
        <v>0.1111111111111111</v>
      </c>
      <c r="I53" s="3">
        <f t="shared" si="4"/>
        <v>5.5555555555555913E-4</v>
      </c>
      <c r="J53" s="14">
        <f t="shared" si="1"/>
        <v>11.111111111111182</v>
      </c>
      <c r="M53" s="8">
        <v>2.7500000000000003E-3</v>
      </c>
      <c r="N53" s="3">
        <f>(-INDEX(Overview[b],4)+SQRT(POWER(INDEX(Overview[b],4),2)-(4*INDEX(Overview[a],4)*st_c[[#This Row],[c]])))/(2*INDEX(Overview[a],4))</f>
        <v>0.20188747756753128</v>
      </c>
      <c r="O53" s="3">
        <f t="shared" si="5"/>
        <v>9.5281571379707275E-4</v>
      </c>
      <c r="P53" s="14">
        <f t="shared" si="2"/>
        <v>19.056314275941453</v>
      </c>
    </row>
    <row r="54" spans="1:16" x14ac:dyDescent="0.25">
      <c r="A54" s="2">
        <v>5.1000000000000004E-4</v>
      </c>
      <c r="B54" s="3" cm="1">
        <f t="array" ref="B54">SQRT((4*POWER(ttotal4,2)*st_a[[#This Row],[s(ta)]])/(9*s_t))</f>
        <v>6.8718427093627674E-2</v>
      </c>
      <c r="C54" s="3">
        <f t="shared" si="3"/>
        <v>6.7704534965050411E-4</v>
      </c>
      <c r="D54" s="14">
        <f t="shared" si="0"/>
        <v>13.540906993010081</v>
      </c>
      <c r="G54" s="8">
        <v>1.2600000000000001E-3</v>
      </c>
      <c r="H54" s="3" cm="1">
        <f t="array" ref="H54">((2*ttotal4)/(3*s_t))*(st_b[[#This Row],[s(tb)]]+(s_t/4))</f>
        <v>0.11166666666666666</v>
      </c>
      <c r="I54" s="3">
        <f t="shared" si="4"/>
        <v>5.5555555555555913E-4</v>
      </c>
      <c r="J54" s="14">
        <f t="shared" si="1"/>
        <v>11.111111111111182</v>
      </c>
      <c r="M54" s="8">
        <v>2.7600000000000003E-3</v>
      </c>
      <c r="N54" s="3">
        <f>(-INDEX(Overview[b],4)+SQRT(POWER(INDEX(Overview[b],4),2)-(4*INDEX(Overview[a],4)*st_c[[#This Row],[c]])))/(2*INDEX(Overview[a],4))</f>
        <v>0.20285954792089692</v>
      </c>
      <c r="O54" s="3">
        <f t="shared" si="5"/>
        <v>9.7207035336563385E-4</v>
      </c>
      <c r="P54" s="14">
        <f t="shared" si="2"/>
        <v>19.441407067312674</v>
      </c>
    </row>
    <row r="55" spans="1:16" x14ac:dyDescent="0.25">
      <c r="A55" s="2">
        <v>5.2000000000000006E-4</v>
      </c>
      <c r="B55" s="3" cm="1">
        <f t="array" ref="B55">SQRT((4*POWER(ttotal4,2)*st_a[[#This Row],[s(ta)]])/(9*s_t))</f>
        <v>6.9388866648871089E-2</v>
      </c>
      <c r="C55" s="3">
        <f t="shared" si="3"/>
        <v>6.7043955524341559E-4</v>
      </c>
      <c r="D55" s="14">
        <f t="shared" si="0"/>
        <v>13.40879110486831</v>
      </c>
      <c r="G55" s="8">
        <v>1.2700000000000001E-3</v>
      </c>
      <c r="H55" s="3" cm="1">
        <f t="array" ref="H55">((2*ttotal4)/(3*s_t))*(st_b[[#This Row],[s(tb)]]+(s_t/4))</f>
        <v>0.11222222222222222</v>
      </c>
      <c r="I55" s="3">
        <f t="shared" si="4"/>
        <v>5.5555555555555913E-4</v>
      </c>
      <c r="J55" s="14">
        <f t="shared" si="1"/>
        <v>11.111111111111182</v>
      </c>
      <c r="M55" s="8">
        <v>2.7700000000000003E-3</v>
      </c>
      <c r="N55" s="3">
        <f>(-INDEX(Overview[b],4)+SQRT(POWER(INDEX(Overview[b],4),2)-(4*INDEX(Overview[a],4)*st_c[[#This Row],[c]])))/(2*INDEX(Overview[a],4))</f>
        <v>0.2038520896504552</v>
      </c>
      <c r="O55" s="3">
        <f t="shared" si="5"/>
        <v>9.9254172955828834E-4</v>
      </c>
      <c r="P55" s="14">
        <f t="shared" si="2"/>
        <v>19.850834591165764</v>
      </c>
    </row>
    <row r="56" spans="1:16" x14ac:dyDescent="0.25">
      <c r="A56" s="2">
        <v>5.3000000000000009E-4</v>
      </c>
      <c r="B56" s="3" cm="1">
        <f t="array" ref="B56">SQRT((4*POWER(ttotal4,2)*st_a[[#This Row],[s(ta)]])/(9*s_t))</f>
        <v>7.0052890071769403E-2</v>
      </c>
      <c r="C56" s="3">
        <f t="shared" si="3"/>
        <v>6.6402342289831329E-4</v>
      </c>
      <c r="D56" s="14">
        <f t="shared" si="0"/>
        <v>13.280468457966265</v>
      </c>
      <c r="G56" s="8">
        <v>1.2800000000000001E-3</v>
      </c>
      <c r="H56" s="3" cm="1">
        <f t="array" ref="H56">((2*ttotal4)/(3*s_t))*(st_b[[#This Row],[s(tb)]]+(s_t/4))</f>
        <v>0.11277777777777777</v>
      </c>
      <c r="I56" s="3">
        <f t="shared" si="4"/>
        <v>5.5555555555554526E-4</v>
      </c>
      <c r="J56" s="14">
        <f t="shared" si="1"/>
        <v>11.111111111110905</v>
      </c>
      <c r="M56" s="8">
        <v>2.7800000000000004E-3</v>
      </c>
      <c r="N56" s="3">
        <f>(-INDEX(Overview[b],4)+SQRT(POWER(INDEX(Overview[b],4),2)-(4*INDEX(Overview[a],4)*st_c[[#This Row],[c]])))/(2*INDEX(Overview[a],4))</f>
        <v>0.20486645330757805</v>
      </c>
      <c r="O56" s="3">
        <f t="shared" si="5"/>
        <v>1.0143636571228465E-3</v>
      </c>
      <c r="P56" s="14">
        <f t="shared" si="2"/>
        <v>20.287273142456929</v>
      </c>
    </row>
    <row r="57" spans="1:16" x14ac:dyDescent="0.25">
      <c r="A57" s="2">
        <v>5.4000000000000001E-4</v>
      </c>
      <c r="B57" s="3" cm="1">
        <f t="array" ref="B57">SQRT((4*POWER(ttotal4,2)*st_a[[#This Row],[s(ta)]])/(9*s_t))</f>
        <v>7.0710678118654752E-2</v>
      </c>
      <c r="C57" s="3">
        <f t="shared" si="3"/>
        <v>6.577880468853492E-4</v>
      </c>
      <c r="D57" s="14">
        <f t="shared" si="0"/>
        <v>13.155760937706983</v>
      </c>
      <c r="G57" s="8">
        <v>1.2900000000000001E-3</v>
      </c>
      <c r="H57" s="3" cm="1">
        <f t="array" ref="H57">((2*ttotal4)/(3*s_t))*(st_b[[#This Row],[s(tb)]]+(s_t/4))</f>
        <v>0.11333333333333333</v>
      </c>
      <c r="I57" s="3">
        <f t="shared" si="4"/>
        <v>5.5555555555555913E-4</v>
      </c>
      <c r="J57" s="14">
        <f t="shared" si="1"/>
        <v>11.111111111111182</v>
      </c>
      <c r="M57" s="8">
        <v>2.7900000000000004E-3</v>
      </c>
      <c r="N57" s="3">
        <f>(-INDEX(Overview[b],4)+SQRT(POWER(INDEX(Overview[b],4),2)-(4*INDEX(Overview[a],4)*st_c[[#This Row],[c]])))/(2*INDEX(Overview[a],4))</f>
        <v>0.2059041448155903</v>
      </c>
      <c r="O57" s="3">
        <f t="shared" si="5"/>
        <v>1.0376915080122506E-3</v>
      </c>
      <c r="P57" s="14">
        <f t="shared" si="2"/>
        <v>20.753830160245013</v>
      </c>
    </row>
    <row r="58" spans="1:16" x14ac:dyDescent="0.25">
      <c r="A58" s="2">
        <v>5.5000000000000003E-4</v>
      </c>
      <c r="B58" s="3" cm="1">
        <f t="array" ref="B58">SQRT((4*POWER(ttotal4,2)*st_a[[#This Row],[s(ta)]])/(9*s_t))</f>
        <v>7.1362403214806275E-2</v>
      </c>
      <c r="C58" s="3">
        <f t="shared" si="3"/>
        <v>6.5172509615152308E-4</v>
      </c>
      <c r="D58" s="14">
        <f t="shared" si="0"/>
        <v>13.034501923030462</v>
      </c>
      <c r="G58" s="8">
        <v>1.3000000000000002E-3</v>
      </c>
      <c r="H58" s="3" cm="1">
        <f t="array" ref="H58">((2*ttotal4)/(3*s_t))*(st_b[[#This Row],[s(tb)]]+(s_t/4))</f>
        <v>0.11388888888888889</v>
      </c>
      <c r="I58" s="3">
        <f t="shared" si="4"/>
        <v>5.5555555555555913E-4</v>
      </c>
      <c r="J58" s="14">
        <f t="shared" si="1"/>
        <v>11.111111111111182</v>
      </c>
      <c r="M58" s="8">
        <v>2.8000000000000004E-3</v>
      </c>
      <c r="N58" s="3">
        <f>(-INDEX(Overview[b],4)+SQRT(POWER(INDEX(Overview[b],4),2)-(4*INDEX(Overview[a],4)*st_c[[#This Row],[c]])))/(2*INDEX(Overview[a],4))</f>
        <v>0.2069668517088066</v>
      </c>
      <c r="O58" s="3">
        <f t="shared" si="5"/>
        <v>1.0627068932163031E-3</v>
      </c>
      <c r="P58" s="14">
        <f t="shared" si="2"/>
        <v>21.254137864326061</v>
      </c>
    </row>
    <row r="59" spans="1:16" x14ac:dyDescent="0.25">
      <c r="A59" s="2">
        <v>5.6000000000000006E-4</v>
      </c>
      <c r="B59" s="3" cm="1">
        <f t="array" ref="B59">SQRT((4*POWER(ttotal4,2)*st_a[[#This Row],[s(ta)]])/(9*s_t))</f>
        <v>7.200822998230956E-2</v>
      </c>
      <c r="C59" s="3">
        <f t="shared" si="3"/>
        <v>6.4582676750328527E-4</v>
      </c>
      <c r="D59" s="14">
        <f t="shared" si="0"/>
        <v>12.916535350065704</v>
      </c>
      <c r="G59" s="8">
        <v>1.3100000000000002E-3</v>
      </c>
      <c r="H59" s="3" cm="1">
        <f t="array" ref="H59">((2*ttotal4)/(3*s_t))*(st_b[[#This Row],[s(tb)]]+(s_t/4))</f>
        <v>0.11444444444444445</v>
      </c>
      <c r="I59" s="3">
        <f t="shared" si="4"/>
        <v>5.5555555555555913E-4</v>
      </c>
      <c r="J59" s="14">
        <f t="shared" si="1"/>
        <v>11.111111111111182</v>
      </c>
      <c r="M59" s="8">
        <v>2.8100000000000004E-3</v>
      </c>
      <c r="N59" s="3">
        <f>(-INDEX(Overview[b],4)+SQRT(POWER(INDEX(Overview[b],4),2)-(4*INDEX(Overview[a],4)*st_c[[#This Row],[c]])))/(2*INDEX(Overview[a],4))</f>
        <v>0.20805647535960695</v>
      </c>
      <c r="O59" s="3">
        <f t="shared" si="5"/>
        <v>1.0896236508003421E-3</v>
      </c>
      <c r="P59" s="14">
        <f t="shared" si="2"/>
        <v>21.792473016006841</v>
      </c>
    </row>
    <row r="60" spans="1:16" x14ac:dyDescent="0.25">
      <c r="A60" s="2">
        <v>5.7000000000000009E-4</v>
      </c>
      <c r="B60" s="3" cm="1">
        <f t="array" ref="B60">SQRT((4*POWER(ttotal4,2)*st_a[[#This Row],[s(ta)]])/(9*s_t))</f>
        <v>7.2648315725677898E-2</v>
      </c>
      <c r="C60" s="3">
        <f t="shared" si="3"/>
        <v>6.4008574336833768E-4</v>
      </c>
      <c r="D60" s="14">
        <f t="shared" si="0"/>
        <v>12.801714867366753</v>
      </c>
      <c r="G60" s="8">
        <v>1.3200000000000002E-3</v>
      </c>
      <c r="H60" s="3" cm="1">
        <f t="array" ref="H60">((2*ttotal4)/(3*s_t))*(st_b[[#This Row],[s(tb)]]+(s_t/4))</f>
        <v>0.115</v>
      </c>
      <c r="I60" s="3">
        <f t="shared" si="4"/>
        <v>5.5555555555555913E-4</v>
      </c>
      <c r="J60" s="14">
        <f t="shared" si="1"/>
        <v>11.111111111111182</v>
      </c>
      <c r="M60" s="8">
        <v>2.82E-3</v>
      </c>
      <c r="N60" s="3">
        <f>(-INDEX(Overview[b],4)+SQRT(POWER(INDEX(Overview[b],4),2)-(4*INDEX(Overview[a],4)*st_c[[#This Row],[c]])))/(2*INDEX(Overview[a],4))</f>
        <v>0.20917517095361368</v>
      </c>
      <c r="O60" s="3">
        <f t="shared" si="5"/>
        <v>1.1186955940067356E-3</v>
      </c>
      <c r="P60" s="14">
        <f t="shared" si="2"/>
        <v>22.37391188013471</v>
      </c>
    </row>
    <row r="61" spans="1:16" x14ac:dyDescent="0.25">
      <c r="A61" s="2">
        <v>5.8E-4</v>
      </c>
      <c r="B61" s="3" cm="1">
        <f t="array" ref="B61">SQRT((4*POWER(ttotal4,2)*st_a[[#This Row],[s(ta)]])/(9*s_t))</f>
        <v>7.3282810879294003E-2</v>
      </c>
      <c r="C61" s="3">
        <f t="shared" si="3"/>
        <v>6.3449515361610476E-4</v>
      </c>
      <c r="D61" s="14">
        <f t="shared" si="0"/>
        <v>12.689903072322094</v>
      </c>
      <c r="G61" s="8">
        <v>1.33E-3</v>
      </c>
      <c r="H61" s="3" cm="1">
        <f t="array" ref="H61">((2*ttotal4)/(3*s_t))*(st_b[[#This Row],[s(tb)]]+(s_t/4))</f>
        <v>0.11555555555555556</v>
      </c>
      <c r="I61" s="3">
        <f t="shared" si="4"/>
        <v>5.5555555555555913E-4</v>
      </c>
      <c r="J61" s="14">
        <f t="shared" si="1"/>
        <v>11.111111111111182</v>
      </c>
      <c r="M61" s="8">
        <v>2.8300000000000001E-3</v>
      </c>
      <c r="N61" s="3">
        <f>(-INDEX(Overview[b],4)+SQRT(POWER(INDEX(Overview[b],4),2)-(4*INDEX(Overview[a],4)*st_c[[#This Row],[c]])))/(2*INDEX(Overview[a],4))</f>
        <v>0.21032539761920649</v>
      </c>
      <c r="O61" s="3">
        <f t="shared" si="5"/>
        <v>1.1502266655928073E-3</v>
      </c>
      <c r="P61" s="14">
        <f t="shared" si="2"/>
        <v>23.004533311856143</v>
      </c>
    </row>
    <row r="62" spans="1:16" x14ac:dyDescent="0.25">
      <c r="A62" s="2">
        <v>5.9000000000000003E-4</v>
      </c>
      <c r="B62" s="3" cm="1">
        <f t="array" ref="B62">SQRT((4*POWER(ttotal4,2)*st_a[[#This Row],[s(ta)]])/(9*s_t))</f>
        <v>7.391185942027817E-2</v>
      </c>
      <c r="C62" s="3">
        <f t="shared" si="3"/>
        <v>6.2904854098416729E-4</v>
      </c>
      <c r="D62" s="14">
        <f t="shared" si="0"/>
        <v>12.580970819683346</v>
      </c>
      <c r="G62" s="8">
        <v>1.34E-3</v>
      </c>
      <c r="H62" s="3" cm="1">
        <f t="array" ref="H62">((2*ttotal4)/(3*s_t))*(st_b[[#This Row],[s(tb)]]+(s_t/4))</f>
        <v>0.1161111111111111</v>
      </c>
      <c r="I62" s="3">
        <f t="shared" si="4"/>
        <v>5.5555555555553138E-4</v>
      </c>
      <c r="J62" s="14">
        <f t="shared" si="1"/>
        <v>11.111111111110628</v>
      </c>
      <c r="M62" s="8">
        <v>2.8400000000000001E-3</v>
      </c>
      <c r="N62" s="3">
        <f>(-INDEX(Overview[b],4)+SQRT(POWER(INDEX(Overview[b],4),2)-(4*INDEX(Overview[a],4)*st_c[[#This Row],[c]])))/(2*INDEX(Overview[a],4))</f>
        <v>0.21150998205402499</v>
      </c>
      <c r="O62" s="3">
        <f t="shared" si="5"/>
        <v>1.1845844348185031E-3</v>
      </c>
      <c r="P62" s="14">
        <f t="shared" si="2"/>
        <v>23.691688696370061</v>
      </c>
    </row>
    <row r="63" spans="1:16" x14ac:dyDescent="0.25">
      <c r="A63" s="2">
        <v>6.0000000000000006E-4</v>
      </c>
      <c r="B63" s="3" cm="1">
        <f t="array" ref="B63">SQRT((4*POWER(ttotal4,2)*st_a[[#This Row],[s(ta)]])/(9*s_t))</f>
        <v>7.4535599249992993E-2</v>
      </c>
      <c r="C63" s="3">
        <f t="shared" si="3"/>
        <v>6.2373982971482278E-4</v>
      </c>
      <c r="D63" s="14">
        <f t="shared" si="0"/>
        <v>12.474796594296455</v>
      </c>
      <c r="G63" s="8">
        <v>1.3500000000000001E-3</v>
      </c>
      <c r="H63" s="3" cm="1">
        <f t="array" ref="H63">((2*ttotal4)/(3*s_t))*(st_b[[#This Row],[s(tb)]]+(s_t/4))</f>
        <v>0.11666666666666667</v>
      </c>
      <c r="I63" s="3">
        <f t="shared" si="4"/>
        <v>5.5555555555557301E-4</v>
      </c>
      <c r="J63" s="14">
        <f t="shared" si="1"/>
        <v>11.111111111111459</v>
      </c>
      <c r="M63" s="8">
        <v>2.8500000000000001E-3</v>
      </c>
      <c r="N63" s="3">
        <f>(-INDEX(Overview[b],4)+SQRT(POWER(INDEX(Overview[b],4),2)-(4*INDEX(Overview[a],4)*st_c[[#This Row],[c]])))/(2*INDEX(Overview[a],4))</f>
        <v>0.21273220037500354</v>
      </c>
      <c r="O63" s="3">
        <f t="shared" si="5"/>
        <v>1.2222183209785464E-3</v>
      </c>
      <c r="P63" s="14">
        <f t="shared" si="2"/>
        <v>24.444366419570926</v>
      </c>
    </row>
    <row r="64" spans="1:16" x14ac:dyDescent="0.25">
      <c r="A64" s="2">
        <v>6.1000000000000008E-4</v>
      </c>
      <c r="B64" s="3" cm="1">
        <f t="array" ref="B64">SQRT((4*POWER(ttotal4,2)*st_a[[#This Row],[s(ta)]])/(9*s_t))</f>
        <v>7.5154162547048237E-2</v>
      </c>
      <c r="C64" s="3">
        <f t="shared" si="3"/>
        <v>6.1856329705524404E-4</v>
      </c>
      <c r="D64" s="14">
        <f t="shared" si="0"/>
        <v>12.37126594110488</v>
      </c>
      <c r="G64" s="8">
        <v>1.3600000000000001E-3</v>
      </c>
      <c r="H64" s="3" cm="1">
        <f t="array" ref="H64">((2*ttotal4)/(3*s_t))*(st_b[[#This Row],[s(tb)]]+(s_t/4))</f>
        <v>0.1172222222222222</v>
      </c>
      <c r="I64" s="3">
        <f t="shared" si="4"/>
        <v>5.5555555555553138E-4</v>
      </c>
      <c r="J64" s="14">
        <f t="shared" si="1"/>
        <v>11.111111111110628</v>
      </c>
      <c r="M64" s="8">
        <v>2.8600000000000001E-3</v>
      </c>
      <c r="N64" s="3">
        <f>(-INDEX(Overview[b],4)+SQRT(POWER(INDEX(Overview[b],4),2)-(4*INDEX(Overview[a],4)*st_c[[#This Row],[c]])))/(2*INDEX(Overview[a],4))</f>
        <v>0.21399588500884525</v>
      </c>
      <c r="O64" s="3">
        <f t="shared" si="5"/>
        <v>1.2636846338417163E-3</v>
      </c>
      <c r="P64" s="14">
        <f t="shared" si="2"/>
        <v>25.273692676834322</v>
      </c>
    </row>
    <row r="65" spans="1:16" x14ac:dyDescent="0.25">
      <c r="A65" s="2">
        <v>6.2E-4</v>
      </c>
      <c r="B65" s="3" cm="1">
        <f t="array" ref="B65">SQRT((4*POWER(ttotal4,2)*st_a[[#This Row],[s(ta)]])/(9*s_t))</f>
        <v>7.5767676094365868E-2</v>
      </c>
      <c r="C65" s="3">
        <f t="shared" si="3"/>
        <v>6.1351354731763175E-4</v>
      </c>
      <c r="D65" s="14">
        <f t="shared" si="0"/>
        <v>12.270270946352634</v>
      </c>
      <c r="G65" s="8">
        <v>1.3700000000000001E-3</v>
      </c>
      <c r="H65" s="3" cm="1">
        <f t="array" ref="H65">((2*ttotal4)/(3*s_t))*(st_b[[#This Row],[s(tb)]]+(s_t/4))</f>
        <v>0.11777777777777779</v>
      </c>
      <c r="I65" s="3">
        <f t="shared" si="4"/>
        <v>5.5555555555558689E-4</v>
      </c>
      <c r="J65" s="14">
        <f t="shared" si="1"/>
        <v>11.111111111111738</v>
      </c>
      <c r="M65" s="8">
        <v>2.8700000000000002E-3</v>
      </c>
      <c r="N65" s="3">
        <f>(-INDEX(Overview[b],4)+SQRT(POWER(INDEX(Overview[b],4),2)-(4*INDEX(Overview[a],4)*st_c[[#This Row],[c]])))/(2*INDEX(Overview[a],4))</f>
        <v>0.21530556667556447</v>
      </c>
      <c r="O65" s="3">
        <f t="shared" si="5"/>
        <v>1.3096816667192146E-3</v>
      </c>
      <c r="P65" s="14">
        <f t="shared" si="2"/>
        <v>26.193633334384291</v>
      </c>
    </row>
    <row r="66" spans="1:16" x14ac:dyDescent="0.25">
      <c r="A66" s="2">
        <v>6.3000000000000003E-4</v>
      </c>
      <c r="B66" s="3" cm="1">
        <f t="array" ref="B66">SQRT((4*POWER(ttotal4,2)*st_a[[#This Row],[s(ta)]])/(9*s_t))</f>
        <v>7.6376261582597332E-2</v>
      </c>
      <c r="C66" s="3">
        <f t="shared" si="3"/>
        <v>6.0858548823146397E-4</v>
      </c>
      <c r="D66" s="14">
        <f t="shared" si="0"/>
        <v>12.171709764629279</v>
      </c>
      <c r="G66" s="8">
        <v>1.3800000000000002E-3</v>
      </c>
      <c r="H66" s="3" cm="1">
        <f t="array" ref="H66">((2*ttotal4)/(3*s_t))*(st_b[[#This Row],[s(tb)]]+(s_t/4))</f>
        <v>0.11833333333333332</v>
      </c>
      <c r="I66" s="3">
        <f t="shared" si="4"/>
        <v>5.5555555555553138E-4</v>
      </c>
      <c r="J66" s="14">
        <f t="shared" si="1"/>
        <v>11.111111111110628</v>
      </c>
      <c r="M66" s="8">
        <v>2.8800000000000002E-3</v>
      </c>
      <c r="N66" s="3">
        <f>(-INDEX(Overview[b],4)+SQRT(POWER(INDEX(Overview[b],4),2)-(4*INDEX(Overview[a],4)*st_c[[#This Row],[c]])))/(2*INDEX(Overview[a],4))</f>
        <v>0.21666666666666681</v>
      </c>
      <c r="O66" s="3">
        <f t="shared" si="5"/>
        <v>1.3610999911023436E-3</v>
      </c>
      <c r="P66" s="14">
        <f t="shared" si="2"/>
        <v>27.221999822046872</v>
      </c>
    </row>
    <row r="67" spans="1:16" x14ac:dyDescent="0.25">
      <c r="A67" s="2">
        <v>6.4000000000000005E-4</v>
      </c>
      <c r="B67" s="3" cm="1">
        <f t="array" ref="B67">SQRT((4*POWER(ttotal4,2)*st_a[[#This Row],[s(ta)]])/(9*s_t))</f>
        <v>7.6980035891950099E-2</v>
      </c>
      <c r="C67" s="3">
        <f t="shared" si="3"/>
        <v>6.0377430935276699E-4</v>
      </c>
      <c r="D67" s="14">
        <f t="shared" si="0"/>
        <v>12.07548618705534</v>
      </c>
      <c r="G67" s="8">
        <v>1.3900000000000002E-3</v>
      </c>
      <c r="H67" s="3" cm="1">
        <f t="array" ref="H67">((2*ttotal4)/(3*s_t))*(st_b[[#This Row],[s(tb)]]+(s_t/4))</f>
        <v>0.11888888888888891</v>
      </c>
      <c r="I67" s="3">
        <f t="shared" si="4"/>
        <v>5.5555555555558689E-4</v>
      </c>
      <c r="J67" s="14">
        <f t="shared" si="1"/>
        <v>11.111111111111738</v>
      </c>
      <c r="M67" s="8">
        <v>2.8900000000000002E-3</v>
      </c>
      <c r="N67" s="3">
        <f>(-INDEX(Overview[b],4)+SQRT(POWER(INDEX(Overview[b],4),2)-(4*INDEX(Overview[a],4)*st_c[[#This Row],[c]])))/(2*INDEX(Overview[a],4))</f>
        <v>0.21808576307478883</v>
      </c>
      <c r="O67" s="3">
        <f t="shared" si="5"/>
        <v>1.419096408122017E-3</v>
      </c>
      <c r="P67" s="14">
        <f t="shared" si="2"/>
        <v>28.381928162440339</v>
      </c>
    </row>
    <row r="68" spans="1:16" x14ac:dyDescent="0.25">
      <c r="A68" s="2">
        <v>6.5000000000000008E-4</v>
      </c>
      <c r="B68" s="3" cm="1">
        <f t="array" ref="B68">SQRT((4*POWER(ttotal4,2)*st_a[[#This Row],[s(ta)]])/(9*s_t))</f>
        <v>7.7579111354271896E-2</v>
      </c>
      <c r="C68" s="3">
        <f t="shared" si="3"/>
        <v>5.9907546232179643E-4</v>
      </c>
      <c r="D68" s="14">
        <f t="shared" ref="D68:D78" si="6">C68/0.00005</f>
        <v>11.981509246435929</v>
      </c>
      <c r="G68" s="8">
        <v>1.4000000000000002E-3</v>
      </c>
      <c r="H68" s="3" cm="1">
        <f t="array" ref="H68">((2*ttotal4)/(3*s_t))*(st_b[[#This Row],[s(tb)]]+(s_t/4))</f>
        <v>0.11944444444444444</v>
      </c>
      <c r="I68" s="3">
        <f t="shared" si="4"/>
        <v>5.5555555555553138E-4</v>
      </c>
      <c r="J68" s="14">
        <f t="shared" ref="J68:J131" si="7">I68/0.00005</f>
        <v>11.111111111110628</v>
      </c>
      <c r="M68" s="8">
        <v>2.9000000000000002E-3</v>
      </c>
      <c r="N68" s="3">
        <f>(-INDEX(Overview[b],4)+SQRT(POWER(INDEX(Overview[b],4),2)-(4*INDEX(Overview[a],4)*st_c[[#This Row],[c]])))/(2*INDEX(Overview[a],4))</f>
        <v>0.21957096902749085</v>
      </c>
      <c r="O68" s="3">
        <f t="shared" si="5"/>
        <v>1.4852059527020178E-3</v>
      </c>
      <c r="P68" s="14">
        <f t="shared" ref="P68:P78" si="8">O68/0.00005</f>
        <v>29.704119054040355</v>
      </c>
    </row>
    <row r="69" spans="1:16" x14ac:dyDescent="0.25">
      <c r="A69" s="2">
        <v>6.600000000000001E-4</v>
      </c>
      <c r="B69" s="3" cm="1">
        <f t="array" ref="B69">SQRT((4*POWER(ttotal4,2)*st_a[[#This Row],[s(ta)]])/(9*s_t))</f>
        <v>7.8173595997057171E-2</v>
      </c>
      <c r="C69" s="3">
        <f t="shared" ref="C69:C78" si="9">B69-B68</f>
        <v>5.9448464278527569E-4</v>
      </c>
      <c r="D69" s="14">
        <f t="shared" si="6"/>
        <v>11.889692855705514</v>
      </c>
      <c r="G69" s="8">
        <v>1.41E-3</v>
      </c>
      <c r="H69" s="3" cm="1">
        <f t="array" ref="H69">((2*ttotal4)/(3*s_t))*(st_b[[#This Row],[s(tb)]]+(s_t/4))</f>
        <v>0.12</v>
      </c>
      <c r="I69" s="3">
        <f t="shared" ref="I69:I132" si="10">H69-H68</f>
        <v>5.5555555555555913E-4</v>
      </c>
      <c r="J69" s="14">
        <f t="shared" si="7"/>
        <v>11.111111111111182</v>
      </c>
      <c r="M69" s="8">
        <v>2.9100000000000003E-3</v>
      </c>
      <c r="N69" s="3">
        <f>(-INDEX(Overview[b],4)+SQRT(POWER(INDEX(Overview[b],4),2)-(4*INDEX(Overview[a],4)*st_c[[#This Row],[c]])))/(2*INDEX(Overview[a],4))</f>
        <v>0.22113248654051879</v>
      </c>
      <c r="O69" s="3">
        <f t="shared" ref="O69:O78" si="11">N69-N68</f>
        <v>1.561517513027938E-3</v>
      </c>
      <c r="P69" s="14">
        <f t="shared" si="8"/>
        <v>31.230350260558758</v>
      </c>
    </row>
    <row r="70" spans="1:16" x14ac:dyDescent="0.25">
      <c r="A70" s="2">
        <v>6.7000000000000002E-4</v>
      </c>
      <c r="B70" s="3" cm="1">
        <f t="array" ref="B70">SQRT((4*POWER(ttotal4,2)*st_a[[#This Row],[s(ta)]])/(9*s_t))</f>
        <v>7.8763593770876814E-2</v>
      </c>
      <c r="C70" s="3">
        <f t="shared" si="9"/>
        <v>5.8999777381964214E-4</v>
      </c>
      <c r="D70" s="14">
        <f t="shared" si="6"/>
        <v>11.799955476392842</v>
      </c>
      <c r="G70" s="8">
        <v>1.42E-3</v>
      </c>
      <c r="H70" s="3" cm="1">
        <f t="array" ref="H70">((2*ttotal4)/(3*s_t))*(st_b[[#This Row],[s(tb)]]+(s_t/4))</f>
        <v>0.12055555555555554</v>
      </c>
      <c r="I70" s="3">
        <f t="shared" si="10"/>
        <v>5.5555555555554526E-4</v>
      </c>
      <c r="J70" s="14">
        <f t="shared" si="7"/>
        <v>11.111111111110905</v>
      </c>
      <c r="M70" s="8">
        <v>2.9200000000000003E-3</v>
      </c>
      <c r="N70" s="3">
        <f>(-INDEX(Overview[b],4)+SQRT(POWER(INDEX(Overview[b],4),2)-(4*INDEX(Overview[a],4)*st_c[[#This Row],[c]])))/(2*INDEX(Overview[a],4))</f>
        <v>0.22278344730240937</v>
      </c>
      <c r="O70" s="3">
        <f t="shared" si="11"/>
        <v>1.6509607618905853E-3</v>
      </c>
      <c r="P70" s="14">
        <f t="shared" si="8"/>
        <v>33.019215237811707</v>
      </c>
    </row>
    <row r="71" spans="1:16" x14ac:dyDescent="0.25">
      <c r="A71" s="2">
        <v>6.8000000000000005E-4</v>
      </c>
      <c r="B71" s="3" cm="1">
        <f t="array" ref="B71">SQRT((4*POWER(ttotal4,2)*st_a[[#This Row],[s(ta)]])/(9*s_t))</f>
        <v>7.934920476158723E-2</v>
      </c>
      <c r="C71" s="3">
        <f t="shared" si="9"/>
        <v>5.8561099071041678E-4</v>
      </c>
      <c r="D71" s="14">
        <f t="shared" si="6"/>
        <v>11.712219814208336</v>
      </c>
      <c r="G71" s="8">
        <v>1.4300000000000001E-3</v>
      </c>
      <c r="H71" s="3" cm="1">
        <f t="array" ref="H71">((2*ttotal4)/(3*s_t))*(st_b[[#This Row],[s(tb)]]+(s_t/4))</f>
        <v>0.1211111111111111</v>
      </c>
      <c r="I71" s="3">
        <f t="shared" si="10"/>
        <v>5.5555555555555913E-4</v>
      </c>
      <c r="J71" s="14">
        <f t="shared" si="7"/>
        <v>11.111111111111182</v>
      </c>
      <c r="M71" s="8">
        <v>2.9300000000000003E-3</v>
      </c>
      <c r="N71" s="3">
        <f>(-INDEX(Overview[b],4)+SQRT(POWER(INDEX(Overview[b],4),2)-(4*INDEX(Overview[a],4)*st_c[[#This Row],[c]])))/(2*INDEX(Overview[a],4))</f>
        <v>0.22454124613913443</v>
      </c>
      <c r="O71" s="3">
        <f t="shared" si="11"/>
        <v>1.7577988367250552E-3</v>
      </c>
      <c r="P71" s="14">
        <f t="shared" si="8"/>
        <v>35.155976734501102</v>
      </c>
    </row>
    <row r="72" spans="1:16" x14ac:dyDescent="0.25">
      <c r="A72" s="2">
        <v>6.9000000000000008E-4</v>
      </c>
      <c r="B72" s="3" cm="1">
        <f t="array" ref="B72">SQRT((4*POWER(ttotal4,2)*st_a[[#This Row],[s(ta)]])/(9*s_t))</f>
        <v>7.9930525388545323E-2</v>
      </c>
      <c r="C72" s="3">
        <f t="shared" si="9"/>
        <v>5.8132062695809283E-4</v>
      </c>
      <c r="D72" s="14">
        <f t="shared" si="6"/>
        <v>11.626412539161857</v>
      </c>
      <c r="G72" s="8">
        <v>1.4400000000000001E-3</v>
      </c>
      <c r="H72" s="3" cm="1">
        <f t="array" ref="H72">((2*ttotal4)/(3*s_t))*(st_b[[#This Row],[s(tb)]]+(s_t/4))</f>
        <v>0.12166666666666666</v>
      </c>
      <c r="I72" s="3">
        <f t="shared" si="10"/>
        <v>5.5555555555555913E-4</v>
      </c>
      <c r="J72" s="14">
        <f t="shared" si="7"/>
        <v>11.111111111111182</v>
      </c>
      <c r="M72" s="8">
        <v>2.9400000000000003E-3</v>
      </c>
      <c r="N72" s="3">
        <f>(-INDEX(Overview[b],4)+SQRT(POWER(INDEX(Overview[b],4),2)-(4*INDEX(Overview[a],4)*st_c[[#This Row],[c]])))/(2*INDEX(Overview[a],4))</f>
        <v>0.22642977396044842</v>
      </c>
      <c r="O72" s="3">
        <f t="shared" si="11"/>
        <v>1.88852782131399E-3</v>
      </c>
      <c r="P72" s="14">
        <f t="shared" si="8"/>
        <v>37.770556426279796</v>
      </c>
    </row>
    <row r="73" spans="1:16" x14ac:dyDescent="0.25">
      <c r="A73" s="2">
        <v>7.000000000000001E-4</v>
      </c>
      <c r="B73" s="3" cm="1">
        <f t="array" ref="B73">SQRT((4*POWER(ttotal4,2)*st_a[[#This Row],[s(ta)]])/(9*s_t))</f>
        <v>8.0507648589941333E-2</v>
      </c>
      <c r="C73" s="3">
        <f t="shared" si="9"/>
        <v>5.7712320139600981E-4</v>
      </c>
      <c r="D73" s="14">
        <f t="shared" si="6"/>
        <v>11.542464027920195</v>
      </c>
      <c r="G73" s="8">
        <v>1.4500000000000001E-3</v>
      </c>
      <c r="H73" s="3" cm="1">
        <f t="array" ref="H73">((2*ttotal4)/(3*s_t))*(st_b[[#This Row],[s(tb)]]+(s_t/4))</f>
        <v>0.12222222222222222</v>
      </c>
      <c r="I73" s="3">
        <f t="shared" si="10"/>
        <v>5.5555555555555913E-4</v>
      </c>
      <c r="J73" s="14">
        <f t="shared" si="7"/>
        <v>11.111111111111182</v>
      </c>
      <c r="M73" s="8">
        <v>2.9500000000000004E-3</v>
      </c>
      <c r="N73" s="3">
        <f>(-INDEX(Overview[b],4)+SQRT(POWER(INDEX(Overview[b],4),2)-(4*INDEX(Overview[a],4)*st_c[[#This Row],[c]])))/(2*INDEX(Overview[a],4))</f>
        <v>0.2284834258544034</v>
      </c>
      <c r="O73" s="3">
        <f t="shared" si="11"/>
        <v>2.053651893954983E-3</v>
      </c>
      <c r="P73" s="14">
        <f t="shared" si="8"/>
        <v>41.073037879099658</v>
      </c>
    </row>
    <row r="74" spans="1:16" x14ac:dyDescent="0.25">
      <c r="A74" s="2">
        <v>7.1000000000000002E-4</v>
      </c>
      <c r="B74" s="3" cm="1">
        <f t="array" ref="B74">SQRT((4*POWER(ttotal4,2)*st_a[[#This Row],[s(ta)]])/(9*s_t))</f>
        <v>8.1080663996257907E-2</v>
      </c>
      <c r="C74" s="3">
        <f t="shared" si="9"/>
        <v>5.7301540631657377E-4</v>
      </c>
      <c r="D74" s="14">
        <f t="shared" si="6"/>
        <v>11.460308126331475</v>
      </c>
      <c r="G74" s="8">
        <v>1.4600000000000001E-3</v>
      </c>
      <c r="H74" s="3" cm="1">
        <f t="array" ref="H74">((2*ttotal4)/(3*s_t))*(st_b[[#This Row],[s(tb)]]+(s_t/4))</f>
        <v>0.12277777777777778</v>
      </c>
      <c r="I74" s="3">
        <f t="shared" si="10"/>
        <v>5.5555555555555913E-4</v>
      </c>
      <c r="J74" s="14">
        <f t="shared" si="7"/>
        <v>11.111111111111182</v>
      </c>
      <c r="M74" s="8">
        <v>2.9600000000000004E-3</v>
      </c>
      <c r="N74" s="3">
        <f>(-INDEX(Overview[b],4)+SQRT(POWER(INDEX(Overview[b],4),2)-(4*INDEX(Overview[a],4)*st_c[[#This Row],[c]])))/(2*INDEX(Overview[a],4))</f>
        <v>0.23075499102701286</v>
      </c>
      <c r="O74" s="3">
        <f t="shared" si="11"/>
        <v>2.2715651726094577E-3</v>
      </c>
      <c r="P74" s="14">
        <f t="shared" si="8"/>
        <v>45.431303452189148</v>
      </c>
    </row>
    <row r="75" spans="1:16" x14ac:dyDescent="0.25">
      <c r="A75" s="2">
        <v>7.2000000000000005E-4</v>
      </c>
      <c r="B75" s="3" cm="1">
        <f t="array" ref="B75">SQRT((4*POWER(ttotal4,2)*st_a[[#This Row],[s(ta)]])/(9*s_t))</f>
        <v>8.1649658092772609E-2</v>
      </c>
      <c r="C75" s="3">
        <f t="shared" si="9"/>
        <v>5.6899409651470223E-4</v>
      </c>
      <c r="D75" s="14">
        <f t="shared" si="6"/>
        <v>11.379881930294044</v>
      </c>
      <c r="G75" s="8">
        <v>1.4700000000000002E-3</v>
      </c>
      <c r="H75" s="3" cm="1">
        <f t="array" ref="H75">((2*ttotal4)/(3*s_t))*(st_b[[#This Row],[s(tb)]]+(s_t/4))</f>
        <v>0.12333333333333334</v>
      </c>
      <c r="I75" s="3">
        <f t="shared" si="10"/>
        <v>5.5555555555555913E-4</v>
      </c>
      <c r="J75" s="14">
        <f t="shared" si="7"/>
        <v>11.111111111111182</v>
      </c>
      <c r="M75" s="8">
        <v>2.9700000000000004E-3</v>
      </c>
      <c r="N75" s="3">
        <f>(-INDEX(Overview[b],4)+SQRT(POWER(INDEX(Overview[b],4),2)-(4*INDEX(Overview[a],4)*st_c[[#This Row],[c]])))/(2*INDEX(Overview[a],4))</f>
        <v>0.23333333333333348</v>
      </c>
      <c r="O75" s="3">
        <f t="shared" si="11"/>
        <v>2.578342306320619E-3</v>
      </c>
      <c r="P75" s="14">
        <f t="shared" si="8"/>
        <v>51.566846126412379</v>
      </c>
    </row>
    <row r="76" spans="1:16" x14ac:dyDescent="0.25">
      <c r="A76" s="2">
        <v>7.3000000000000007E-4</v>
      </c>
      <c r="B76" s="3" cm="1">
        <f t="array" ref="B76">SQRT((4*POWER(ttotal4,2)*st_a[[#This Row],[s(ta)]])/(9*s_t))</f>
        <v>8.2214714371937461E-2</v>
      </c>
      <c r="C76" s="3">
        <f t="shared" si="9"/>
        <v>5.6505627916485224E-4</v>
      </c>
      <c r="D76" s="14">
        <f t="shared" si="6"/>
        <v>11.301125583297043</v>
      </c>
      <c r="G76" s="8">
        <v>1.4800000000000002E-3</v>
      </c>
      <c r="H76" s="3" cm="1">
        <f t="array" ref="H76">((2*ttotal4)/(3*s_t))*(st_b[[#This Row],[s(tb)]]+(s_t/4))</f>
        <v>0.12388888888888888</v>
      </c>
      <c r="I76" s="3">
        <f t="shared" si="10"/>
        <v>5.5555555555554526E-4</v>
      </c>
      <c r="J76" s="14">
        <f t="shared" si="7"/>
        <v>11.111111111110905</v>
      </c>
      <c r="M76" s="8">
        <v>2.9800000000000004E-3</v>
      </c>
      <c r="N76" s="3">
        <f>(-INDEX(Overview[b],4)+SQRT(POWER(INDEX(Overview[b],4),2)-(4*INDEX(Overview[a],4)*st_c[[#This Row],[c]])))/(2*INDEX(Overview[a],4))</f>
        <v>0.23639172365120467</v>
      </c>
      <c r="O76" s="3">
        <f t="shared" si="11"/>
        <v>3.0583903178711958E-3</v>
      </c>
      <c r="P76" s="14">
        <f t="shared" si="8"/>
        <v>61.167806357423913</v>
      </c>
    </row>
    <row r="77" spans="1:16" x14ac:dyDescent="0.25">
      <c r="A77" s="2">
        <v>7.400000000000001E-4</v>
      </c>
      <c r="B77" s="3" cm="1">
        <f t="array" ref="B77">SQRT((4*POWER(ttotal4,2)*st_a[[#This Row],[s(ta)]])/(9*s_t))</f>
        <v>8.2775913476396332E-2</v>
      </c>
      <c r="C77" s="3">
        <f t="shared" si="9"/>
        <v>5.6119910445887045E-4</v>
      </c>
      <c r="D77" s="14">
        <f t="shared" si="6"/>
        <v>11.223982089177408</v>
      </c>
      <c r="G77" s="8">
        <v>1.4900000000000002E-3</v>
      </c>
      <c r="H77" s="3" cm="1">
        <f t="array" ref="H77">((2*ttotal4)/(3*s_t))*(st_b[[#This Row],[s(tb)]]+(s_t/4))</f>
        <v>0.12444444444444444</v>
      </c>
      <c r="I77" s="3">
        <f t="shared" si="10"/>
        <v>5.5555555555555913E-4</v>
      </c>
      <c r="J77" s="14">
        <f t="shared" si="7"/>
        <v>11.111111111111182</v>
      </c>
      <c r="M77" s="8">
        <v>2.99E-3</v>
      </c>
      <c r="N77" s="3">
        <f>(-INDEX(Overview[b],4)+SQRT(POWER(INDEX(Overview[b],4),2)-(4*INDEX(Overview[a],4)*st_c[[#This Row],[c]])))/(2*INDEX(Overview[a],4))</f>
        <v>0.24037749551350632</v>
      </c>
      <c r="O77" s="3">
        <f t="shared" si="11"/>
        <v>3.9857718623016458E-3</v>
      </c>
      <c r="P77" s="14">
        <f t="shared" si="8"/>
        <v>79.715437246032906</v>
      </c>
    </row>
    <row r="78" spans="1:16" x14ac:dyDescent="0.25">
      <c r="A78" s="2">
        <v>7.5000000000000002E-4</v>
      </c>
      <c r="B78" s="3" cm="1">
        <f t="array" ref="B78">SQRT((4*POWER(ttotal4,2)*st_a[[#This Row],[s(ta)]])/(9*s_t))</f>
        <v>8.3333333333333343E-2</v>
      </c>
      <c r="C78" s="3">
        <f t="shared" si="9"/>
        <v>5.574198569370109E-4</v>
      </c>
      <c r="D78" s="14">
        <f t="shared" si="6"/>
        <v>11.148397138740217</v>
      </c>
      <c r="G78" s="8">
        <v>1.5E-3</v>
      </c>
      <c r="H78" s="3" cm="1">
        <f t="array" ref="H78">((2*ttotal4)/(3*s_t))*(st_b[[#This Row],[s(tb)]]+(s_t/4))</f>
        <v>0.125</v>
      </c>
      <c r="I78" s="3">
        <f t="shared" si="10"/>
        <v>5.5555555555555913E-4</v>
      </c>
      <c r="J78" s="14">
        <f t="shared" si="7"/>
        <v>11.111111111111182</v>
      </c>
      <c r="M78" s="8">
        <v>3.0000000000000001E-3</v>
      </c>
      <c r="N78" s="3">
        <f>(-INDEX(Overview[b],4)+SQRT(POWER(INDEX(Overview[b],4),2)-(4*INDEX(Overview[a],4)*st_c[[#This Row],[c]])))/(2*INDEX(Overview[a],4))</f>
        <v>0.25</v>
      </c>
      <c r="O78" s="3">
        <f t="shared" si="11"/>
        <v>9.6225044864936826E-3</v>
      </c>
      <c r="P78" s="14">
        <f t="shared" si="8"/>
        <v>192.45008972987364</v>
      </c>
    </row>
    <row r="79" spans="1:16" x14ac:dyDescent="0.25">
      <c r="G79" s="8">
        <v>1.5100000000000001E-3</v>
      </c>
      <c r="H79" s="3" cm="1">
        <f t="array" ref="H79">((2*ttotal4)/(3*s_t))*(st_b[[#This Row],[s(tb)]]+(s_t/4))</f>
        <v>0.12555555555555553</v>
      </c>
      <c r="I79" s="3">
        <f t="shared" si="10"/>
        <v>5.5555555555553138E-4</v>
      </c>
      <c r="J79" s="14">
        <f t="shared" si="7"/>
        <v>11.111111111110628</v>
      </c>
    </row>
    <row r="80" spans="1:16" x14ac:dyDescent="0.25">
      <c r="G80" s="8">
        <v>1.5200000000000001E-3</v>
      </c>
      <c r="H80" s="3" cm="1">
        <f t="array" ref="H80">((2*ttotal4)/(3*s_t))*(st_b[[#This Row],[s(tb)]]+(s_t/4))</f>
        <v>0.12611111111111112</v>
      </c>
      <c r="I80" s="3">
        <f t="shared" si="10"/>
        <v>5.5555555555558689E-4</v>
      </c>
      <c r="J80" s="14">
        <f t="shared" si="7"/>
        <v>11.111111111111738</v>
      </c>
    </row>
    <row r="81" spans="7:10" x14ac:dyDescent="0.25">
      <c r="G81" s="8">
        <v>1.5300000000000001E-3</v>
      </c>
      <c r="H81" s="3" cm="1">
        <f t="array" ref="H81">((2*ttotal4)/(3*s_t))*(st_b[[#This Row],[s(tb)]]+(s_t/4))</f>
        <v>0.12666666666666665</v>
      </c>
      <c r="I81" s="3">
        <f t="shared" si="10"/>
        <v>5.5555555555553138E-4</v>
      </c>
      <c r="J81" s="14">
        <f t="shared" si="7"/>
        <v>11.111111111110628</v>
      </c>
    </row>
    <row r="82" spans="7:10" x14ac:dyDescent="0.25">
      <c r="G82" s="8">
        <v>1.5400000000000001E-3</v>
      </c>
      <c r="H82" s="3" cm="1">
        <f t="array" ref="H82">((2*ttotal4)/(3*s_t))*(st_b[[#This Row],[s(tb)]]+(s_t/4))</f>
        <v>0.12722222222222224</v>
      </c>
      <c r="I82" s="3">
        <f t="shared" si="10"/>
        <v>5.5555555555558689E-4</v>
      </c>
      <c r="J82" s="14">
        <f t="shared" si="7"/>
        <v>11.111111111111738</v>
      </c>
    </row>
    <row r="83" spans="7:10" x14ac:dyDescent="0.25">
      <c r="G83" s="8">
        <v>1.5500000000000002E-3</v>
      </c>
      <c r="H83" s="3" cm="1">
        <f t="array" ref="H83">((2*ttotal4)/(3*s_t))*(st_b[[#This Row],[s(tb)]]+(s_t/4))</f>
        <v>0.12777777777777777</v>
      </c>
      <c r="I83" s="3">
        <f t="shared" si="10"/>
        <v>5.5555555555553138E-4</v>
      </c>
      <c r="J83" s="14">
        <f t="shared" si="7"/>
        <v>11.111111111110628</v>
      </c>
    </row>
    <row r="84" spans="7:10" x14ac:dyDescent="0.25">
      <c r="G84" s="8">
        <v>1.5600000000000002E-3</v>
      </c>
      <c r="H84" s="3" cm="1">
        <f t="array" ref="H84">((2*ttotal4)/(3*s_t))*(st_b[[#This Row],[s(tb)]]+(s_t/4))</f>
        <v>0.12833333333333335</v>
      </c>
      <c r="I84" s="3">
        <f t="shared" si="10"/>
        <v>5.5555555555558689E-4</v>
      </c>
      <c r="J84" s="14">
        <f t="shared" si="7"/>
        <v>11.111111111111738</v>
      </c>
    </row>
    <row r="85" spans="7:10" x14ac:dyDescent="0.25">
      <c r="G85" s="8">
        <v>1.5700000000000002E-3</v>
      </c>
      <c r="H85" s="3" cm="1">
        <f t="array" ref="H85">((2*ttotal4)/(3*s_t))*(st_b[[#This Row],[s(tb)]]+(s_t/4))</f>
        <v>0.12888888888888889</v>
      </c>
      <c r="I85" s="3">
        <f t="shared" si="10"/>
        <v>5.5555555555553138E-4</v>
      </c>
      <c r="J85" s="14">
        <f t="shared" si="7"/>
        <v>11.111111111110628</v>
      </c>
    </row>
    <row r="86" spans="7:10" x14ac:dyDescent="0.25">
      <c r="G86" s="8">
        <v>1.58E-3</v>
      </c>
      <c r="H86" s="3" cm="1">
        <f t="array" ref="H86">((2*ttotal4)/(3*s_t))*(st_b[[#This Row],[s(tb)]]+(s_t/4))</f>
        <v>0.12944444444444445</v>
      </c>
      <c r="I86" s="3">
        <f t="shared" si="10"/>
        <v>5.5555555555555913E-4</v>
      </c>
      <c r="J86" s="14">
        <f t="shared" si="7"/>
        <v>11.111111111111182</v>
      </c>
    </row>
    <row r="87" spans="7:10" x14ac:dyDescent="0.25">
      <c r="G87" s="8">
        <v>1.5900000000000001E-3</v>
      </c>
      <c r="H87" s="3" cm="1">
        <f t="array" ref="H87">((2*ttotal4)/(3*s_t))*(st_b[[#This Row],[s(tb)]]+(s_t/4))</f>
        <v>0.13</v>
      </c>
      <c r="I87" s="3">
        <f t="shared" si="10"/>
        <v>5.5555555555555913E-4</v>
      </c>
      <c r="J87" s="14">
        <f t="shared" si="7"/>
        <v>11.111111111111182</v>
      </c>
    </row>
    <row r="88" spans="7:10" x14ac:dyDescent="0.25">
      <c r="G88" s="8">
        <v>1.6000000000000001E-3</v>
      </c>
      <c r="H88" s="3" cm="1">
        <f t="array" ref="H88">((2*ttotal4)/(3*s_t))*(st_b[[#This Row],[s(tb)]]+(s_t/4))</f>
        <v>0.13055555555555554</v>
      </c>
      <c r="I88" s="3">
        <f t="shared" si="10"/>
        <v>5.5555555555553138E-4</v>
      </c>
      <c r="J88" s="14">
        <f t="shared" si="7"/>
        <v>11.111111111110628</v>
      </c>
    </row>
    <row r="89" spans="7:10" x14ac:dyDescent="0.25">
      <c r="G89" s="8">
        <v>1.6100000000000001E-3</v>
      </c>
      <c r="H89" s="3" cm="1">
        <f t="array" ref="H89">((2*ttotal4)/(3*s_t))*(st_b[[#This Row],[s(tb)]]+(s_t/4))</f>
        <v>0.13111111111111109</v>
      </c>
      <c r="I89" s="3">
        <f t="shared" si="10"/>
        <v>5.5555555555555913E-4</v>
      </c>
      <c r="J89" s="14">
        <f t="shared" si="7"/>
        <v>11.111111111111182</v>
      </c>
    </row>
    <row r="90" spans="7:10" x14ac:dyDescent="0.25">
      <c r="G90" s="8">
        <v>1.6200000000000001E-3</v>
      </c>
      <c r="H90" s="3" cm="1">
        <f t="array" ref="H90">((2*ttotal4)/(3*s_t))*(st_b[[#This Row],[s(tb)]]+(s_t/4))</f>
        <v>0.13166666666666665</v>
      </c>
      <c r="I90" s="3">
        <f t="shared" si="10"/>
        <v>5.5555555555555913E-4</v>
      </c>
      <c r="J90" s="14">
        <f t="shared" si="7"/>
        <v>11.111111111111182</v>
      </c>
    </row>
    <row r="91" spans="7:10" x14ac:dyDescent="0.25">
      <c r="G91" s="8">
        <v>1.6300000000000002E-3</v>
      </c>
      <c r="H91" s="3" cm="1">
        <f t="array" ref="H91">((2*ttotal4)/(3*s_t))*(st_b[[#This Row],[s(tb)]]+(s_t/4))</f>
        <v>0.13222222222222221</v>
      </c>
      <c r="I91" s="3">
        <f t="shared" si="10"/>
        <v>5.5555555555555913E-4</v>
      </c>
      <c r="J91" s="14">
        <f t="shared" si="7"/>
        <v>11.111111111111182</v>
      </c>
    </row>
    <row r="92" spans="7:10" x14ac:dyDescent="0.25">
      <c r="G92" s="8">
        <v>1.6400000000000002E-3</v>
      </c>
      <c r="H92" s="3" cm="1">
        <f t="array" ref="H92">((2*ttotal4)/(3*s_t))*(st_b[[#This Row],[s(tb)]]+(s_t/4))</f>
        <v>0.13277777777777777</v>
      </c>
      <c r="I92" s="3">
        <f t="shared" si="10"/>
        <v>5.5555555555555913E-4</v>
      </c>
      <c r="J92" s="14">
        <f t="shared" si="7"/>
        <v>11.111111111111182</v>
      </c>
    </row>
    <row r="93" spans="7:10" x14ac:dyDescent="0.25">
      <c r="G93" s="8">
        <v>1.6500000000000002E-3</v>
      </c>
      <c r="H93" s="3" cm="1">
        <f t="array" ref="H93">((2*ttotal4)/(3*s_t))*(st_b[[#This Row],[s(tb)]]+(s_t/4))</f>
        <v>0.13333333333333333</v>
      </c>
      <c r="I93" s="3">
        <f t="shared" si="10"/>
        <v>5.5555555555555913E-4</v>
      </c>
      <c r="J93" s="14">
        <f t="shared" si="7"/>
        <v>11.111111111111182</v>
      </c>
    </row>
    <row r="94" spans="7:10" x14ac:dyDescent="0.25">
      <c r="G94" s="8">
        <v>1.6600000000000002E-3</v>
      </c>
      <c r="H94" s="3" cm="1">
        <f t="array" ref="H94">((2*ttotal4)/(3*s_t))*(st_b[[#This Row],[s(tb)]]+(s_t/4))</f>
        <v>0.13388888888888889</v>
      </c>
      <c r="I94" s="3">
        <f t="shared" si="10"/>
        <v>5.5555555555555913E-4</v>
      </c>
      <c r="J94" s="14">
        <f t="shared" si="7"/>
        <v>11.111111111111182</v>
      </c>
    </row>
    <row r="95" spans="7:10" x14ac:dyDescent="0.25">
      <c r="G95" s="8">
        <v>1.67E-3</v>
      </c>
      <c r="H95" s="3" cm="1">
        <f t="array" ref="H95">((2*ttotal4)/(3*s_t))*(st_b[[#This Row],[s(tb)]]+(s_t/4))</f>
        <v>0.13444444444444445</v>
      </c>
      <c r="I95" s="3">
        <f t="shared" si="10"/>
        <v>5.5555555555555913E-4</v>
      </c>
      <c r="J95" s="14">
        <f t="shared" si="7"/>
        <v>11.111111111111182</v>
      </c>
    </row>
    <row r="96" spans="7:10" x14ac:dyDescent="0.25">
      <c r="G96" s="8">
        <v>1.6800000000000001E-3</v>
      </c>
      <c r="H96" s="3" cm="1">
        <f t="array" ref="H96">((2*ttotal4)/(3*s_t))*(st_b[[#This Row],[s(tb)]]+(s_t/4))</f>
        <v>0.13499999999999998</v>
      </c>
      <c r="I96" s="3">
        <f t="shared" si="10"/>
        <v>5.5555555555553138E-4</v>
      </c>
      <c r="J96" s="14">
        <f t="shared" si="7"/>
        <v>11.111111111110628</v>
      </c>
    </row>
    <row r="97" spans="7:10" x14ac:dyDescent="0.25">
      <c r="G97" s="8">
        <v>1.6900000000000001E-3</v>
      </c>
      <c r="H97" s="3" cm="1">
        <f t="array" ref="H97">((2*ttotal4)/(3*s_t))*(st_b[[#This Row],[s(tb)]]+(s_t/4))</f>
        <v>0.13555555555555557</v>
      </c>
      <c r="I97" s="3">
        <f t="shared" si="10"/>
        <v>5.5555555555558689E-4</v>
      </c>
      <c r="J97" s="14">
        <f t="shared" si="7"/>
        <v>11.111111111111738</v>
      </c>
    </row>
    <row r="98" spans="7:10" x14ac:dyDescent="0.25">
      <c r="G98" s="8">
        <v>1.7000000000000001E-3</v>
      </c>
      <c r="H98" s="3" cm="1">
        <f t="array" ref="H98">((2*ttotal4)/(3*s_t))*(st_b[[#This Row],[s(tb)]]+(s_t/4))</f>
        <v>0.1361111111111111</v>
      </c>
      <c r="I98" s="3">
        <f t="shared" si="10"/>
        <v>5.5555555555553138E-4</v>
      </c>
      <c r="J98" s="14">
        <f t="shared" si="7"/>
        <v>11.111111111110628</v>
      </c>
    </row>
    <row r="99" spans="7:10" x14ac:dyDescent="0.25">
      <c r="G99" s="8">
        <v>1.7100000000000001E-3</v>
      </c>
      <c r="H99" s="3" cm="1">
        <f t="array" ref="H99">((2*ttotal4)/(3*s_t))*(st_b[[#This Row],[s(tb)]]+(s_t/4))</f>
        <v>0.13666666666666669</v>
      </c>
      <c r="I99" s="3">
        <f t="shared" si="10"/>
        <v>5.5555555555558689E-4</v>
      </c>
      <c r="J99" s="14">
        <f t="shared" si="7"/>
        <v>11.111111111111738</v>
      </c>
    </row>
    <row r="100" spans="7:10" x14ac:dyDescent="0.25">
      <c r="G100" s="8">
        <v>1.7200000000000002E-3</v>
      </c>
      <c r="H100" s="3" cm="1">
        <f t="array" ref="H100">((2*ttotal4)/(3*s_t))*(st_b[[#This Row],[s(tb)]]+(s_t/4))</f>
        <v>0.13722222222222222</v>
      </c>
      <c r="I100" s="3">
        <f t="shared" si="10"/>
        <v>5.5555555555553138E-4</v>
      </c>
      <c r="J100" s="14">
        <f t="shared" si="7"/>
        <v>11.111111111110628</v>
      </c>
    </row>
    <row r="101" spans="7:10" x14ac:dyDescent="0.25">
      <c r="G101" s="8">
        <v>1.7300000000000002E-3</v>
      </c>
      <c r="H101" s="3" cm="1">
        <f t="array" ref="H101">((2*ttotal4)/(3*s_t))*(st_b[[#This Row],[s(tb)]]+(s_t/4))</f>
        <v>0.13777777777777778</v>
      </c>
      <c r="I101" s="3">
        <f t="shared" si="10"/>
        <v>5.5555555555555913E-4</v>
      </c>
      <c r="J101" s="14">
        <f t="shared" si="7"/>
        <v>11.111111111111182</v>
      </c>
    </row>
    <row r="102" spans="7:10" x14ac:dyDescent="0.25">
      <c r="G102" s="8">
        <v>1.7400000000000002E-3</v>
      </c>
      <c r="H102" s="3" cm="1">
        <f t="array" ref="H102">((2*ttotal4)/(3*s_t))*(st_b[[#This Row],[s(tb)]]+(s_t/4))</f>
        <v>0.13833333333333331</v>
      </c>
      <c r="I102" s="3">
        <f t="shared" si="10"/>
        <v>5.5555555555553138E-4</v>
      </c>
      <c r="J102" s="14">
        <f t="shared" si="7"/>
        <v>11.111111111110628</v>
      </c>
    </row>
    <row r="103" spans="7:10" x14ac:dyDescent="0.25">
      <c r="G103" s="8">
        <v>1.75E-3</v>
      </c>
      <c r="H103" s="3" cm="1">
        <f t="array" ref="H103">((2*ttotal4)/(3*s_t))*(st_b[[#This Row],[s(tb)]]+(s_t/4))</f>
        <v>0.13888888888888887</v>
      </c>
      <c r="I103" s="3">
        <f t="shared" si="10"/>
        <v>5.5555555555555913E-4</v>
      </c>
      <c r="J103" s="14">
        <f t="shared" si="7"/>
        <v>11.111111111111182</v>
      </c>
    </row>
    <row r="104" spans="7:10" x14ac:dyDescent="0.25">
      <c r="G104" s="8">
        <v>1.7600000000000001E-3</v>
      </c>
      <c r="H104" s="3" cm="1">
        <f t="array" ref="H104">((2*ttotal4)/(3*s_t))*(st_b[[#This Row],[s(tb)]]+(s_t/4))</f>
        <v>0.13944444444444443</v>
      </c>
      <c r="I104" s="3">
        <f t="shared" si="10"/>
        <v>5.5555555555555913E-4</v>
      </c>
      <c r="J104" s="14">
        <f t="shared" si="7"/>
        <v>11.111111111111182</v>
      </c>
    </row>
    <row r="105" spans="7:10" x14ac:dyDescent="0.25">
      <c r="G105" s="8">
        <v>1.7700000000000001E-3</v>
      </c>
      <c r="H105" s="3" cm="1">
        <f t="array" ref="H105">((2*ttotal4)/(3*s_t))*(st_b[[#This Row],[s(tb)]]+(s_t/4))</f>
        <v>0.13999999999999999</v>
      </c>
      <c r="I105" s="3">
        <f t="shared" si="10"/>
        <v>5.5555555555555913E-4</v>
      </c>
      <c r="J105" s="14">
        <f t="shared" si="7"/>
        <v>11.111111111111182</v>
      </c>
    </row>
    <row r="106" spans="7:10" x14ac:dyDescent="0.25">
      <c r="G106" s="8">
        <v>1.7800000000000001E-3</v>
      </c>
      <c r="H106" s="3" cm="1">
        <f t="array" ref="H106">((2*ttotal4)/(3*s_t))*(st_b[[#This Row],[s(tb)]]+(s_t/4))</f>
        <v>0.14055555555555554</v>
      </c>
      <c r="I106" s="3">
        <f t="shared" si="10"/>
        <v>5.5555555555555913E-4</v>
      </c>
      <c r="J106" s="14">
        <f t="shared" si="7"/>
        <v>11.111111111111182</v>
      </c>
    </row>
    <row r="107" spans="7:10" x14ac:dyDescent="0.25">
      <c r="G107" s="8">
        <v>1.7900000000000001E-3</v>
      </c>
      <c r="H107" s="3" cm="1">
        <f t="array" ref="H107">((2*ttotal4)/(3*s_t))*(st_b[[#This Row],[s(tb)]]+(s_t/4))</f>
        <v>0.1411111111111111</v>
      </c>
      <c r="I107" s="3">
        <f t="shared" si="10"/>
        <v>5.5555555555555913E-4</v>
      </c>
      <c r="J107" s="14">
        <f t="shared" si="7"/>
        <v>11.111111111111182</v>
      </c>
    </row>
    <row r="108" spans="7:10" x14ac:dyDescent="0.25">
      <c r="G108" s="8">
        <v>1.8000000000000002E-3</v>
      </c>
      <c r="H108" s="3" cm="1">
        <f t="array" ref="H108">((2*ttotal4)/(3*s_t))*(st_b[[#This Row],[s(tb)]]+(s_t/4))</f>
        <v>0.14166666666666666</v>
      </c>
      <c r="I108" s="3">
        <f t="shared" si="10"/>
        <v>5.5555555555555913E-4</v>
      </c>
      <c r="J108" s="14">
        <f t="shared" si="7"/>
        <v>11.111111111111182</v>
      </c>
    </row>
    <row r="109" spans="7:10" x14ac:dyDescent="0.25">
      <c r="G109" s="8">
        <v>1.8100000000000002E-3</v>
      </c>
      <c r="H109" s="3" cm="1">
        <f t="array" ref="H109">((2*ttotal4)/(3*s_t))*(st_b[[#This Row],[s(tb)]]+(s_t/4))</f>
        <v>0.14222222222222222</v>
      </c>
      <c r="I109" s="3">
        <f t="shared" si="10"/>
        <v>5.5555555555555913E-4</v>
      </c>
      <c r="J109" s="14">
        <f t="shared" si="7"/>
        <v>11.111111111111182</v>
      </c>
    </row>
    <row r="110" spans="7:10" x14ac:dyDescent="0.25">
      <c r="G110" s="8">
        <v>1.8200000000000002E-3</v>
      </c>
      <c r="H110" s="3" cm="1">
        <f t="array" ref="H110">((2*ttotal4)/(3*s_t))*(st_b[[#This Row],[s(tb)]]+(s_t/4))</f>
        <v>0.14277777777777778</v>
      </c>
      <c r="I110" s="3">
        <f t="shared" si="10"/>
        <v>5.5555555555555913E-4</v>
      </c>
      <c r="J110" s="14">
        <f t="shared" si="7"/>
        <v>11.111111111111182</v>
      </c>
    </row>
    <row r="111" spans="7:10" x14ac:dyDescent="0.25">
      <c r="G111" s="8">
        <v>1.8300000000000002E-3</v>
      </c>
      <c r="H111" s="3" cm="1">
        <f t="array" ref="H111">((2*ttotal4)/(3*s_t))*(st_b[[#This Row],[s(tb)]]+(s_t/4))</f>
        <v>0.14333333333333334</v>
      </c>
      <c r="I111" s="3">
        <f t="shared" si="10"/>
        <v>5.5555555555555913E-4</v>
      </c>
      <c r="J111" s="14">
        <f t="shared" si="7"/>
        <v>11.111111111111182</v>
      </c>
    </row>
    <row r="112" spans="7:10" x14ac:dyDescent="0.25">
      <c r="G112" s="8">
        <v>1.8400000000000001E-3</v>
      </c>
      <c r="H112" s="3" cm="1">
        <f t="array" ref="H112">((2*ttotal4)/(3*s_t))*(st_b[[#This Row],[s(tb)]]+(s_t/4))</f>
        <v>0.1438888888888889</v>
      </c>
      <c r="I112" s="3">
        <f t="shared" si="10"/>
        <v>5.5555555555555913E-4</v>
      </c>
      <c r="J112" s="14">
        <f t="shared" si="7"/>
        <v>11.111111111111182</v>
      </c>
    </row>
    <row r="113" spans="7:10" x14ac:dyDescent="0.25">
      <c r="G113" s="8">
        <v>1.8500000000000001E-3</v>
      </c>
      <c r="H113" s="3" cm="1">
        <f t="array" ref="H113">((2*ttotal4)/(3*s_t))*(st_b[[#This Row],[s(tb)]]+(s_t/4))</f>
        <v>0.14444444444444443</v>
      </c>
      <c r="I113" s="3">
        <f t="shared" si="10"/>
        <v>5.5555555555553138E-4</v>
      </c>
      <c r="J113" s="14">
        <f t="shared" si="7"/>
        <v>11.111111111110628</v>
      </c>
    </row>
    <row r="114" spans="7:10" x14ac:dyDescent="0.25">
      <c r="G114" s="8">
        <v>1.8600000000000001E-3</v>
      </c>
      <c r="H114" s="3" cm="1">
        <f t="array" ref="H114">((2*ttotal4)/(3*s_t))*(st_b[[#This Row],[s(tb)]]+(s_t/4))</f>
        <v>0.14500000000000002</v>
      </c>
      <c r="I114" s="3">
        <f t="shared" si="10"/>
        <v>5.5555555555558689E-4</v>
      </c>
      <c r="J114" s="14">
        <f t="shared" si="7"/>
        <v>11.111111111111738</v>
      </c>
    </row>
    <row r="115" spans="7:10" x14ac:dyDescent="0.25">
      <c r="G115" s="8">
        <v>1.8700000000000001E-3</v>
      </c>
      <c r="H115" s="3" cm="1">
        <f t="array" ref="H115">((2*ttotal4)/(3*s_t))*(st_b[[#This Row],[s(tb)]]+(s_t/4))</f>
        <v>0.14555555555555555</v>
      </c>
      <c r="I115" s="3">
        <f t="shared" si="10"/>
        <v>5.5555555555553138E-4</v>
      </c>
      <c r="J115" s="14">
        <f t="shared" si="7"/>
        <v>11.111111111110628</v>
      </c>
    </row>
    <row r="116" spans="7:10" x14ac:dyDescent="0.25">
      <c r="G116" s="8">
        <v>1.8800000000000002E-3</v>
      </c>
      <c r="H116" s="3" cm="1">
        <f t="array" ref="H116">((2*ttotal4)/(3*s_t))*(st_b[[#This Row],[s(tb)]]+(s_t/4))</f>
        <v>0.14611111111111111</v>
      </c>
      <c r="I116" s="3">
        <f t="shared" si="10"/>
        <v>5.5555555555555913E-4</v>
      </c>
      <c r="J116" s="14">
        <f t="shared" si="7"/>
        <v>11.111111111111182</v>
      </c>
    </row>
    <row r="117" spans="7:10" x14ac:dyDescent="0.25">
      <c r="G117" s="8">
        <v>1.8900000000000002E-3</v>
      </c>
      <c r="H117" s="3" cm="1">
        <f t="array" ref="H117">((2*ttotal4)/(3*s_t))*(st_b[[#This Row],[s(tb)]]+(s_t/4))</f>
        <v>0.14666666666666664</v>
      </c>
      <c r="I117" s="3">
        <f t="shared" si="10"/>
        <v>5.5555555555553138E-4</v>
      </c>
      <c r="J117" s="14">
        <f t="shared" si="7"/>
        <v>11.111111111110628</v>
      </c>
    </row>
    <row r="118" spans="7:10" x14ac:dyDescent="0.25">
      <c r="G118" s="8">
        <v>1.9000000000000002E-3</v>
      </c>
      <c r="H118" s="3" cm="1">
        <f t="array" ref="H118">((2*ttotal4)/(3*s_t))*(st_b[[#This Row],[s(tb)]]+(s_t/4))</f>
        <v>0.14722222222222223</v>
      </c>
      <c r="I118" s="3">
        <f t="shared" si="10"/>
        <v>5.5555555555558689E-4</v>
      </c>
      <c r="J118" s="14">
        <f t="shared" si="7"/>
        <v>11.111111111111738</v>
      </c>
    </row>
    <row r="119" spans="7:10" x14ac:dyDescent="0.25">
      <c r="G119" s="8">
        <v>1.9100000000000002E-3</v>
      </c>
      <c r="H119" s="3" cm="1">
        <f t="array" ref="H119">((2*ttotal4)/(3*s_t))*(st_b[[#This Row],[s(tb)]]+(s_t/4))</f>
        <v>0.14777777777777776</v>
      </c>
      <c r="I119" s="3">
        <f t="shared" si="10"/>
        <v>5.5555555555553138E-4</v>
      </c>
      <c r="J119" s="14">
        <f t="shared" si="7"/>
        <v>11.111111111110628</v>
      </c>
    </row>
    <row r="120" spans="7:10" x14ac:dyDescent="0.25">
      <c r="G120" s="8">
        <v>1.9200000000000003E-3</v>
      </c>
      <c r="H120" s="3" cm="1">
        <f t="array" ref="H120">((2*ttotal4)/(3*s_t))*(st_b[[#This Row],[s(tb)]]+(s_t/4))</f>
        <v>0.14833333333333334</v>
      </c>
      <c r="I120" s="3">
        <f t="shared" si="10"/>
        <v>5.5555555555558689E-4</v>
      </c>
      <c r="J120" s="14">
        <f t="shared" si="7"/>
        <v>11.111111111111738</v>
      </c>
    </row>
    <row r="121" spans="7:10" x14ac:dyDescent="0.25">
      <c r="G121" s="8">
        <v>1.9300000000000001E-3</v>
      </c>
      <c r="H121" s="3" cm="1">
        <f t="array" ref="H121">((2*ttotal4)/(3*s_t))*(st_b[[#This Row],[s(tb)]]+(s_t/4))</f>
        <v>0.14888888888888888</v>
      </c>
      <c r="I121" s="3">
        <f t="shared" si="10"/>
        <v>5.5555555555553138E-4</v>
      </c>
      <c r="J121" s="14">
        <f t="shared" si="7"/>
        <v>11.111111111110628</v>
      </c>
    </row>
    <row r="122" spans="7:10" x14ac:dyDescent="0.25">
      <c r="G122" s="8">
        <v>1.9400000000000001E-3</v>
      </c>
      <c r="H122" s="3" cm="1">
        <f t="array" ref="H122">((2*ttotal4)/(3*s_t))*(st_b[[#This Row],[s(tb)]]+(s_t/4))</f>
        <v>0.14944444444444444</v>
      </c>
      <c r="I122" s="3">
        <f t="shared" si="10"/>
        <v>5.5555555555555913E-4</v>
      </c>
      <c r="J122" s="14">
        <f t="shared" si="7"/>
        <v>11.111111111111182</v>
      </c>
    </row>
    <row r="123" spans="7:10" x14ac:dyDescent="0.25">
      <c r="G123" s="8">
        <v>1.9500000000000001E-3</v>
      </c>
      <c r="H123" s="3" cm="1">
        <f t="array" ref="H123">((2*ttotal4)/(3*s_t))*(st_b[[#This Row],[s(tb)]]+(s_t/4))</f>
        <v>0.15</v>
      </c>
      <c r="I123" s="3">
        <f t="shared" si="10"/>
        <v>5.5555555555555913E-4</v>
      </c>
      <c r="J123" s="14">
        <f t="shared" si="7"/>
        <v>11.111111111111182</v>
      </c>
    </row>
    <row r="124" spans="7:10" x14ac:dyDescent="0.25">
      <c r="G124" s="8">
        <v>1.9600000000000004E-3</v>
      </c>
      <c r="H124" s="3" cm="1">
        <f t="array" ref="H124">((2*ttotal4)/(3*s_t))*(st_b[[#This Row],[s(tb)]]+(s_t/4))</f>
        <v>0.15055555555555558</v>
      </c>
      <c r="I124" s="3">
        <f t="shared" si="10"/>
        <v>5.5555555555558689E-4</v>
      </c>
      <c r="J124" s="14">
        <f t="shared" si="7"/>
        <v>11.111111111111738</v>
      </c>
    </row>
    <row r="125" spans="7:10" x14ac:dyDescent="0.25">
      <c r="G125" s="8">
        <v>1.97E-3</v>
      </c>
      <c r="H125" s="3" cm="1">
        <f t="array" ref="H125">((2*ttotal4)/(3*s_t))*(st_b[[#This Row],[s(tb)]]+(s_t/4))</f>
        <v>0.15111111111111111</v>
      </c>
      <c r="I125" s="3">
        <f t="shared" si="10"/>
        <v>5.5555555555553138E-4</v>
      </c>
      <c r="J125" s="14">
        <f t="shared" si="7"/>
        <v>11.111111111110628</v>
      </c>
    </row>
    <row r="126" spans="7:10" x14ac:dyDescent="0.25">
      <c r="G126" s="8">
        <v>1.98E-3</v>
      </c>
      <c r="H126" s="3" cm="1">
        <f t="array" ref="H126">((2*ttotal4)/(3*s_t))*(st_b[[#This Row],[s(tb)]]+(s_t/4))</f>
        <v>0.15166666666666664</v>
      </c>
      <c r="I126" s="3">
        <f t="shared" si="10"/>
        <v>5.5555555555553138E-4</v>
      </c>
      <c r="J126" s="14">
        <f t="shared" si="7"/>
        <v>11.111111111110628</v>
      </c>
    </row>
    <row r="127" spans="7:10" x14ac:dyDescent="0.25">
      <c r="G127" s="8">
        <v>1.99E-3</v>
      </c>
      <c r="H127" s="3" cm="1">
        <f t="array" ref="H127">((2*ttotal4)/(3*s_t))*(st_b[[#This Row],[s(tb)]]+(s_t/4))</f>
        <v>0.15222222222222223</v>
      </c>
      <c r="I127" s="3">
        <f t="shared" si="10"/>
        <v>5.5555555555558689E-4</v>
      </c>
      <c r="J127" s="14">
        <f t="shared" si="7"/>
        <v>11.111111111111738</v>
      </c>
    </row>
    <row r="128" spans="7:10" x14ac:dyDescent="0.25">
      <c r="G128" s="8">
        <v>2E-3</v>
      </c>
      <c r="H128" s="3" cm="1">
        <f t="array" ref="H128">((2*ttotal4)/(3*s_t))*(st_b[[#This Row],[s(tb)]]+(s_t/4))</f>
        <v>0.15277777777777776</v>
      </c>
      <c r="I128" s="3">
        <f t="shared" si="10"/>
        <v>5.5555555555553138E-4</v>
      </c>
      <c r="J128" s="14">
        <f t="shared" si="7"/>
        <v>11.111111111110628</v>
      </c>
    </row>
    <row r="129" spans="7:10" x14ac:dyDescent="0.25">
      <c r="G129" s="8">
        <v>2.0100000000000001E-3</v>
      </c>
      <c r="H129" s="3" cm="1">
        <f t="array" ref="H129">((2*ttotal4)/(3*s_t))*(st_b[[#This Row],[s(tb)]]+(s_t/4))</f>
        <v>0.15333333333333332</v>
      </c>
      <c r="I129" s="3">
        <f t="shared" si="10"/>
        <v>5.5555555555555913E-4</v>
      </c>
      <c r="J129" s="14">
        <f t="shared" si="7"/>
        <v>11.111111111111182</v>
      </c>
    </row>
    <row r="130" spans="7:10" x14ac:dyDescent="0.25">
      <c r="G130" s="8">
        <v>2.0200000000000001E-3</v>
      </c>
      <c r="H130" s="3" cm="1">
        <f t="array" ref="H130">((2*ttotal4)/(3*s_t))*(st_b[[#This Row],[s(tb)]]+(s_t/4))</f>
        <v>0.15388888888888888</v>
      </c>
      <c r="I130" s="3">
        <f t="shared" si="10"/>
        <v>5.5555555555555913E-4</v>
      </c>
      <c r="J130" s="14">
        <f t="shared" si="7"/>
        <v>11.111111111111182</v>
      </c>
    </row>
    <row r="131" spans="7:10" x14ac:dyDescent="0.25">
      <c r="G131" s="8">
        <v>2.0300000000000001E-3</v>
      </c>
      <c r="H131" s="3" cm="1">
        <f t="array" ref="H131">((2*ttotal4)/(3*s_t))*(st_b[[#This Row],[s(tb)]]+(s_t/4))</f>
        <v>0.15444444444444444</v>
      </c>
      <c r="I131" s="3">
        <f t="shared" si="10"/>
        <v>5.5555555555555913E-4</v>
      </c>
      <c r="J131" s="14">
        <f t="shared" si="7"/>
        <v>11.111111111111182</v>
      </c>
    </row>
    <row r="132" spans="7:10" x14ac:dyDescent="0.25">
      <c r="G132" s="8">
        <v>2.0400000000000001E-3</v>
      </c>
      <c r="H132" s="3" cm="1">
        <f t="array" ref="H132">((2*ttotal4)/(3*s_t))*(st_b[[#This Row],[s(tb)]]+(s_t/4))</f>
        <v>0.15499999999999997</v>
      </c>
      <c r="I132" s="3">
        <f t="shared" si="10"/>
        <v>5.5555555555553138E-4</v>
      </c>
      <c r="J132" s="14">
        <f t="shared" ref="J132:J153" si="12">I132/0.00005</f>
        <v>11.111111111110628</v>
      </c>
    </row>
    <row r="133" spans="7:10" x14ac:dyDescent="0.25">
      <c r="G133" s="8">
        <v>2.0500000000000002E-3</v>
      </c>
      <c r="H133" s="3" cm="1">
        <f t="array" ref="H133">((2*ttotal4)/(3*s_t))*(st_b[[#This Row],[s(tb)]]+(s_t/4))</f>
        <v>0.15555555555555556</v>
      </c>
      <c r="I133" s="3">
        <f t="shared" ref="I133:I153" si="13">H133-H132</f>
        <v>5.5555555555558689E-4</v>
      </c>
      <c r="J133" s="14">
        <f t="shared" si="12"/>
        <v>11.111111111111738</v>
      </c>
    </row>
    <row r="134" spans="7:10" x14ac:dyDescent="0.25">
      <c r="G134" s="8">
        <v>2.0600000000000002E-3</v>
      </c>
      <c r="H134" s="3" cm="1">
        <f t="array" ref="H134">((2*ttotal4)/(3*s_t))*(st_b[[#This Row],[s(tb)]]+(s_t/4))</f>
        <v>0.15611111111111109</v>
      </c>
      <c r="I134" s="3">
        <f t="shared" si="13"/>
        <v>5.5555555555553138E-4</v>
      </c>
      <c r="J134" s="14">
        <f t="shared" si="12"/>
        <v>11.111111111110628</v>
      </c>
    </row>
    <row r="135" spans="7:10" x14ac:dyDescent="0.25">
      <c r="G135" s="8">
        <v>2.0700000000000002E-3</v>
      </c>
      <c r="H135" s="3" cm="1">
        <f t="array" ref="H135">((2*ttotal4)/(3*s_t))*(st_b[[#This Row],[s(tb)]]+(s_t/4))</f>
        <v>0.15666666666666668</v>
      </c>
      <c r="I135" s="3">
        <f t="shared" si="13"/>
        <v>5.5555555555558689E-4</v>
      </c>
      <c r="J135" s="14">
        <f t="shared" si="12"/>
        <v>11.111111111111738</v>
      </c>
    </row>
    <row r="136" spans="7:10" x14ac:dyDescent="0.25">
      <c r="G136" s="8">
        <v>2.0800000000000003E-3</v>
      </c>
      <c r="H136" s="3" cm="1">
        <f t="array" ref="H136">((2*ttotal4)/(3*s_t))*(st_b[[#This Row],[s(tb)]]+(s_t/4))</f>
        <v>0.15722222222222221</v>
      </c>
      <c r="I136" s="3">
        <f t="shared" si="13"/>
        <v>5.5555555555553138E-4</v>
      </c>
      <c r="J136" s="14">
        <f t="shared" si="12"/>
        <v>11.111111111110628</v>
      </c>
    </row>
    <row r="137" spans="7:10" x14ac:dyDescent="0.25">
      <c r="G137" s="8">
        <v>2.0900000000000003E-3</v>
      </c>
      <c r="H137" s="3" cm="1">
        <f t="array" ref="H137">((2*ttotal4)/(3*s_t))*(st_b[[#This Row],[s(tb)]]+(s_t/4))</f>
        <v>0.15777777777777779</v>
      </c>
      <c r="I137" s="3">
        <f t="shared" si="13"/>
        <v>5.5555555555558689E-4</v>
      </c>
      <c r="J137" s="14">
        <f t="shared" si="12"/>
        <v>11.111111111111738</v>
      </c>
    </row>
    <row r="138" spans="7:10" x14ac:dyDescent="0.25">
      <c r="G138" s="8">
        <v>2.1000000000000003E-3</v>
      </c>
      <c r="H138" s="3" cm="1">
        <f t="array" ref="H138">((2*ttotal4)/(3*s_t))*(st_b[[#This Row],[s(tb)]]+(s_t/4))</f>
        <v>0.15833333333333333</v>
      </c>
      <c r="I138" s="3">
        <f t="shared" si="13"/>
        <v>5.5555555555553138E-4</v>
      </c>
      <c r="J138" s="14">
        <f t="shared" si="12"/>
        <v>11.111111111110628</v>
      </c>
    </row>
    <row r="139" spans="7:10" x14ac:dyDescent="0.25">
      <c r="G139" s="8">
        <v>2.1100000000000003E-3</v>
      </c>
      <c r="H139" s="3" cm="1">
        <f t="array" ref="H139">((2*ttotal4)/(3*s_t))*(st_b[[#This Row],[s(tb)]]+(s_t/4))</f>
        <v>0.15888888888888891</v>
      </c>
      <c r="I139" s="3">
        <f t="shared" si="13"/>
        <v>5.5555555555558689E-4</v>
      </c>
      <c r="J139" s="14">
        <f t="shared" si="12"/>
        <v>11.111111111111738</v>
      </c>
    </row>
    <row r="140" spans="7:10" x14ac:dyDescent="0.25">
      <c r="G140" s="8">
        <v>2.1200000000000004E-3</v>
      </c>
      <c r="H140" s="3" cm="1">
        <f t="array" ref="H140">((2*ttotal4)/(3*s_t))*(st_b[[#This Row],[s(tb)]]+(s_t/4))</f>
        <v>0.15944444444444444</v>
      </c>
      <c r="I140" s="3">
        <f t="shared" si="13"/>
        <v>5.5555555555553138E-4</v>
      </c>
      <c r="J140" s="14">
        <f t="shared" si="12"/>
        <v>11.111111111110628</v>
      </c>
    </row>
    <row r="141" spans="7:10" x14ac:dyDescent="0.25">
      <c r="G141" s="8">
        <v>2.1300000000000004E-3</v>
      </c>
      <c r="H141" s="3" cm="1">
        <f t="array" ref="H141">((2*ttotal4)/(3*s_t))*(st_b[[#This Row],[s(tb)]]+(s_t/4))</f>
        <v>0.16000000000000003</v>
      </c>
      <c r="I141" s="3">
        <f t="shared" si="13"/>
        <v>5.5555555555558689E-4</v>
      </c>
      <c r="J141" s="14">
        <f t="shared" si="12"/>
        <v>11.111111111111738</v>
      </c>
    </row>
    <row r="142" spans="7:10" x14ac:dyDescent="0.25">
      <c r="G142" s="8">
        <v>2.14E-3</v>
      </c>
      <c r="H142" s="3" cm="1">
        <f t="array" ref="H142">((2*ttotal4)/(3*s_t))*(st_b[[#This Row],[s(tb)]]+(s_t/4))</f>
        <v>0.16055555555555556</v>
      </c>
      <c r="I142" s="3">
        <f t="shared" si="13"/>
        <v>5.5555555555553138E-4</v>
      </c>
      <c r="J142" s="14">
        <f t="shared" si="12"/>
        <v>11.111111111110628</v>
      </c>
    </row>
    <row r="143" spans="7:10" x14ac:dyDescent="0.25">
      <c r="G143" s="8">
        <v>2.15E-3</v>
      </c>
      <c r="H143" s="3" cm="1">
        <f t="array" ref="H143">((2*ttotal4)/(3*s_t))*(st_b[[#This Row],[s(tb)]]+(s_t/4))</f>
        <v>0.16111111111111109</v>
      </c>
      <c r="I143" s="3">
        <f t="shared" si="13"/>
        <v>5.5555555555553138E-4</v>
      </c>
      <c r="J143" s="14">
        <f t="shared" si="12"/>
        <v>11.111111111110628</v>
      </c>
    </row>
    <row r="144" spans="7:10" x14ac:dyDescent="0.25">
      <c r="G144" s="8">
        <v>2.16E-3</v>
      </c>
      <c r="H144" s="3" cm="1">
        <f t="array" ref="H144">((2*ttotal4)/(3*s_t))*(st_b[[#This Row],[s(tb)]]+(s_t/4))</f>
        <v>0.16166666666666665</v>
      </c>
      <c r="I144" s="3">
        <f t="shared" si="13"/>
        <v>5.5555555555555913E-4</v>
      </c>
      <c r="J144" s="14">
        <f t="shared" si="12"/>
        <v>11.111111111111182</v>
      </c>
    </row>
    <row r="145" spans="7:10" x14ac:dyDescent="0.25">
      <c r="G145" s="8">
        <v>2.1700000000000001E-3</v>
      </c>
      <c r="H145" s="3" cm="1">
        <f t="array" ref="H145">((2*ttotal4)/(3*s_t))*(st_b[[#This Row],[s(tb)]]+(s_t/4))</f>
        <v>0.16222222222222218</v>
      </c>
      <c r="I145" s="3">
        <f t="shared" si="13"/>
        <v>5.5555555555553138E-4</v>
      </c>
      <c r="J145" s="14">
        <f t="shared" si="12"/>
        <v>11.111111111110628</v>
      </c>
    </row>
    <row r="146" spans="7:10" x14ac:dyDescent="0.25">
      <c r="G146" s="8">
        <v>2.1800000000000001E-3</v>
      </c>
      <c r="H146" s="3" cm="1">
        <f t="array" ref="H146">((2*ttotal4)/(3*s_t))*(st_b[[#This Row],[s(tb)]]+(s_t/4))</f>
        <v>0.16277777777777777</v>
      </c>
      <c r="I146" s="3">
        <f t="shared" si="13"/>
        <v>5.5555555555558689E-4</v>
      </c>
      <c r="J146" s="14">
        <f t="shared" si="12"/>
        <v>11.111111111111738</v>
      </c>
    </row>
    <row r="147" spans="7:10" x14ac:dyDescent="0.25">
      <c r="G147" s="8">
        <v>2.1900000000000001E-3</v>
      </c>
      <c r="H147" s="3" cm="1">
        <f t="array" ref="H147">((2*ttotal4)/(3*s_t))*(st_b[[#This Row],[s(tb)]]+(s_t/4))</f>
        <v>0.1633333333333333</v>
      </c>
      <c r="I147" s="3">
        <f t="shared" si="13"/>
        <v>5.5555555555553138E-4</v>
      </c>
      <c r="J147" s="14">
        <f t="shared" si="12"/>
        <v>11.111111111110628</v>
      </c>
    </row>
    <row r="148" spans="7:10" x14ac:dyDescent="0.25">
      <c r="G148" s="8">
        <v>2.2000000000000001E-3</v>
      </c>
      <c r="H148" s="3" cm="1">
        <f t="array" ref="H148">((2*ttotal4)/(3*s_t))*(st_b[[#This Row],[s(tb)]]+(s_t/4))</f>
        <v>0.16388888888888889</v>
      </c>
      <c r="I148" s="3">
        <f t="shared" si="13"/>
        <v>5.5555555555558689E-4</v>
      </c>
      <c r="J148" s="14">
        <f t="shared" si="12"/>
        <v>11.111111111111738</v>
      </c>
    </row>
    <row r="149" spans="7:10" x14ac:dyDescent="0.25">
      <c r="G149" s="8">
        <v>2.2100000000000002E-3</v>
      </c>
      <c r="H149" s="3" cm="1">
        <f t="array" ref="H149">((2*ttotal4)/(3*s_t))*(st_b[[#This Row],[s(tb)]]+(s_t/4))</f>
        <v>0.16444444444444442</v>
      </c>
      <c r="I149" s="3">
        <f t="shared" si="13"/>
        <v>5.5555555555553138E-4</v>
      </c>
      <c r="J149" s="14">
        <f t="shared" si="12"/>
        <v>11.111111111110628</v>
      </c>
    </row>
    <row r="150" spans="7:10" x14ac:dyDescent="0.25">
      <c r="G150" s="8">
        <v>2.2200000000000002E-3</v>
      </c>
      <c r="H150" s="3" cm="1">
        <f t="array" ref="H150">((2*ttotal4)/(3*s_t))*(st_b[[#This Row],[s(tb)]]+(s_t/4))</f>
        <v>0.16500000000000001</v>
      </c>
      <c r="I150" s="3">
        <f t="shared" si="13"/>
        <v>5.5555555555558689E-4</v>
      </c>
      <c r="J150" s="14">
        <f t="shared" si="12"/>
        <v>11.111111111111738</v>
      </c>
    </row>
    <row r="151" spans="7:10" x14ac:dyDescent="0.25">
      <c r="G151" s="8">
        <v>2.2300000000000002E-3</v>
      </c>
      <c r="H151" s="3" cm="1">
        <f t="array" ref="H151">((2*ttotal4)/(3*s_t))*(st_b[[#This Row],[s(tb)]]+(s_t/4))</f>
        <v>0.16555555555555554</v>
      </c>
      <c r="I151" s="3">
        <f t="shared" si="13"/>
        <v>5.5555555555553138E-4</v>
      </c>
      <c r="J151" s="14">
        <f t="shared" si="12"/>
        <v>11.111111111110628</v>
      </c>
    </row>
    <row r="152" spans="7:10" x14ac:dyDescent="0.25">
      <c r="G152" s="8">
        <v>2.2400000000000002E-3</v>
      </c>
      <c r="H152" s="3" cm="1">
        <f t="array" ref="H152">((2*ttotal4)/(3*s_t))*(st_b[[#This Row],[s(tb)]]+(s_t/4))</f>
        <v>0.16611111111111113</v>
      </c>
      <c r="I152" s="3">
        <f t="shared" si="13"/>
        <v>5.5555555555558689E-4</v>
      </c>
      <c r="J152" s="14">
        <f t="shared" si="12"/>
        <v>11.111111111111738</v>
      </c>
    </row>
    <row r="153" spans="7:10" x14ac:dyDescent="0.25">
      <c r="G153" s="8">
        <v>2.2500000000000003E-3</v>
      </c>
      <c r="H153" s="3" cm="1">
        <f t="array" ref="H153">((2*ttotal4)/(3*s_t))*(st_b[[#This Row],[s(tb)]]+(s_t/4))</f>
        <v>0.16666666666666666</v>
      </c>
      <c r="I153" s="3">
        <f t="shared" si="13"/>
        <v>5.5555555555553138E-4</v>
      </c>
      <c r="J153" s="14">
        <f t="shared" si="12"/>
        <v>11.111111111110628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D3B8E-08BC-4908-BA9E-060D08995FBE}">
  <sheetPr codeName="Sheet9"/>
  <dimension ref="A2:P153"/>
  <sheetViews>
    <sheetView workbookViewId="0">
      <selection activeCell="V27" sqref="V27"/>
    </sheetView>
  </sheetViews>
  <sheetFormatPr defaultRowHeight="15" x14ac:dyDescent="0.25"/>
  <cols>
    <col min="1" max="1" width="8.42578125" style="2" customWidth="1"/>
    <col min="2" max="2" width="11.5703125" style="3" bestFit="1" customWidth="1"/>
    <col min="3" max="3" width="12.85546875" customWidth="1"/>
    <col min="4" max="4" width="9.5703125" style="14" bestFit="1" customWidth="1"/>
    <col min="5" max="5" width="9.5703125" style="14" customWidth="1"/>
    <col min="7" max="7" width="10.28515625" style="8" customWidth="1"/>
    <col min="8" max="8" width="11.28515625" style="3" bestFit="1" customWidth="1"/>
    <col min="9" max="9" width="11.28515625" bestFit="1" customWidth="1"/>
    <col min="10" max="10" width="11.28515625" style="14" bestFit="1" customWidth="1"/>
    <col min="11" max="11" width="11.28515625" style="14" customWidth="1"/>
    <col min="13" max="13" width="10.28515625" style="8" customWidth="1"/>
    <col min="14" max="14" width="11.28515625" style="3" bestFit="1" customWidth="1"/>
    <col min="15" max="15" width="11.28515625" bestFit="1" customWidth="1"/>
    <col min="16" max="16" width="11.7109375" style="14" customWidth="1"/>
  </cols>
  <sheetData>
    <row r="2" spans="1:16" s="15" customFormat="1" x14ac:dyDescent="0.25">
      <c r="A2" s="15" t="s">
        <v>34</v>
      </c>
      <c r="B2" s="3" t="s">
        <v>28</v>
      </c>
      <c r="C2" s="15" t="s">
        <v>55</v>
      </c>
      <c r="D2" s="15" t="s">
        <v>56</v>
      </c>
      <c r="G2" s="15" t="s">
        <v>35</v>
      </c>
      <c r="H2" s="13" t="s">
        <v>28</v>
      </c>
      <c r="I2" s="15" t="s">
        <v>55</v>
      </c>
      <c r="J2" s="17" t="s">
        <v>56</v>
      </c>
      <c r="K2" s="17"/>
      <c r="M2" s="15" t="s">
        <v>36</v>
      </c>
      <c r="N2" s="13" t="s">
        <v>28</v>
      </c>
      <c r="O2" s="15" t="s">
        <v>55</v>
      </c>
      <c r="P2" s="17" t="s">
        <v>56</v>
      </c>
    </row>
    <row r="3" spans="1:16" x14ac:dyDescent="0.25">
      <c r="A3" s="2">
        <v>0</v>
      </c>
      <c r="B3" s="3" cm="1">
        <f t="array" ref="B3">SQRT((4*POWER(ttotal5,2)*st_a[[#This Row],[s(ta)]])/(9*s_t))</f>
        <v>0</v>
      </c>
      <c r="C3" s="3">
        <v>0</v>
      </c>
      <c r="D3" s="14">
        <f>C3/0.00005</f>
        <v>0</v>
      </c>
      <c r="G3" s="8">
        <v>7.5000000000000002E-4</v>
      </c>
      <c r="H3" s="3" cm="1">
        <f t="array" ref="H3">((2*ttotal5)/(3*s_t))*(st_b[[#This Row],[s(tb)]]+(s_t/4))</f>
        <v>6.6666666666666666E-2</v>
      </c>
      <c r="I3" s="3">
        <f>C78</f>
        <v>4.459358855496004E-4</v>
      </c>
      <c r="J3" s="14">
        <f>I3/0.00005</f>
        <v>8.9187177109920075</v>
      </c>
      <c r="M3" s="8">
        <v>2.2500000000000003E-3</v>
      </c>
      <c r="N3" s="3">
        <f>(-INDEX(Overview[b],5)+SQRT(POWER(INDEX(Overview[b],5),2)-(4*INDEX(Overview[a],5)*st_c[[#This Row],[c]])))/(2*INDEX(Overview[a],5))</f>
        <v>0.13333333333333328</v>
      </c>
      <c r="O3" s="3">
        <f>I153</f>
        <v>4.44444444444414E-4</v>
      </c>
      <c r="P3" s="14">
        <f>O3/0.00005</f>
        <v>8.88888888888828</v>
      </c>
    </row>
    <row r="4" spans="1:16" x14ac:dyDescent="0.25">
      <c r="A4" s="2">
        <v>1.0000000000000001E-5</v>
      </c>
      <c r="B4" s="3" cm="1">
        <f t="array" ref="B4">SQRT((4*POWER(ttotal5,2)*st_a[[#This Row],[s(ta)]])/(9*s_t))</f>
        <v>7.6980035891950115E-3</v>
      </c>
      <c r="C4" s="3">
        <f>B4-B3</f>
        <v>7.6980035891950115E-3</v>
      </c>
      <c r="D4" s="14">
        <f t="shared" ref="D4:D67" si="0">C4/0.00005</f>
        <v>153.96007178390022</v>
      </c>
      <c r="G4" s="8">
        <v>7.6000000000000004E-4</v>
      </c>
      <c r="H4" s="3" cm="1">
        <f t="array" ref="H4">((2*ttotal5)/(3*s_t))*(st_b[[#This Row],[s(tb)]]+(s_t/4))</f>
        <v>6.7111111111111107E-2</v>
      </c>
      <c r="I4" s="3">
        <f>H4-H3</f>
        <v>4.4444444444444176E-4</v>
      </c>
      <c r="J4" s="14">
        <f t="shared" ref="J4:J67" si="1">I4/0.00005</f>
        <v>8.8888888888888342</v>
      </c>
      <c r="M4" s="8">
        <v>2.2600000000000003E-3</v>
      </c>
      <c r="N4" s="3">
        <f>(-INDEX(Overview[b],5)+SQRT(POWER(INDEX(Overview[b],5),2)-(4*INDEX(Overview[a],5)*st_c[[#This Row],[c]])))/(2*INDEX(Overview[a],5))</f>
        <v>0.13377926921888286</v>
      </c>
      <c r="O4" s="3">
        <f>N4-N3</f>
        <v>4.4593588554958652E-4</v>
      </c>
      <c r="P4" s="14">
        <f t="shared" ref="P4:P67" si="2">O4/0.00005</f>
        <v>8.9187177109917304</v>
      </c>
    </row>
    <row r="5" spans="1:16" x14ac:dyDescent="0.25">
      <c r="A5" s="2">
        <v>2.0000000000000002E-5</v>
      </c>
      <c r="B5" s="3" cm="1">
        <f t="array" ref="B5">SQRT((4*POWER(ttotal5,2)*st_a[[#This Row],[s(ta)]])/(9*s_t))</f>
        <v>1.0886621079036348E-2</v>
      </c>
      <c r="C5" s="3">
        <f t="shared" ref="C5:C68" si="3">B5-B4</f>
        <v>3.1886174898413363E-3</v>
      </c>
      <c r="D5" s="14">
        <f t="shared" si="0"/>
        <v>63.772349796826724</v>
      </c>
      <c r="G5" s="8">
        <v>7.7000000000000007E-4</v>
      </c>
      <c r="H5" s="3" cm="1">
        <f t="array" ref="H5">((2*ttotal5)/(3*s_t))*(st_b[[#This Row],[s(tb)]]+(s_t/4))</f>
        <v>6.7555555555555563E-2</v>
      </c>
      <c r="I5" s="3">
        <f t="shared" ref="I5:I68" si="4">H5-H4</f>
        <v>4.4444444444445563E-4</v>
      </c>
      <c r="J5" s="14">
        <f t="shared" si="1"/>
        <v>8.8888888888891131</v>
      </c>
      <c r="M5" s="8">
        <v>2.2700000000000003E-3</v>
      </c>
      <c r="N5" s="3">
        <f>(-INDEX(Overview[b],5)+SQRT(POWER(INDEX(Overview[b],5),2)-(4*INDEX(Overview[a],5)*st_c[[#This Row],[c]])))/(2*INDEX(Overview[a],5))</f>
        <v>0.13422822850245003</v>
      </c>
      <c r="O5" s="3">
        <f t="shared" ref="O5:O68" si="5">N5-N4</f>
        <v>4.4895928356716852E-4</v>
      </c>
      <c r="P5" s="14">
        <f t="shared" si="2"/>
        <v>8.9791856713433695</v>
      </c>
    </row>
    <row r="6" spans="1:16" x14ac:dyDescent="0.25">
      <c r="A6" s="2">
        <v>3.0000000000000004E-5</v>
      </c>
      <c r="B6" s="3" cm="1">
        <f t="array" ref="B6">SQRT((4*POWER(ttotal5,2)*st_a[[#This Row],[s(ta)]])/(9*s_t))</f>
        <v>1.3333333333333336E-2</v>
      </c>
      <c r="C6" s="3">
        <f t="shared" si="3"/>
        <v>2.4467122542969882E-3</v>
      </c>
      <c r="D6" s="14">
        <f t="shared" si="0"/>
        <v>48.934245085939764</v>
      </c>
      <c r="G6" s="8">
        <v>7.8000000000000009E-4</v>
      </c>
      <c r="H6" s="3" cm="1">
        <f t="array" ref="H6">((2*ttotal5)/(3*s_t))*(st_b[[#This Row],[s(tb)]]+(s_t/4))</f>
        <v>6.8000000000000005E-2</v>
      </c>
      <c r="I6" s="3">
        <f t="shared" si="4"/>
        <v>4.4444444444444176E-4</v>
      </c>
      <c r="J6" s="14">
        <f t="shared" si="1"/>
        <v>8.8888888888888342</v>
      </c>
      <c r="M6" s="8">
        <v>2.2800000000000003E-3</v>
      </c>
      <c r="N6" s="3">
        <f>(-INDEX(Overview[b],5)+SQRT(POWER(INDEX(Overview[b],5),2)-(4*INDEX(Overview[a],5)*st_c[[#This Row],[c]])))/(2*INDEX(Overview[a],5))</f>
        <v>0.13468027352578188</v>
      </c>
      <c r="O6" s="3">
        <f t="shared" si="5"/>
        <v>4.5204502333184848E-4</v>
      </c>
      <c r="P6" s="14">
        <f t="shared" si="2"/>
        <v>9.0409004666369697</v>
      </c>
    </row>
    <row r="7" spans="1:16" x14ac:dyDescent="0.25">
      <c r="A7" s="2">
        <v>4.0000000000000003E-5</v>
      </c>
      <c r="B7" s="3" cm="1">
        <f t="array" ref="B7">SQRT((4*POWER(ttotal5,2)*st_a[[#This Row],[s(ta)]])/(9*s_t))</f>
        <v>1.5396007178390023E-2</v>
      </c>
      <c r="C7" s="3">
        <f t="shared" si="3"/>
        <v>2.0626738450566871E-3</v>
      </c>
      <c r="D7" s="14">
        <f t="shared" si="0"/>
        <v>41.253476901133737</v>
      </c>
      <c r="G7" s="8">
        <v>7.9000000000000001E-4</v>
      </c>
      <c r="H7" s="3" cm="1">
        <f t="array" ref="H7">((2*ttotal5)/(3*s_t))*(st_b[[#This Row],[s(tb)]]+(s_t/4))</f>
        <v>6.8444444444444447E-2</v>
      </c>
      <c r="I7" s="3">
        <f t="shared" si="4"/>
        <v>4.4444444444444176E-4</v>
      </c>
      <c r="J7" s="14">
        <f t="shared" si="1"/>
        <v>8.8888888888888342</v>
      </c>
      <c r="M7" s="8">
        <v>2.2900000000000004E-3</v>
      </c>
      <c r="N7" s="3">
        <f>(-INDEX(Overview[b],5)+SQRT(POWER(INDEX(Overview[b],5),2)-(4*INDEX(Overview[a],5)*st_c[[#This Row],[c]])))/(2*INDEX(Overview[a],5))</f>
        <v>0.13513546880299362</v>
      </c>
      <c r="O7" s="3">
        <f t="shared" si="5"/>
        <v>4.5519527721174513E-4</v>
      </c>
      <c r="P7" s="14">
        <f t="shared" si="2"/>
        <v>9.1039055442349017</v>
      </c>
    </row>
    <row r="8" spans="1:16" x14ac:dyDescent="0.25">
      <c r="A8" s="2">
        <v>5.0000000000000002E-5</v>
      </c>
      <c r="B8" s="3" cm="1">
        <f t="array" ref="B8">SQRT((4*POWER(ttotal5,2)*st_a[[#This Row],[s(ta)]])/(9*s_t))</f>
        <v>1.7213259316477408E-2</v>
      </c>
      <c r="C8" s="3">
        <f t="shared" si="3"/>
        <v>1.8172521380873854E-3</v>
      </c>
      <c r="D8" s="14">
        <f t="shared" si="0"/>
        <v>36.345042761747706</v>
      </c>
      <c r="G8" s="8">
        <v>8.0000000000000004E-4</v>
      </c>
      <c r="H8" s="3" cm="1">
        <f t="array" ref="H8">((2*ttotal5)/(3*s_t))*(st_b[[#This Row],[s(tb)]]+(s_t/4))</f>
        <v>6.8888888888888888E-2</v>
      </c>
      <c r="I8" s="3">
        <f t="shared" si="4"/>
        <v>4.4444444444444176E-4</v>
      </c>
      <c r="J8" s="14">
        <f t="shared" si="1"/>
        <v>8.8888888888888342</v>
      </c>
      <c r="M8" s="8">
        <v>2.3000000000000004E-3</v>
      </c>
      <c r="N8" s="3">
        <f>(-INDEX(Overview[b],5)+SQRT(POWER(INDEX(Overview[b],5),2)-(4*INDEX(Overview[a],5)*st_c[[#This Row],[c]])))/(2*INDEX(Overview[a],5))</f>
        <v>0.13559388112804688</v>
      </c>
      <c r="O8" s="3">
        <f t="shared" si="5"/>
        <v>4.5841232505325347E-4</v>
      </c>
      <c r="P8" s="14">
        <f t="shared" si="2"/>
        <v>9.1682465010650684</v>
      </c>
    </row>
    <row r="9" spans="1:16" x14ac:dyDescent="0.25">
      <c r="A9" s="2">
        <v>6.0000000000000008E-5</v>
      </c>
      <c r="B9" s="3" cm="1">
        <f t="array" ref="B9">SQRT((4*POWER(ttotal5,2)*st_a[[#This Row],[s(ta)]])/(9*s_t))</f>
        <v>1.885618083164127E-2</v>
      </c>
      <c r="C9" s="3">
        <f t="shared" si="3"/>
        <v>1.6429215151638615E-3</v>
      </c>
      <c r="D9" s="14">
        <f t="shared" si="0"/>
        <v>32.858430303277231</v>
      </c>
      <c r="G9" s="8">
        <v>8.1000000000000006E-4</v>
      </c>
      <c r="H9" s="3" cm="1">
        <f t="array" ref="H9">((2*ttotal5)/(3*s_t))*(st_b[[#This Row],[s(tb)]]+(s_t/4))</f>
        <v>6.9333333333333344E-2</v>
      </c>
      <c r="I9" s="3">
        <f t="shared" si="4"/>
        <v>4.4444444444445563E-4</v>
      </c>
      <c r="J9" s="14">
        <f t="shared" si="1"/>
        <v>8.8888888888891131</v>
      </c>
      <c r="M9" s="8">
        <v>2.31E-3</v>
      </c>
      <c r="N9" s="3">
        <f>(-INDEX(Overview[b],5)+SQRT(POWER(INDEX(Overview[b],5),2)-(4*INDEX(Overview[a],5)*st_c[[#This Row],[c]])))/(2*INDEX(Overview[a],5))</f>
        <v>0.13605557968916368</v>
      </c>
      <c r="O9" s="3">
        <f t="shared" si="5"/>
        <v>4.616985611168023E-4</v>
      </c>
      <c r="P9" s="14">
        <f t="shared" si="2"/>
        <v>9.2339712223360451</v>
      </c>
    </row>
    <row r="10" spans="1:16" x14ac:dyDescent="0.25">
      <c r="A10" s="2">
        <v>7.0000000000000007E-5</v>
      </c>
      <c r="B10" s="3" cm="1">
        <f t="array" ref="B10">SQRT((4*POWER(ttotal5,2)*st_a[[#This Row],[s(ta)]])/(9*s_t))</f>
        <v>2.0367003088692624E-2</v>
      </c>
      <c r="C10" s="3">
        <f t="shared" si="3"/>
        <v>1.5108222570513544E-3</v>
      </c>
      <c r="D10" s="14">
        <f t="shared" si="0"/>
        <v>30.216445141027087</v>
      </c>
      <c r="G10" s="8">
        <v>8.2000000000000009E-4</v>
      </c>
      <c r="H10" s="3" cm="1">
        <f t="array" ref="H10">((2*ttotal5)/(3*s_t))*(st_b[[#This Row],[s(tb)]]+(s_t/4))</f>
        <v>6.9777777777777786E-2</v>
      </c>
      <c r="I10" s="3">
        <f t="shared" si="4"/>
        <v>4.4444444444444176E-4</v>
      </c>
      <c r="J10" s="14">
        <f t="shared" si="1"/>
        <v>8.8888888888888342</v>
      </c>
      <c r="M10" s="8">
        <v>2.32E-3</v>
      </c>
      <c r="N10" s="3">
        <f>(-INDEX(Overview[b],5)+SQRT(POWER(INDEX(Overview[b],5),2)-(4*INDEX(Overview[a],5)*st_c[[#This Row],[c]])))/(2*INDEX(Overview[a],5))</f>
        <v>0.13652063619073015</v>
      </c>
      <c r="O10" s="3">
        <f t="shared" si="5"/>
        <v>4.6505650156647427E-4</v>
      </c>
      <c r="P10" s="14">
        <f t="shared" si="2"/>
        <v>9.3011300313294853</v>
      </c>
    </row>
    <row r="11" spans="1:16" x14ac:dyDescent="0.25">
      <c r="A11" s="2">
        <v>8.0000000000000007E-5</v>
      </c>
      <c r="B11" s="3" cm="1">
        <f t="array" ref="B11">SQRT((4*POWER(ttotal5,2)*st_a[[#This Row],[s(ta)]])/(9*s_t))</f>
        <v>2.1773242158072696E-2</v>
      </c>
      <c r="C11" s="3">
        <f t="shared" si="3"/>
        <v>1.4062390693800712E-3</v>
      </c>
      <c r="D11" s="14">
        <f t="shared" si="0"/>
        <v>28.124781387601423</v>
      </c>
      <c r="G11" s="8">
        <v>8.3000000000000012E-4</v>
      </c>
      <c r="H11" s="3" cm="1">
        <f t="array" ref="H11">((2*ttotal5)/(3*s_t))*(st_b[[#This Row],[s(tb)]]+(s_t/4))</f>
        <v>7.0222222222222228E-2</v>
      </c>
      <c r="I11" s="3">
        <f t="shared" si="4"/>
        <v>4.4444444444444176E-4</v>
      </c>
      <c r="J11" s="14">
        <f t="shared" si="1"/>
        <v>8.8888888888888342</v>
      </c>
      <c r="M11" s="8">
        <v>2.33E-3</v>
      </c>
      <c r="N11" s="3">
        <f>(-INDEX(Overview[b],5)+SQRT(POWER(INDEX(Overview[b],5),2)-(4*INDEX(Overview[a],5)*st_c[[#This Row],[c]])))/(2*INDEX(Overview[a],5))</f>
        <v>0.13698912498329852</v>
      </c>
      <c r="O11" s="3">
        <f t="shared" si="5"/>
        <v>4.6848879256836118E-4</v>
      </c>
      <c r="P11" s="14">
        <f t="shared" si="2"/>
        <v>9.3697758513672227</v>
      </c>
    </row>
    <row r="12" spans="1:16" x14ac:dyDescent="0.25">
      <c r="A12" s="2">
        <v>9.0000000000000006E-5</v>
      </c>
      <c r="B12" s="3" cm="1">
        <f t="array" ref="B12">SQRT((4*POWER(ttotal5,2)*st_a[[#This Row],[s(ta)]])/(9*s_t))</f>
        <v>2.3094010767585032E-2</v>
      </c>
      <c r="C12" s="3">
        <f t="shared" si="3"/>
        <v>1.3207686095123364E-3</v>
      </c>
      <c r="D12" s="14">
        <f t="shared" si="0"/>
        <v>26.415372190246725</v>
      </c>
      <c r="G12" s="8">
        <v>8.4000000000000003E-4</v>
      </c>
      <c r="H12" s="3" cm="1">
        <f t="array" ref="H12">((2*ttotal5)/(3*s_t))*(st_b[[#This Row],[s(tb)]]+(s_t/4))</f>
        <v>7.0666666666666669E-2</v>
      </c>
      <c r="I12" s="3">
        <f t="shared" si="4"/>
        <v>4.4444444444444176E-4</v>
      </c>
      <c r="J12" s="14">
        <f t="shared" si="1"/>
        <v>8.8888888888888342</v>
      </c>
      <c r="M12" s="8">
        <v>2.3400000000000001E-3</v>
      </c>
      <c r="N12" s="3">
        <f>(-INDEX(Overview[b],5)+SQRT(POWER(INDEX(Overview[b],5),2)-(4*INDEX(Overview[a],5)*st_c[[#This Row],[c]])))/(2*INDEX(Overview[a],5))</f>
        <v>0.13746112320235421</v>
      </c>
      <c r="O12" s="3">
        <f t="shared" si="5"/>
        <v>4.719982190556915E-4</v>
      </c>
      <c r="P12" s="14">
        <f t="shared" si="2"/>
        <v>9.4399643811138301</v>
      </c>
    </row>
    <row r="13" spans="1:16" x14ac:dyDescent="0.25">
      <c r="A13" s="2">
        <v>1E-4</v>
      </c>
      <c r="B13" s="3" cm="1">
        <f t="array" ref="B13">SQRT((4*POWER(ttotal5,2)*st_a[[#This Row],[s(ta)]])/(9*s_t))</f>
        <v>2.4343224778007384E-2</v>
      </c>
      <c r="C13" s="3">
        <f t="shared" si="3"/>
        <v>1.2492140104223524E-3</v>
      </c>
      <c r="D13" s="14">
        <f t="shared" si="0"/>
        <v>24.984280208447046</v>
      </c>
      <c r="G13" s="8">
        <v>8.5000000000000006E-4</v>
      </c>
      <c r="H13" s="3" cm="1">
        <f t="array" ref="H13">((2*ttotal5)/(3*s_t))*(st_b[[#This Row],[s(tb)]]+(s_t/4))</f>
        <v>7.1111111111111111E-2</v>
      </c>
      <c r="I13" s="3">
        <f t="shared" si="4"/>
        <v>4.4444444444444176E-4</v>
      </c>
      <c r="J13" s="14">
        <f t="shared" si="1"/>
        <v>8.8888888888888342</v>
      </c>
      <c r="M13" s="8">
        <v>2.3500000000000001E-3</v>
      </c>
      <c r="N13" s="3">
        <f>(-INDEX(Overview[b],5)+SQRT(POWER(INDEX(Overview[b],5),2)-(4*INDEX(Overview[a],5)*st_c[[#This Row],[c]])))/(2*INDEX(Overview[a],5))</f>
        <v>0.13793671091658241</v>
      </c>
      <c r="O13" s="3">
        <f t="shared" si="5"/>
        <v>4.7558771422820389E-4</v>
      </c>
      <c r="P13" s="14">
        <f t="shared" si="2"/>
        <v>9.511754284564077</v>
      </c>
    </row>
    <row r="14" spans="1:16" x14ac:dyDescent="0.25">
      <c r="A14" s="2">
        <v>1.1E-4</v>
      </c>
      <c r="B14" s="3" cm="1">
        <f t="array" ref="B14">SQRT((4*POWER(ttotal5,2)*st_a[[#This Row],[s(ta)]])/(9*s_t))</f>
        <v>2.5531389540169019E-2</v>
      </c>
      <c r="C14" s="3">
        <f t="shared" si="3"/>
        <v>1.1881647621616344E-3</v>
      </c>
      <c r="D14" s="14">
        <f t="shared" si="0"/>
        <v>23.763295243232687</v>
      </c>
      <c r="G14" s="8">
        <v>8.6000000000000009E-4</v>
      </c>
      <c r="H14" s="3" cm="1">
        <f t="array" ref="H14">((2*ttotal5)/(3*s_t))*(st_b[[#This Row],[s(tb)]]+(s_t/4))</f>
        <v>7.1555555555555553E-2</v>
      </c>
      <c r="I14" s="3">
        <f t="shared" si="4"/>
        <v>4.4444444444444176E-4</v>
      </c>
      <c r="J14" s="14">
        <f t="shared" si="1"/>
        <v>8.8888888888888342</v>
      </c>
      <c r="M14" s="8">
        <v>2.3600000000000001E-3</v>
      </c>
      <c r="N14" s="3">
        <f>(-INDEX(Overview[b],5)+SQRT(POWER(INDEX(Overview[b],5),2)-(4*INDEX(Overview[a],5)*st_c[[#This Row],[c]])))/(2*INDEX(Overview[a],5))</f>
        <v>0.13841597128643984</v>
      </c>
      <c r="O14" s="3">
        <f t="shared" si="5"/>
        <v>4.7926036985743159E-4</v>
      </c>
      <c r="P14" s="14">
        <f t="shared" si="2"/>
        <v>9.5852073971486309</v>
      </c>
    </row>
    <row r="15" spans="1:16" x14ac:dyDescent="0.25">
      <c r="A15" s="2">
        <v>1.2000000000000002E-4</v>
      </c>
      <c r="B15" s="3" cm="1">
        <f t="array" ref="B15">SQRT((4*POWER(ttotal5,2)*st_a[[#This Row],[s(ta)]])/(9*s_t))</f>
        <v>2.6666666666666672E-2</v>
      </c>
      <c r="C15" s="3">
        <f t="shared" si="3"/>
        <v>1.1352771264976531E-3</v>
      </c>
      <c r="D15" s="14">
        <f t="shared" si="0"/>
        <v>22.70554252995306</v>
      </c>
      <c r="G15" s="8">
        <v>8.7000000000000011E-4</v>
      </c>
      <c r="H15" s="3" cm="1">
        <f t="array" ref="H15">((2*ttotal5)/(3*s_t))*(st_b[[#This Row],[s(tb)]]+(s_t/4))</f>
        <v>7.2000000000000008E-2</v>
      </c>
      <c r="I15" s="3">
        <f t="shared" si="4"/>
        <v>4.4444444444445563E-4</v>
      </c>
      <c r="J15" s="14">
        <f t="shared" si="1"/>
        <v>8.8888888888891131</v>
      </c>
      <c r="M15" s="8">
        <v>2.3700000000000001E-3</v>
      </c>
      <c r="N15" s="3">
        <f>(-INDEX(Overview[b],5)+SQRT(POWER(INDEX(Overview[b],5),2)-(4*INDEX(Overview[a],5)*st_c[[#This Row],[c]])))/(2*INDEX(Overview[a],5))</f>
        <v>0.13889899073392212</v>
      </c>
      <c r="O15" s="3">
        <f t="shared" si="5"/>
        <v>4.8301944748227466E-4</v>
      </c>
      <c r="P15" s="14">
        <f t="shared" si="2"/>
        <v>9.6603889496454922</v>
      </c>
    </row>
    <row r="16" spans="1:16" x14ac:dyDescent="0.25">
      <c r="A16" s="2">
        <v>1.3000000000000002E-4</v>
      </c>
      <c r="B16" s="3" cm="1">
        <f t="array" ref="B16">SQRT((4*POWER(ttotal5,2)*st_a[[#This Row],[s(ta)]])/(9*s_t))</f>
        <v>2.7755546659548443E-2</v>
      </c>
      <c r="C16" s="3">
        <f t="shared" si="3"/>
        <v>1.0888799928817708E-3</v>
      </c>
      <c r="D16" s="14">
        <f t="shared" si="0"/>
        <v>21.777599857635416</v>
      </c>
      <c r="G16" s="8">
        <v>8.8000000000000003E-4</v>
      </c>
      <c r="H16" s="3" cm="1">
        <f t="array" ref="H16">((2*ttotal5)/(3*s_t))*(st_b[[#This Row],[s(tb)]]+(s_t/4))</f>
        <v>7.2444444444444436E-2</v>
      </c>
      <c r="I16" s="3">
        <f t="shared" si="4"/>
        <v>4.4444444444442788E-4</v>
      </c>
      <c r="J16" s="14">
        <f t="shared" si="1"/>
        <v>8.8888888888885571</v>
      </c>
      <c r="M16" s="8">
        <v>2.3800000000000002E-3</v>
      </c>
      <c r="N16" s="3">
        <f>(-INDEX(Overview[b],5)+SQRT(POWER(INDEX(Overview[b],5),2)-(4*INDEX(Overview[a],5)*st_c[[#This Row],[c]])))/(2*INDEX(Overview[a],5))</f>
        <v>0.13938585912450727</v>
      </c>
      <c r="O16" s="3">
        <f t="shared" si="5"/>
        <v>4.8686839058514897E-4</v>
      </c>
      <c r="P16" s="14">
        <f t="shared" si="2"/>
        <v>9.7373678117029794</v>
      </c>
    </row>
    <row r="17" spans="1:16" x14ac:dyDescent="0.25">
      <c r="A17" s="2">
        <v>1.4000000000000001E-4</v>
      </c>
      <c r="B17" s="3" cm="1">
        <f t="array" ref="B17">SQRT((4*POWER(ttotal5,2)*st_a[[#This Row],[s(ta)]])/(9*s_t))</f>
        <v>2.8803291992923825E-2</v>
      </c>
      <c r="C17" s="3">
        <f t="shared" si="3"/>
        <v>1.0477453333753821E-3</v>
      </c>
      <c r="D17" s="14">
        <f t="shared" si="0"/>
        <v>20.95490666750764</v>
      </c>
      <c r="G17" s="8">
        <v>8.9000000000000006E-4</v>
      </c>
      <c r="H17" s="3" cm="1">
        <f t="array" ref="H17">((2*ttotal5)/(3*s_t))*(st_b[[#This Row],[s(tb)]]+(s_t/4))</f>
        <v>7.2888888888888878E-2</v>
      </c>
      <c r="I17" s="3">
        <f t="shared" si="4"/>
        <v>4.4444444444444176E-4</v>
      </c>
      <c r="J17" s="14">
        <f t="shared" si="1"/>
        <v>8.8888888888888342</v>
      </c>
      <c r="M17" s="8">
        <v>2.3900000000000002E-3</v>
      </c>
      <c r="N17" s="3">
        <f>(-INDEX(Overview[b],5)+SQRT(POWER(INDEX(Overview[b],5),2)-(4*INDEX(Overview[a],5)*st_c[[#This Row],[c]])))/(2*INDEX(Overview[a],5))</f>
        <v>0.13987666996236137</v>
      </c>
      <c r="O17" s="3">
        <f t="shared" si="5"/>
        <v>4.9081083785409985E-4</v>
      </c>
      <c r="P17" s="14">
        <f t="shared" si="2"/>
        <v>9.816216757081996</v>
      </c>
    </row>
    <row r="18" spans="1:16" x14ac:dyDescent="0.25">
      <c r="A18" s="2">
        <v>1.5000000000000001E-4</v>
      </c>
      <c r="B18" s="3" cm="1">
        <f t="array" ref="B18">SQRT((4*POWER(ttotal5,2)*st_a[[#This Row],[s(ta)]])/(9*s_t))</f>
        <v>2.9814239699997202E-2</v>
      </c>
      <c r="C18" s="3">
        <f t="shared" si="3"/>
        <v>1.0109477070733772E-3</v>
      </c>
      <c r="D18" s="14">
        <f t="shared" si="0"/>
        <v>20.218954141467542</v>
      </c>
      <c r="G18" s="8">
        <v>9.0000000000000008E-4</v>
      </c>
      <c r="H18" s="3" cm="1">
        <f t="array" ref="H18">((2*ttotal5)/(3*s_t))*(st_b[[#This Row],[s(tb)]]+(s_t/4))</f>
        <v>7.3333333333333334E-2</v>
      </c>
      <c r="I18" s="3">
        <f t="shared" si="4"/>
        <v>4.4444444444445563E-4</v>
      </c>
      <c r="J18" s="14">
        <f t="shared" si="1"/>
        <v>8.8888888888891131</v>
      </c>
      <c r="M18" s="8">
        <v>2.4000000000000002E-3</v>
      </c>
      <c r="N18" s="3">
        <f>(-INDEX(Overview[b],5)+SQRT(POWER(INDEX(Overview[b],5),2)-(4*INDEX(Overview[a],5)*st_c[[#This Row],[c]])))/(2*INDEX(Overview[a],5))</f>
        <v>0.14037152060000552</v>
      </c>
      <c r="O18" s="3">
        <f t="shared" si="5"/>
        <v>4.9485063764415083E-4</v>
      </c>
      <c r="P18" s="14">
        <f t="shared" si="2"/>
        <v>9.8970127528830165</v>
      </c>
    </row>
    <row r="19" spans="1:16" x14ac:dyDescent="0.25">
      <c r="A19" s="2">
        <v>1.6000000000000001E-4</v>
      </c>
      <c r="B19" s="3" cm="1">
        <f t="array" ref="B19">SQRT((4*POWER(ttotal5,2)*st_a[[#This Row],[s(ta)]])/(9*s_t))</f>
        <v>3.0792014356780046E-2</v>
      </c>
      <c r="C19" s="3">
        <f t="shared" si="3"/>
        <v>9.7777465678284409E-4</v>
      </c>
      <c r="D19" s="14">
        <f t="shared" si="0"/>
        <v>19.555493135656882</v>
      </c>
      <c r="G19" s="8">
        <v>9.1000000000000011E-4</v>
      </c>
      <c r="H19" s="3" cm="1">
        <f t="array" ref="H19">((2*ttotal5)/(3*s_t))*(st_b[[#This Row],[s(tb)]]+(s_t/4))</f>
        <v>7.3777777777777775E-2</v>
      </c>
      <c r="I19" s="3">
        <f t="shared" si="4"/>
        <v>4.4444444444444176E-4</v>
      </c>
      <c r="J19" s="14">
        <f t="shared" si="1"/>
        <v>8.8888888888888342</v>
      </c>
      <c r="M19" s="8">
        <v>2.4100000000000002E-3</v>
      </c>
      <c r="N19" s="3">
        <f>(-INDEX(Overview[b],5)+SQRT(POWER(INDEX(Overview[b],5),2)-(4*INDEX(Overview[a],5)*st_c[[#This Row],[c]])))/(2*INDEX(Overview[a],5))</f>
        <v>0.14087051246377744</v>
      </c>
      <c r="O19" s="3">
        <f t="shared" si="5"/>
        <v>4.9899186377191929E-4</v>
      </c>
      <c r="P19" s="14">
        <f t="shared" si="2"/>
        <v>9.9798372754383848</v>
      </c>
    </row>
    <row r="20" spans="1:16" x14ac:dyDescent="0.25">
      <c r="A20" s="2">
        <v>1.7000000000000001E-4</v>
      </c>
      <c r="B20" s="3" cm="1">
        <f t="array" ref="B20">SQRT((4*POWER(ttotal5,2)*st_a[[#This Row],[s(ta)]])/(9*s_t))</f>
        <v>3.1739681904634894E-2</v>
      </c>
      <c r="C20" s="3">
        <f t="shared" si="3"/>
        <v>9.4766754785484755E-4</v>
      </c>
      <c r="D20" s="14">
        <f t="shared" si="0"/>
        <v>18.953350957096951</v>
      </c>
      <c r="G20" s="8">
        <v>9.2000000000000003E-4</v>
      </c>
      <c r="H20" s="3" cm="1">
        <f t="array" ref="H20">((2*ttotal5)/(3*s_t))*(st_b[[#This Row],[s(tb)]]+(s_t/4))</f>
        <v>7.4222222222222217E-2</v>
      </c>
      <c r="I20" s="3">
        <f t="shared" si="4"/>
        <v>4.4444444444444176E-4</v>
      </c>
      <c r="J20" s="14">
        <f t="shared" si="1"/>
        <v>8.8888888888888342</v>
      </c>
      <c r="M20" s="8">
        <v>2.4200000000000003E-3</v>
      </c>
      <c r="N20" s="3">
        <f>(-INDEX(Overview[b],5)+SQRT(POWER(INDEX(Overview[b],5),2)-(4*INDEX(Overview[a],5)*st_c[[#This Row],[c]])))/(2*INDEX(Overview[a],5))</f>
        <v>0.14137375129656476</v>
      </c>
      <c r="O20" s="3">
        <f t="shared" si="5"/>
        <v>5.0323883278732828E-4</v>
      </c>
      <c r="P20" s="14">
        <f t="shared" si="2"/>
        <v>10.064776655746565</v>
      </c>
    </row>
    <row r="21" spans="1:16" x14ac:dyDescent="0.25">
      <c r="A21" s="2">
        <v>1.8000000000000001E-4</v>
      </c>
      <c r="B21" s="3" cm="1">
        <f t="array" ref="B21">SQRT((4*POWER(ttotal5,2)*st_a[[#This Row],[s(ta)]])/(9*s_t))</f>
        <v>3.2659863237109045E-2</v>
      </c>
      <c r="C21" s="3">
        <f t="shared" si="3"/>
        <v>9.2018133247415146E-4</v>
      </c>
      <c r="D21" s="14">
        <f t="shared" si="0"/>
        <v>18.40362664948303</v>
      </c>
      <c r="G21" s="8">
        <v>9.3000000000000005E-4</v>
      </c>
      <c r="H21" s="3" cm="1">
        <f t="array" ref="H21">((2*ttotal5)/(3*s_t))*(st_b[[#This Row],[s(tb)]]+(s_t/4))</f>
        <v>7.4666666666666673E-2</v>
      </c>
      <c r="I21" s="3">
        <f t="shared" si="4"/>
        <v>4.4444444444445563E-4</v>
      </c>
      <c r="J21" s="14">
        <f t="shared" si="1"/>
        <v>8.8888888888891131</v>
      </c>
      <c r="M21" s="8">
        <v>2.4300000000000003E-3</v>
      </c>
      <c r="N21" s="3">
        <f>(-INDEX(Overview[b],5)+SQRT(POWER(INDEX(Overview[b],5),2)-(4*INDEX(Overview[a],5)*st_c[[#This Row],[c]])))/(2*INDEX(Overview[a],5))</f>
        <v>0.14188134741945765</v>
      </c>
      <c r="O21" s="3">
        <f t="shared" si="5"/>
        <v>5.0759612289288936E-4</v>
      </c>
      <c r="P21" s="14">
        <f t="shared" si="2"/>
        <v>10.151922457857786</v>
      </c>
    </row>
    <row r="22" spans="1:16" x14ac:dyDescent="0.25">
      <c r="A22" s="2">
        <v>1.9000000000000001E-4</v>
      </c>
      <c r="B22" s="3" cm="1">
        <f t="array" ref="B22">SQRT((4*POWER(ttotal5,2)*st_a[[#This Row],[s(ta)]])/(9*s_t))</f>
        <v>3.355481971231445E-2</v>
      </c>
      <c r="C22" s="3">
        <f t="shared" si="3"/>
        <v>8.9495647520540511E-4</v>
      </c>
      <c r="D22" s="14">
        <f t="shared" si="0"/>
        <v>17.899129504108103</v>
      </c>
      <c r="G22" s="8">
        <v>9.4000000000000008E-4</v>
      </c>
      <c r="H22" s="3" cm="1">
        <f t="array" ref="H22">((2*ttotal5)/(3*s_t))*(st_b[[#This Row],[s(tb)]]+(s_t/4))</f>
        <v>7.5111111111111115E-2</v>
      </c>
      <c r="I22" s="3">
        <f t="shared" si="4"/>
        <v>4.4444444444444176E-4</v>
      </c>
      <c r="J22" s="14">
        <f t="shared" si="1"/>
        <v>8.8888888888888342</v>
      </c>
      <c r="M22" s="8">
        <v>2.4400000000000003E-3</v>
      </c>
      <c r="N22" s="3">
        <f>(-INDEX(Overview[b],5)+SQRT(POWER(INDEX(Overview[b],5),2)-(4*INDEX(Overview[a],5)*st_c[[#This Row],[c]])))/(2*INDEX(Overview[a],5))</f>
        <v>0.14239341601415229</v>
      </c>
      <c r="O22" s="3">
        <f t="shared" si="5"/>
        <v>5.1206859469463128E-4</v>
      </c>
      <c r="P22" s="14">
        <f t="shared" si="2"/>
        <v>10.241371893892625</v>
      </c>
    </row>
    <row r="23" spans="1:16" x14ac:dyDescent="0.25">
      <c r="A23" s="2">
        <v>2.0000000000000001E-4</v>
      </c>
      <c r="B23" s="3" cm="1">
        <f t="array" ref="B23">SQRT((4*POWER(ttotal5,2)*st_a[[#This Row],[s(ta)]])/(9*s_t))</f>
        <v>3.4426518632954817E-2</v>
      </c>
      <c r="C23" s="3">
        <f t="shared" si="3"/>
        <v>8.7169892064036664E-4</v>
      </c>
      <c r="D23" s="14">
        <f t="shared" si="0"/>
        <v>17.433978412807331</v>
      </c>
      <c r="G23" s="8">
        <v>9.5000000000000011E-4</v>
      </c>
      <c r="H23" s="3" cm="1">
        <f t="array" ref="H23">((2*ttotal5)/(3*s_t))*(st_b[[#This Row],[s(tb)]]+(s_t/4))</f>
        <v>7.5555555555555556E-2</v>
      </c>
      <c r="I23" s="3">
        <f t="shared" si="4"/>
        <v>4.4444444444444176E-4</v>
      </c>
      <c r="J23" s="14">
        <f t="shared" si="1"/>
        <v>8.8888888888888342</v>
      </c>
      <c r="M23" s="8">
        <v>2.4500000000000004E-3</v>
      </c>
      <c r="N23" s="3">
        <f>(-INDEX(Overview[b],5)+SQRT(POWER(INDEX(Overview[b],5),2)-(4*INDEX(Overview[a],5)*st_c[[#This Row],[c]])))/(2*INDEX(Overview[a],5))</f>
        <v>0.14291007742815495</v>
      </c>
      <c r="O23" s="3">
        <f t="shared" si="5"/>
        <v>5.1666141400266707E-4</v>
      </c>
      <c r="P23" s="14">
        <f t="shared" si="2"/>
        <v>10.333228280053341</v>
      </c>
    </row>
    <row r="24" spans="1:16" x14ac:dyDescent="0.25">
      <c r="A24" s="2">
        <v>2.1000000000000001E-4</v>
      </c>
      <c r="B24" s="3" cm="1">
        <f t="array" ref="B24">SQRT((4*POWER(ttotal5,2)*st_a[[#This Row],[s(ta)]])/(9*s_t))</f>
        <v>3.5276684147527881E-2</v>
      </c>
      <c r="C24" s="3">
        <f t="shared" si="3"/>
        <v>8.5016551457306466E-4</v>
      </c>
      <c r="D24" s="14">
        <f t="shared" si="0"/>
        <v>17.003310291461293</v>
      </c>
      <c r="G24" s="8">
        <v>9.6000000000000013E-4</v>
      </c>
      <c r="H24" s="3" cm="1">
        <f t="array" ref="H24">((2*ttotal5)/(3*s_t))*(st_b[[#This Row],[s(tb)]]+(s_t/4))</f>
        <v>7.5999999999999998E-2</v>
      </c>
      <c r="I24" s="3">
        <f t="shared" si="4"/>
        <v>4.4444444444444176E-4</v>
      </c>
      <c r="J24" s="14">
        <f t="shared" si="1"/>
        <v>8.8888888888888342</v>
      </c>
      <c r="M24" s="8">
        <v>2.4600000000000004E-3</v>
      </c>
      <c r="N24" s="3">
        <f>(-INDEX(Overview[b],5)+SQRT(POWER(INDEX(Overview[b],5),2)-(4*INDEX(Overview[a],5)*st_c[[#This Row],[c]])))/(2*INDEX(Overview[a],5))</f>
        <v>0.14343145750507616</v>
      </c>
      <c r="O24" s="3">
        <f t="shared" si="5"/>
        <v>5.2138007692120736E-4</v>
      </c>
      <c r="P24" s="14">
        <f t="shared" si="2"/>
        <v>10.427601538424147</v>
      </c>
    </row>
    <row r="25" spans="1:16" x14ac:dyDescent="0.25">
      <c r="A25" s="2">
        <v>2.2000000000000001E-4</v>
      </c>
      <c r="B25" s="3" cm="1">
        <f t="array" ref="B25">SQRT((4*POWER(ttotal5,2)*st_a[[#This Row],[s(ta)]])/(9*s_t))</f>
        <v>3.6106837353937604E-2</v>
      </c>
      <c r="C25" s="3">
        <f t="shared" si="3"/>
        <v>8.3015320640972279E-4</v>
      </c>
      <c r="D25" s="14">
        <f t="shared" si="0"/>
        <v>16.603064128194454</v>
      </c>
      <c r="G25" s="8">
        <v>9.7000000000000005E-4</v>
      </c>
      <c r="H25" s="3" cm="1">
        <f t="array" ref="H25">((2*ttotal5)/(3*s_t))*(st_b[[#This Row],[s(tb)]]+(s_t/4))</f>
        <v>7.6444444444444454E-2</v>
      </c>
      <c r="I25" s="3">
        <f t="shared" si="4"/>
        <v>4.4444444444445563E-4</v>
      </c>
      <c r="J25" s="14">
        <f t="shared" si="1"/>
        <v>8.8888888888891131</v>
      </c>
      <c r="M25" s="8">
        <v>2.4700000000000004E-3</v>
      </c>
      <c r="N25" s="3">
        <f>(-INDEX(Overview[b],5)+SQRT(POWER(INDEX(Overview[b],5),2)-(4*INDEX(Overview[a],5)*st_c[[#This Row],[c]])))/(2*INDEX(Overview[a],5))</f>
        <v>0.14395768794258443</v>
      </c>
      <c r="O25" s="3">
        <f t="shared" si="5"/>
        <v>5.2623043750826826E-4</v>
      </c>
      <c r="P25" s="14">
        <f t="shared" si="2"/>
        <v>10.524608750165365</v>
      </c>
    </row>
    <row r="26" spans="1:16" x14ac:dyDescent="0.25">
      <c r="A26" s="2">
        <v>2.3000000000000001E-4</v>
      </c>
      <c r="B26" s="3" cm="1">
        <f t="array" ref="B26">SQRT((4*POWER(ttotal5,2)*st_a[[#This Row],[s(ta)]])/(9*s_t))</f>
        <v>3.6918328279635891E-2</v>
      </c>
      <c r="C26" s="3">
        <f t="shared" si="3"/>
        <v>8.114909256982869E-4</v>
      </c>
      <c r="D26" s="14">
        <f t="shared" si="0"/>
        <v>16.229818513965736</v>
      </c>
      <c r="G26" s="8">
        <v>9.8000000000000019E-4</v>
      </c>
      <c r="H26" s="3" cm="1">
        <f t="array" ref="H26">((2*ttotal5)/(3*s_t))*(st_b[[#This Row],[s(tb)]]+(s_t/4))</f>
        <v>7.6888888888888896E-2</v>
      </c>
      <c r="I26" s="3">
        <f t="shared" si="4"/>
        <v>4.4444444444444176E-4</v>
      </c>
      <c r="J26" s="14">
        <f t="shared" si="1"/>
        <v>8.8888888888888342</v>
      </c>
      <c r="M26" s="8">
        <v>2.48E-3</v>
      </c>
      <c r="N26" s="3">
        <f>(-INDEX(Overview[b],5)+SQRT(POWER(INDEX(Overview[b],5),2)-(4*INDEX(Overview[a],5)*st_c[[#This Row],[c]])))/(2*INDEX(Overview[a],5))</f>
        <v>0.14448890668090306</v>
      </c>
      <c r="O26" s="3">
        <f t="shared" si="5"/>
        <v>5.3121873831862843E-4</v>
      </c>
      <c r="P26" s="14">
        <f t="shared" si="2"/>
        <v>10.624374766372569</v>
      </c>
    </row>
    <row r="27" spans="1:16" x14ac:dyDescent="0.25">
      <c r="A27" s="2">
        <v>2.4000000000000003E-4</v>
      </c>
      <c r="B27" s="3" cm="1">
        <f t="array" ref="B27">SQRT((4*POWER(ttotal5,2)*st_a[[#This Row],[s(ta)]])/(9*s_t))</f>
        <v>3.771236166328254E-2</v>
      </c>
      <c r="C27" s="3">
        <f t="shared" si="3"/>
        <v>7.9403338364664872E-4</v>
      </c>
      <c r="D27" s="14">
        <f t="shared" si="0"/>
        <v>15.880667672932974</v>
      </c>
      <c r="G27" s="8">
        <v>9.8999999999999999E-4</v>
      </c>
      <c r="H27" s="3" cm="1">
        <f t="array" ref="H27">((2*ttotal5)/(3*s_t))*(st_b[[#This Row],[s(tb)]]+(s_t/4))</f>
        <v>7.7333333333333337E-2</v>
      </c>
      <c r="I27" s="3">
        <f t="shared" si="4"/>
        <v>4.4444444444444176E-4</v>
      </c>
      <c r="J27" s="14">
        <f t="shared" si="1"/>
        <v>8.8888888888888342</v>
      </c>
      <c r="M27" s="8">
        <v>2.49E-3</v>
      </c>
      <c r="N27" s="3">
        <f>(-INDEX(Overview[b],5)+SQRT(POWER(INDEX(Overview[b],5),2)-(4*INDEX(Overview[a],5)*st_c[[#This Row],[c]])))/(2*INDEX(Overview[a],5))</f>
        <v>0.14502525832509777</v>
      </c>
      <c r="O27" s="3">
        <f t="shared" si="5"/>
        <v>5.3635164419471582E-4</v>
      </c>
      <c r="P27" s="14">
        <f t="shared" si="2"/>
        <v>10.727032883894315</v>
      </c>
    </row>
    <row r="28" spans="1:16" x14ac:dyDescent="0.25">
      <c r="A28" s="2">
        <v>2.5000000000000001E-4</v>
      </c>
      <c r="B28" s="3" cm="1">
        <f t="array" ref="B28">SQRT((4*POWER(ttotal5,2)*st_a[[#This Row],[s(ta)]])/(9*s_t))</f>
        <v>3.8490017945975057E-2</v>
      </c>
      <c r="C28" s="3">
        <f t="shared" si="3"/>
        <v>7.776562826925168E-4</v>
      </c>
      <c r="D28" s="14">
        <f t="shared" si="0"/>
        <v>15.553125653850335</v>
      </c>
      <c r="G28" s="8">
        <v>1E-3</v>
      </c>
      <c r="H28" s="3" cm="1">
        <f t="array" ref="H28">((2*ttotal5)/(3*s_t))*(st_b[[#This Row],[s(tb)]]+(s_t/4))</f>
        <v>7.7777777777777779E-2</v>
      </c>
      <c r="I28" s="3">
        <f t="shared" si="4"/>
        <v>4.4444444444444176E-4</v>
      </c>
      <c r="J28" s="14">
        <f t="shared" si="1"/>
        <v>8.8888888888888342</v>
      </c>
      <c r="M28" s="8">
        <v>2.5000000000000001E-3</v>
      </c>
      <c r="N28" s="3">
        <f>(-INDEX(Overview[b],5)+SQRT(POWER(INDEX(Overview[b],5),2)-(4*INDEX(Overview[a],5)*st_c[[#This Row],[c]])))/(2*INDEX(Overview[a],5))</f>
        <v>0.14556689460481823</v>
      </c>
      <c r="O28" s="3">
        <f t="shared" si="5"/>
        <v>5.4163627972045325E-4</v>
      </c>
      <c r="P28" s="14">
        <f t="shared" si="2"/>
        <v>10.832725594409064</v>
      </c>
    </row>
    <row r="29" spans="1:16" x14ac:dyDescent="0.25">
      <c r="A29" s="2">
        <v>2.6000000000000003E-4</v>
      </c>
      <c r="B29" s="3" cm="1">
        <f t="array" ref="B29">SQRT((4*POWER(ttotal5,2)*st_a[[#This Row],[s(ta)]])/(9*s_t))</f>
        <v>3.9252270517012661E-2</v>
      </c>
      <c r="C29" s="3">
        <f t="shared" si="3"/>
        <v>7.6225257103760408E-4</v>
      </c>
      <c r="D29" s="14">
        <f t="shared" si="0"/>
        <v>15.24505142075208</v>
      </c>
      <c r="G29" s="8">
        <v>1.01E-3</v>
      </c>
      <c r="H29" s="3" cm="1">
        <f t="array" ref="H29">((2*ttotal5)/(3*s_t))*(st_b[[#This Row],[s(tb)]]+(s_t/4))</f>
        <v>7.8222222222222221E-2</v>
      </c>
      <c r="I29" s="3">
        <f t="shared" si="4"/>
        <v>4.4444444444444176E-4</v>
      </c>
      <c r="J29" s="14">
        <f t="shared" si="1"/>
        <v>8.8888888888888342</v>
      </c>
      <c r="M29" s="8">
        <v>2.5100000000000001E-3</v>
      </c>
      <c r="N29" s="3">
        <f>(-INDEX(Overview[b],5)+SQRT(POWER(INDEX(Overview[b],5),2)-(4*INDEX(Overview[a],5)*st_c[[#This Row],[c]])))/(2*INDEX(Overview[a],5))</f>
        <v>0.14611397487563488</v>
      </c>
      <c r="O29" s="3">
        <f t="shared" si="5"/>
        <v>5.4708027081665223E-4</v>
      </c>
      <c r="P29" s="14">
        <f t="shared" si="2"/>
        <v>10.941605416333044</v>
      </c>
    </row>
    <row r="30" spans="1:16" x14ac:dyDescent="0.25">
      <c r="A30" s="2">
        <v>2.7E-4</v>
      </c>
      <c r="B30" s="3" cm="1">
        <f t="array" ref="B30">SQRT((4*POWER(ttotal5,2)*st_a[[#This Row],[s(ta)]])/(9*s_t))</f>
        <v>0.04</v>
      </c>
      <c r="C30" s="3">
        <f t="shared" si="3"/>
        <v>7.4772948298734015E-4</v>
      </c>
      <c r="D30" s="14">
        <f t="shared" si="0"/>
        <v>14.954589659746802</v>
      </c>
      <c r="G30" s="8">
        <v>1.0200000000000001E-3</v>
      </c>
      <c r="H30" s="3" cm="1">
        <f t="array" ref="H30">((2*ttotal5)/(3*s_t))*(st_b[[#This Row],[s(tb)]]+(s_t/4))</f>
        <v>7.8666666666666663E-2</v>
      </c>
      <c r="I30" s="3">
        <f t="shared" si="4"/>
        <v>4.4444444444444176E-4</v>
      </c>
      <c r="J30" s="14">
        <f t="shared" si="1"/>
        <v>8.8888888888888342</v>
      </c>
      <c r="M30" s="8">
        <v>2.5200000000000001E-3</v>
      </c>
      <c r="N30" s="3">
        <f>(-INDEX(Overview[b],5)+SQRT(POWER(INDEX(Overview[b],5),2)-(4*INDEX(Overview[a],5)*st_c[[#This Row],[c]])))/(2*INDEX(Overview[a],5))</f>
        <v>0.14666666666666656</v>
      </c>
      <c r="O30" s="3">
        <f t="shared" si="5"/>
        <v>5.5269179103167865E-4</v>
      </c>
      <c r="P30" s="14">
        <f t="shared" si="2"/>
        <v>11.053835820633573</v>
      </c>
    </row>
    <row r="31" spans="1:16" x14ac:dyDescent="0.25">
      <c r="A31" s="2">
        <v>2.8000000000000003E-4</v>
      </c>
      <c r="B31" s="3" cm="1">
        <f t="array" ref="B31">SQRT((4*POWER(ttotal5,2)*st_a[[#This Row],[s(ta)]])/(9*s_t))</f>
        <v>4.0734006177385249E-2</v>
      </c>
      <c r="C31" s="3">
        <f t="shared" si="3"/>
        <v>7.340061773852477E-4</v>
      </c>
      <c r="D31" s="14">
        <f t="shared" si="0"/>
        <v>14.680123547704953</v>
      </c>
      <c r="G31" s="8">
        <v>1.0300000000000001E-3</v>
      </c>
      <c r="H31" s="3" cm="1">
        <f t="array" ref="H31">((2*ttotal5)/(3*s_t))*(st_b[[#This Row],[s(tb)]]+(s_t/4))</f>
        <v>7.9111111111111118E-2</v>
      </c>
      <c r="I31" s="3">
        <f t="shared" si="4"/>
        <v>4.4444444444445563E-4</v>
      </c>
      <c r="J31" s="14">
        <f t="shared" si="1"/>
        <v>8.8888888888891131</v>
      </c>
      <c r="M31" s="8">
        <v>2.5300000000000001E-3</v>
      </c>
      <c r="N31" s="3">
        <f>(-INDEX(Overview[b],5)+SQRT(POWER(INDEX(Overview[b],5),2)-(4*INDEX(Overview[a],5)*st_c[[#This Row],[c]])))/(2*INDEX(Overview[a],5))</f>
        <v>0.14722514627983141</v>
      </c>
      <c r="O31" s="3">
        <f t="shared" si="5"/>
        <v>5.5847961316485284E-4</v>
      </c>
      <c r="P31" s="14">
        <f t="shared" si="2"/>
        <v>11.169592263297057</v>
      </c>
    </row>
    <row r="32" spans="1:16" x14ac:dyDescent="0.25">
      <c r="A32" s="2">
        <v>2.9E-4</v>
      </c>
      <c r="B32" s="3" cm="1">
        <f t="array" ref="B32">SQRT((4*POWER(ttotal5,2)*st_a[[#This Row],[s(ta)]])/(9*s_t))</f>
        <v>4.145501801372807E-2</v>
      </c>
      <c r="C32" s="3">
        <f t="shared" si="3"/>
        <v>7.2101183634282195E-4</v>
      </c>
      <c r="D32" s="14">
        <f t="shared" si="0"/>
        <v>14.420236726856439</v>
      </c>
      <c r="G32" s="8">
        <v>1.0400000000000001E-3</v>
      </c>
      <c r="H32" s="3" cm="1">
        <f t="array" ref="H32">((2*ttotal5)/(3*s_t))*(st_b[[#This Row],[s(tb)]]+(s_t/4))</f>
        <v>7.955555555555556E-2</v>
      </c>
      <c r="I32" s="3">
        <f t="shared" si="4"/>
        <v>4.4444444444444176E-4</v>
      </c>
      <c r="J32" s="14">
        <f t="shared" si="1"/>
        <v>8.8888888888888342</v>
      </c>
      <c r="M32" s="8">
        <v>2.5400000000000002E-3</v>
      </c>
      <c r="N32" s="3">
        <f>(-INDEX(Overview[b],5)+SQRT(POWER(INDEX(Overview[b],5),2)-(4*INDEX(Overview[a],5)*st_c[[#This Row],[c]])))/(2*INDEX(Overview[a],5))</f>
        <v>0.14778959944679673</v>
      </c>
      <c r="O32" s="3">
        <f t="shared" si="5"/>
        <v>5.6445316696532299E-4</v>
      </c>
      <c r="P32" s="14">
        <f t="shared" si="2"/>
        <v>11.289063339306459</v>
      </c>
    </row>
    <row r="33" spans="1:16" x14ac:dyDescent="0.25">
      <c r="A33" s="2">
        <v>3.0000000000000003E-4</v>
      </c>
      <c r="B33" s="3" cm="1">
        <f t="array" ref="B33">SQRT((4*POWER(ttotal5,2)*st_a[[#This Row],[s(ta)]])/(9*s_t))</f>
        <v>4.21637021355784E-2</v>
      </c>
      <c r="C33" s="3">
        <f t="shared" si="3"/>
        <v>7.0868412185032953E-4</v>
      </c>
      <c r="D33" s="14">
        <f t="shared" si="0"/>
        <v>14.17368243700659</v>
      </c>
      <c r="G33" s="8">
        <v>1.0500000000000002E-3</v>
      </c>
      <c r="H33" s="3" cm="1">
        <f t="array" ref="H33">((2*ttotal5)/(3*s_t))*(st_b[[#This Row],[s(tb)]]+(s_t/4))</f>
        <v>0.08</v>
      </c>
      <c r="I33" s="3">
        <f t="shared" si="4"/>
        <v>4.4444444444444176E-4</v>
      </c>
      <c r="J33" s="14">
        <f t="shared" si="1"/>
        <v>8.8888888888888342</v>
      </c>
      <c r="M33" s="8">
        <v>2.5500000000000002E-3</v>
      </c>
      <c r="N33" s="3">
        <f>(-INDEX(Overview[b],5)+SQRT(POWER(INDEX(Overview[b],5),2)-(4*INDEX(Overview[a],5)*st_c[[#This Row],[c]])))/(2*INDEX(Overview[a],5))</f>
        <v>0.14836022205056773</v>
      </c>
      <c r="O33" s="3">
        <f t="shared" si="5"/>
        <v>5.7062260377099827E-4</v>
      </c>
      <c r="P33" s="14">
        <f t="shared" si="2"/>
        <v>11.412452075419965</v>
      </c>
    </row>
    <row r="34" spans="1:16" x14ac:dyDescent="0.25">
      <c r="A34" s="2">
        <v>3.1E-4</v>
      </c>
      <c r="B34" s="3" cm="1">
        <f t="array" ref="B34">SQRT((4*POWER(ttotal5,2)*st_a[[#This Row],[s(ta)]])/(9*s_t))</f>
        <v>4.2860670048857588E-2</v>
      </c>
      <c r="C34" s="3">
        <f t="shared" si="3"/>
        <v>6.9696791327918811E-4</v>
      </c>
      <c r="D34" s="14">
        <f t="shared" si="0"/>
        <v>13.939358265583762</v>
      </c>
      <c r="G34" s="8">
        <v>1.0600000000000002E-3</v>
      </c>
      <c r="H34" s="3" cm="1">
        <f t="array" ref="H34">((2*ttotal5)/(3*s_t))*(st_b[[#This Row],[s(tb)]]+(s_t/4))</f>
        <v>8.0444444444444443E-2</v>
      </c>
      <c r="I34" s="3">
        <f t="shared" si="4"/>
        <v>4.4444444444444176E-4</v>
      </c>
      <c r="J34" s="14">
        <f t="shared" si="1"/>
        <v>8.8888888888888342</v>
      </c>
      <c r="M34" s="8">
        <v>2.5600000000000002E-3</v>
      </c>
      <c r="N34" s="3">
        <f>(-INDEX(Overview[b],5)+SQRT(POWER(INDEX(Overview[b],5),2)-(4*INDEX(Overview[a],5)*st_c[[#This Row],[c]])))/(2*INDEX(Overview[a],5))</f>
        <v>0.14893722091966183</v>
      </c>
      <c r="O34" s="3">
        <f t="shared" si="5"/>
        <v>5.7699886909409748E-4</v>
      </c>
      <c r="P34" s="14">
        <f t="shared" si="2"/>
        <v>11.539977381881949</v>
      </c>
    </row>
    <row r="35" spans="1:16" x14ac:dyDescent="0.25">
      <c r="A35" s="2">
        <v>3.2000000000000003E-4</v>
      </c>
      <c r="B35" s="3" cm="1">
        <f t="array" ref="B35">SQRT((4*POWER(ttotal5,2)*st_a[[#This Row],[s(ta)]])/(9*s_t))</f>
        <v>4.3546484316145391E-2</v>
      </c>
      <c r="C35" s="3">
        <f t="shared" si="3"/>
        <v>6.8581426728780287E-4</v>
      </c>
      <c r="D35" s="14">
        <f t="shared" si="0"/>
        <v>13.716285345756058</v>
      </c>
      <c r="G35" s="8">
        <v>1.07E-3</v>
      </c>
      <c r="H35" s="3" cm="1">
        <f t="array" ref="H35">((2*ttotal5)/(3*s_t))*(st_b[[#This Row],[s(tb)]]+(s_t/4))</f>
        <v>8.0888888888888885E-2</v>
      </c>
      <c r="I35" s="3">
        <f t="shared" si="4"/>
        <v>4.4444444444444176E-4</v>
      </c>
      <c r="J35" s="14">
        <f t="shared" si="1"/>
        <v>8.8888888888888342</v>
      </c>
      <c r="M35" s="8">
        <v>2.5700000000000002E-3</v>
      </c>
      <c r="N35" s="3">
        <f>(-INDEX(Overview[b],5)+SQRT(POWER(INDEX(Overview[b],5),2)-(4*INDEX(Overview[a],5)*st_c[[#This Row],[c]])))/(2*INDEX(Overview[a],5))</f>
        <v>0.1495208147039975</v>
      </c>
      <c r="O35" s="3">
        <f t="shared" si="5"/>
        <v>5.835937843356731E-4</v>
      </c>
      <c r="P35" s="14">
        <f t="shared" si="2"/>
        <v>11.671875686713461</v>
      </c>
    </row>
    <row r="36" spans="1:16" x14ac:dyDescent="0.25">
      <c r="A36" s="2">
        <v>3.3000000000000005E-4</v>
      </c>
      <c r="B36" s="3" cm="1">
        <f t="array" ref="B36">SQRT((4*POWER(ttotal5,2)*st_a[[#This Row],[s(ta)]])/(9*s_t))</f>
        <v>4.4221663871405338E-2</v>
      </c>
      <c r="C36" s="3">
        <f t="shared" si="3"/>
        <v>6.7517955525994711E-4</v>
      </c>
      <c r="D36" s="14">
        <f t="shared" si="0"/>
        <v>13.503591105198941</v>
      </c>
      <c r="G36" s="8">
        <v>1.08E-3</v>
      </c>
      <c r="H36" s="3" cm="1">
        <f t="array" ref="H36">((2*ttotal5)/(3*s_t))*(st_b[[#This Row],[s(tb)]]+(s_t/4))</f>
        <v>8.1333333333333327E-2</v>
      </c>
      <c r="I36" s="3">
        <f t="shared" si="4"/>
        <v>4.4444444444444176E-4</v>
      </c>
      <c r="J36" s="14">
        <f t="shared" si="1"/>
        <v>8.8888888888888342</v>
      </c>
      <c r="M36" s="8">
        <v>2.5800000000000003E-3</v>
      </c>
      <c r="N36" s="3">
        <f>(-INDEX(Overview[b],5)+SQRT(POWER(INDEX(Overview[b],5),2)-(4*INDEX(Overview[a],5)*st_c[[#This Row],[c]])))/(2*INDEX(Overview[a],5))</f>
        <v>0.15011123484301411</v>
      </c>
      <c r="O36" s="3">
        <f t="shared" si="5"/>
        <v>5.9042013901661194E-4</v>
      </c>
      <c r="P36" s="14">
        <f t="shared" si="2"/>
        <v>11.808402780332239</v>
      </c>
    </row>
    <row r="37" spans="1:16" x14ac:dyDescent="0.25">
      <c r="A37" s="2">
        <v>3.4000000000000002E-4</v>
      </c>
      <c r="B37" s="3" cm="1">
        <f t="array" ref="B37">SQRT((4*POWER(ttotal5,2)*st_a[[#This Row],[s(ta)]])/(9*s_t))</f>
        <v>4.488668861494257E-2</v>
      </c>
      <c r="C37" s="3">
        <f t="shared" si="3"/>
        <v>6.6502474353723195E-4</v>
      </c>
      <c r="D37" s="14">
        <f t="shared" si="0"/>
        <v>13.300494870744638</v>
      </c>
      <c r="G37" s="8">
        <v>1.09E-3</v>
      </c>
      <c r="H37" s="3" cm="1">
        <f t="array" ref="H37">((2*ttotal5)/(3*s_t))*(st_b[[#This Row],[s(tb)]]+(s_t/4))</f>
        <v>8.1777777777777783E-2</v>
      </c>
      <c r="I37" s="3">
        <f t="shared" si="4"/>
        <v>4.4444444444445563E-4</v>
      </c>
      <c r="J37" s="14">
        <f t="shared" si="1"/>
        <v>8.8888888888891131</v>
      </c>
      <c r="M37" s="8">
        <v>2.5900000000000003E-3</v>
      </c>
      <c r="N37" s="3">
        <f>(-INDEX(Overview[b],5)+SQRT(POWER(INDEX(Overview[b],5),2)-(4*INDEX(Overview[a],5)*st_c[[#This Row],[c]])))/(2*INDEX(Overview[a],5))</f>
        <v>0.15070872663818025</v>
      </c>
      <c r="O37" s="3">
        <f t="shared" si="5"/>
        <v>5.9749179516613293E-4</v>
      </c>
      <c r="P37" s="14">
        <f t="shared" si="2"/>
        <v>11.949835903322658</v>
      </c>
    </row>
    <row r="38" spans="1:16" x14ac:dyDescent="0.25">
      <c r="A38" s="2">
        <v>3.5000000000000005E-4</v>
      </c>
      <c r="B38" s="3" cm="1">
        <f t="array" ref="B38">SQRT((4*POWER(ttotal5,2)*st_a[[#This Row],[s(ta)]])/(9*s_t))</f>
        <v>4.554200340426489E-2</v>
      </c>
      <c r="C38" s="3">
        <f t="shared" si="3"/>
        <v>6.553147893223199E-4</v>
      </c>
      <c r="D38" s="14">
        <f t="shared" si="0"/>
        <v>13.106295786446397</v>
      </c>
      <c r="G38" s="8">
        <v>1.1000000000000001E-3</v>
      </c>
      <c r="H38" s="3" cm="1">
        <f t="array" ref="H38">((2*ttotal5)/(3*s_t))*(st_b[[#This Row],[s(tb)]]+(s_t/4))</f>
        <v>8.2222222222222224E-2</v>
      </c>
      <c r="I38" s="3">
        <f t="shared" si="4"/>
        <v>4.4444444444444176E-4</v>
      </c>
      <c r="J38" s="14">
        <f t="shared" si="1"/>
        <v>8.8888888888888342</v>
      </c>
      <c r="M38" s="8">
        <v>2.6000000000000003E-3</v>
      </c>
      <c r="N38" s="3">
        <f>(-INDEX(Overview[b],5)+SQRT(POWER(INDEX(Overview[b],5),2)-(4*INDEX(Overview[a],5)*st_c[[#This Row],[c]])))/(2*INDEX(Overview[a],5))</f>
        <v>0.15131355044398512</v>
      </c>
      <c r="O38" s="3">
        <f t="shared" si="5"/>
        <v>6.0482380580487161E-4</v>
      </c>
      <c r="P38" s="14">
        <f t="shared" si="2"/>
        <v>12.096476116097431</v>
      </c>
    </row>
    <row r="39" spans="1:16" x14ac:dyDescent="0.25">
      <c r="A39" s="2">
        <v>3.6000000000000002E-4</v>
      </c>
      <c r="B39" s="3" cm="1">
        <f t="array" ref="B39">SQRT((4*POWER(ttotal5,2)*st_a[[#This Row],[s(ta)]])/(9*s_t))</f>
        <v>4.6188021535170064E-2</v>
      </c>
      <c r="C39" s="3">
        <f t="shared" si="3"/>
        <v>6.4601813090517379E-4</v>
      </c>
      <c r="D39" s="14">
        <f t="shared" si="0"/>
        <v>12.920362618103475</v>
      </c>
      <c r="G39" s="8">
        <v>1.1100000000000001E-3</v>
      </c>
      <c r="H39" s="3" cm="1">
        <f t="array" ref="H39">((2*ttotal5)/(3*s_t))*(st_b[[#This Row],[s(tb)]]+(s_t/4))</f>
        <v>8.2666666666666666E-2</v>
      </c>
      <c r="I39" s="3">
        <f t="shared" si="4"/>
        <v>4.4444444444444176E-4</v>
      </c>
      <c r="J39" s="14">
        <f t="shared" si="1"/>
        <v>8.8888888888888342</v>
      </c>
      <c r="M39" s="8">
        <v>2.6100000000000003E-3</v>
      </c>
      <c r="N39" s="3">
        <f>(-INDEX(Overview[b],5)+SQRT(POWER(INDEX(Overview[b],5),2)-(4*INDEX(Overview[a],5)*st_c[[#This Row],[c]])))/(2*INDEX(Overview[a],5))</f>
        <v>0.15192598299381344</v>
      </c>
      <c r="O39" s="3">
        <f t="shared" si="5"/>
        <v>6.1243254982831785E-4</v>
      </c>
      <c r="P39" s="14">
        <f t="shared" si="2"/>
        <v>12.248650996566356</v>
      </c>
    </row>
    <row r="40" spans="1:16" x14ac:dyDescent="0.25">
      <c r="A40" s="2">
        <v>3.7000000000000005E-4</v>
      </c>
      <c r="B40" s="3" cm="1">
        <f t="array" ref="B40">SQRT((4*POWER(ttotal5,2)*st_a[[#This Row],[s(ta)]])/(9*s_t))</f>
        <v>4.6825127790456625E-2</v>
      </c>
      <c r="C40" s="3">
        <f t="shared" si="3"/>
        <v>6.3710625528656112E-4</v>
      </c>
      <c r="D40" s="14">
        <f t="shared" si="0"/>
        <v>12.742125105731223</v>
      </c>
      <c r="G40" s="8">
        <v>1.1200000000000001E-3</v>
      </c>
      <c r="H40" s="3" cm="1">
        <f t="array" ref="H40">((2*ttotal5)/(3*s_t))*(st_b[[#This Row],[s(tb)]]+(s_t/4))</f>
        <v>8.3111111111111108E-2</v>
      </c>
      <c r="I40" s="3">
        <f t="shared" si="4"/>
        <v>4.4444444444444176E-4</v>
      </c>
      <c r="J40" s="14">
        <f t="shared" si="1"/>
        <v>8.8888888888888342</v>
      </c>
      <c r="M40" s="8">
        <v>2.6200000000000004E-3</v>
      </c>
      <c r="N40" s="3">
        <f>(-INDEX(Overview[b],5)+SQRT(POWER(INDEX(Overview[b],5),2)-(4*INDEX(Overview[a],5)*st_c[[#This Row],[c]])))/(2*INDEX(Overview[a],5))</f>
        <v>0.15254631887986075</v>
      </c>
      <c r="O40" s="3">
        <f t="shared" si="5"/>
        <v>6.2033588604731849E-4</v>
      </c>
      <c r="P40" s="14">
        <f t="shared" si="2"/>
        <v>12.40671772094637</v>
      </c>
    </row>
    <row r="41" spans="1:16" x14ac:dyDescent="0.25">
      <c r="A41" s="2">
        <v>3.8000000000000002E-4</v>
      </c>
      <c r="B41" s="3" cm="1">
        <f t="array" ref="B41">SQRT((4*POWER(ttotal5,2)*st_a[[#This Row],[s(ta)]])/(9*s_t))</f>
        <v>4.7453681120139167E-2</v>
      </c>
      <c r="C41" s="3">
        <f t="shared" si="3"/>
        <v>6.2855332968254213E-4</v>
      </c>
      <c r="D41" s="14">
        <f t="shared" si="0"/>
        <v>12.571066593650842</v>
      </c>
      <c r="G41" s="8">
        <v>1.1300000000000001E-3</v>
      </c>
      <c r="H41" s="3" cm="1">
        <f t="array" ref="H41">((2*ttotal5)/(3*s_t))*(st_b[[#This Row],[s(tb)]]+(s_t/4))</f>
        <v>8.3555555555555563E-2</v>
      </c>
      <c r="I41" s="3">
        <f t="shared" si="4"/>
        <v>4.4444444444445563E-4</v>
      </c>
      <c r="J41" s="14">
        <f t="shared" si="1"/>
        <v>8.8888888888891131</v>
      </c>
      <c r="M41" s="8">
        <v>2.6300000000000004E-3</v>
      </c>
      <c r="N41" s="3">
        <f>(-INDEX(Overview[b],5)+SQRT(POWER(INDEX(Overview[b],5),2)-(4*INDEX(Overview[a],5)*st_c[[#This Row],[c]])))/(2*INDEX(Overview[a],5))</f>
        <v>0.15317487220954326</v>
      </c>
      <c r="O41" s="3">
        <f t="shared" si="5"/>
        <v>6.2855332968250743E-4</v>
      </c>
      <c r="P41" s="14">
        <f t="shared" si="2"/>
        <v>12.571066593650148</v>
      </c>
    </row>
    <row r="42" spans="1:16" x14ac:dyDescent="0.25">
      <c r="A42" s="2">
        <v>3.9000000000000005E-4</v>
      </c>
      <c r="B42" s="3" cm="1">
        <f t="array" ref="B42">SQRT((4*POWER(ttotal5,2)*st_a[[#This Row],[s(ta)]])/(9*s_t))</f>
        <v>4.8074017006186534E-2</v>
      </c>
      <c r="C42" s="3">
        <f t="shared" si="3"/>
        <v>6.2033588604736706E-4</v>
      </c>
      <c r="D42" s="14">
        <f t="shared" si="0"/>
        <v>12.406717720947341</v>
      </c>
      <c r="G42" s="8">
        <v>1.1400000000000002E-3</v>
      </c>
      <c r="H42" s="3" cm="1">
        <f t="array" ref="H42">((2*ttotal5)/(3*s_t))*(st_b[[#This Row],[s(tb)]]+(s_t/4))</f>
        <v>8.4000000000000005E-2</v>
      </c>
      <c r="I42" s="3">
        <f t="shared" si="4"/>
        <v>4.4444444444444176E-4</v>
      </c>
      <c r="J42" s="14">
        <f t="shared" si="1"/>
        <v>8.8888888888888342</v>
      </c>
      <c r="M42" s="8">
        <v>2.6400000000000004E-3</v>
      </c>
      <c r="N42" s="3">
        <f>(-INDEX(Overview[b],5)+SQRT(POWER(INDEX(Overview[b],5),2)-(4*INDEX(Overview[a],5)*st_c[[#This Row],[c]])))/(2*INDEX(Overview[a],5))</f>
        <v>0.1538119784648298</v>
      </c>
      <c r="O42" s="3">
        <f t="shared" si="5"/>
        <v>6.371062552865403E-4</v>
      </c>
      <c r="P42" s="14">
        <f t="shared" si="2"/>
        <v>12.742125105730805</v>
      </c>
    </row>
    <row r="43" spans="1:16" x14ac:dyDescent="0.25">
      <c r="A43" s="2">
        <v>4.0000000000000002E-4</v>
      </c>
      <c r="B43" s="3" cm="1">
        <f t="array" ref="B43">SQRT((4*POWER(ttotal5,2)*st_a[[#This Row],[s(ta)]])/(9*s_t))</f>
        <v>4.8686449556014769E-2</v>
      </c>
      <c r="C43" s="3">
        <f t="shared" si="3"/>
        <v>6.1243254982823458E-4</v>
      </c>
      <c r="D43" s="14">
        <f t="shared" si="0"/>
        <v>12.248650996564692</v>
      </c>
      <c r="G43" s="8">
        <v>1.1500000000000002E-3</v>
      </c>
      <c r="H43" s="3" cm="1">
        <f t="array" ref="H43">((2*ttotal5)/(3*s_t))*(st_b[[#This Row],[s(tb)]]+(s_t/4))</f>
        <v>8.4444444444444447E-2</v>
      </c>
      <c r="I43" s="3">
        <f t="shared" si="4"/>
        <v>4.4444444444444176E-4</v>
      </c>
      <c r="J43" s="14">
        <f t="shared" si="1"/>
        <v>8.8888888888888342</v>
      </c>
      <c r="M43" s="8">
        <v>2.65E-3</v>
      </c>
      <c r="N43" s="3">
        <f>(-INDEX(Overview[b],5)+SQRT(POWER(INDEX(Overview[b],5),2)-(4*INDEX(Overview[a],5)*st_c[[#This Row],[c]])))/(2*INDEX(Overview[a],5))</f>
        <v>0.15445799659573498</v>
      </c>
      <c r="O43" s="3">
        <f t="shared" si="5"/>
        <v>6.4601813090517379E-4</v>
      </c>
      <c r="P43" s="14">
        <f t="shared" si="2"/>
        <v>12.920362618103475</v>
      </c>
    </row>
    <row r="44" spans="1:16" x14ac:dyDescent="0.25">
      <c r="A44" s="2">
        <v>4.1000000000000005E-4</v>
      </c>
      <c r="B44" s="3" cm="1">
        <f t="array" ref="B44">SQRT((4*POWER(ttotal5,2)*st_a[[#This Row],[s(ta)]])/(9*s_t))</f>
        <v>4.929127336181964E-2</v>
      </c>
      <c r="C44" s="3">
        <f t="shared" si="3"/>
        <v>6.0482380580487161E-4</v>
      </c>
      <c r="D44" s="14">
        <f t="shared" si="0"/>
        <v>12.096476116097431</v>
      </c>
      <c r="G44" s="8">
        <v>1.16E-3</v>
      </c>
      <c r="H44" s="3" cm="1">
        <f t="array" ref="H44">((2*ttotal5)/(3*s_t))*(st_b[[#This Row],[s(tb)]]+(s_t/4))</f>
        <v>8.4888888888888889E-2</v>
      </c>
      <c r="I44" s="3">
        <f t="shared" si="4"/>
        <v>4.4444444444444176E-4</v>
      </c>
      <c r="J44" s="14">
        <f t="shared" si="1"/>
        <v>8.8888888888888342</v>
      </c>
      <c r="M44" s="8">
        <v>2.66E-3</v>
      </c>
      <c r="N44" s="3">
        <f>(-INDEX(Overview[b],5)+SQRT(POWER(INDEX(Overview[b],5),2)-(4*INDEX(Overview[a],5)*st_c[[#This Row],[c]])))/(2*INDEX(Overview[a],5))</f>
        <v>0.15511331138505735</v>
      </c>
      <c r="O44" s="3">
        <f t="shared" si="5"/>
        <v>6.5531478932237541E-4</v>
      </c>
      <c r="P44" s="14">
        <f t="shared" si="2"/>
        <v>13.106295786447507</v>
      </c>
    </row>
    <row r="45" spans="1:16" x14ac:dyDescent="0.25">
      <c r="A45" s="2">
        <v>4.2000000000000002E-4</v>
      </c>
      <c r="B45" s="3" cm="1">
        <f t="array" ref="B45">SQRT((4*POWER(ttotal5,2)*st_a[[#This Row],[s(ta)]])/(9*s_t))</f>
        <v>4.9888765156985898E-2</v>
      </c>
      <c r="C45" s="3">
        <f t="shared" si="3"/>
        <v>5.9749179516625783E-4</v>
      </c>
      <c r="D45" s="14">
        <f t="shared" si="0"/>
        <v>11.949835903325155</v>
      </c>
      <c r="G45" s="8">
        <v>1.17E-3</v>
      </c>
      <c r="H45" s="3" cm="1">
        <f t="array" ref="H45">((2*ttotal5)/(3*s_t))*(st_b[[#This Row],[s(tb)]]+(s_t/4))</f>
        <v>8.533333333333333E-2</v>
      </c>
      <c r="I45" s="3">
        <f t="shared" si="4"/>
        <v>4.4444444444444176E-4</v>
      </c>
      <c r="J45" s="14">
        <f t="shared" si="1"/>
        <v>8.8888888888888342</v>
      </c>
      <c r="M45" s="8">
        <v>2.6700000000000001E-3</v>
      </c>
      <c r="N45" s="3">
        <f>(-INDEX(Overview[b],5)+SQRT(POWER(INDEX(Overview[b],5),2)-(4*INDEX(Overview[a],5)*st_c[[#This Row],[c]])))/(2*INDEX(Overview[a],5))</f>
        <v>0.15577833612859457</v>
      </c>
      <c r="O45" s="3">
        <f t="shared" si="5"/>
        <v>6.6502474353721808E-4</v>
      </c>
      <c r="P45" s="14">
        <f t="shared" si="2"/>
        <v>13.300494870744361</v>
      </c>
    </row>
    <row r="46" spans="1:16" x14ac:dyDescent="0.25">
      <c r="A46" s="2">
        <v>4.3000000000000004E-4</v>
      </c>
      <c r="B46" s="3" cm="1">
        <f t="array" ref="B46">SQRT((4*POWER(ttotal5,2)*st_a[[#This Row],[s(ta)]])/(9*s_t))</f>
        <v>5.0479185296002441E-2</v>
      </c>
      <c r="C46" s="3">
        <f t="shared" si="3"/>
        <v>5.9042013901654256E-4</v>
      </c>
      <c r="D46" s="14">
        <f t="shared" si="0"/>
        <v>11.80840278033085</v>
      </c>
      <c r="G46" s="8">
        <v>1.1800000000000001E-3</v>
      </c>
      <c r="H46" s="3" cm="1">
        <f t="array" ref="H46">((2*ttotal5)/(3*s_t))*(st_b[[#This Row],[s(tb)]]+(s_t/4))</f>
        <v>8.5777777777777772E-2</v>
      </c>
      <c r="I46" s="3">
        <f t="shared" si="4"/>
        <v>4.4444444444444176E-4</v>
      </c>
      <c r="J46" s="14">
        <f t="shared" si="1"/>
        <v>8.8888888888888342</v>
      </c>
      <c r="M46" s="8">
        <v>2.6800000000000001E-3</v>
      </c>
      <c r="N46" s="3">
        <f>(-INDEX(Overview[b],5)+SQRT(POWER(INDEX(Overview[b],5),2)-(4*INDEX(Overview[a],5)*st_c[[#This Row],[c]])))/(2*INDEX(Overview[a],5))</f>
        <v>0.15645351568385449</v>
      </c>
      <c r="O46" s="3">
        <f t="shared" si="5"/>
        <v>6.7517955525991935E-4</v>
      </c>
      <c r="P46" s="14">
        <f t="shared" si="2"/>
        <v>13.503591105198387</v>
      </c>
    </row>
    <row r="47" spans="1:16" x14ac:dyDescent="0.25">
      <c r="A47" s="2">
        <v>4.4000000000000002E-4</v>
      </c>
      <c r="B47" s="3" cm="1">
        <f t="array" ref="B47">SQRT((4*POWER(ttotal5,2)*st_a[[#This Row],[s(ta)]])/(9*s_t))</f>
        <v>5.1062779080338037E-2</v>
      </c>
      <c r="C47" s="3">
        <f t="shared" si="3"/>
        <v>5.8359378433559678E-4</v>
      </c>
      <c r="D47" s="14">
        <f t="shared" si="0"/>
        <v>11.671875686711935</v>
      </c>
      <c r="G47" s="8">
        <v>1.1900000000000001E-3</v>
      </c>
      <c r="H47" s="3" cm="1">
        <f t="array" ref="H47">((2*ttotal5)/(3*s_t))*(st_b[[#This Row],[s(tb)]]+(s_t/4))</f>
        <v>8.6222222222222228E-2</v>
      </c>
      <c r="I47" s="3">
        <f t="shared" si="4"/>
        <v>4.4444444444445563E-4</v>
      </c>
      <c r="J47" s="14">
        <f t="shared" si="1"/>
        <v>8.8888888888891131</v>
      </c>
      <c r="M47" s="8">
        <v>2.6900000000000001E-3</v>
      </c>
      <c r="N47" s="3">
        <f>(-INDEX(Overview[b],5)+SQRT(POWER(INDEX(Overview[b],5),2)-(4*INDEX(Overview[a],5)*st_c[[#This Row],[c]])))/(2*INDEX(Overview[a],5))</f>
        <v>0.15713932995114227</v>
      </c>
      <c r="O47" s="3">
        <f t="shared" si="5"/>
        <v>6.8581426728778205E-4</v>
      </c>
      <c r="P47" s="14">
        <f t="shared" si="2"/>
        <v>13.71628534575564</v>
      </c>
    </row>
    <row r="48" spans="1:16" x14ac:dyDescent="0.25">
      <c r="A48" s="2">
        <v>4.5000000000000004E-4</v>
      </c>
      <c r="B48" s="3" cm="1">
        <f t="array" ref="B48">SQRT((4*POWER(ttotal5,2)*st_a[[#This Row],[s(ta)]])/(9*s_t))</f>
        <v>5.1639777949432232E-2</v>
      </c>
      <c r="C48" s="3">
        <f t="shared" si="3"/>
        <v>5.7699886909419462E-4</v>
      </c>
      <c r="D48" s="14">
        <f t="shared" si="0"/>
        <v>11.539977381883892</v>
      </c>
      <c r="G48" s="8">
        <v>1.2000000000000001E-3</v>
      </c>
      <c r="H48" s="3" cm="1">
        <f t="array" ref="H48">((2*ttotal5)/(3*s_t))*(st_b[[#This Row],[s(tb)]]+(s_t/4))</f>
        <v>8.666666666666667E-2</v>
      </c>
      <c r="I48" s="3">
        <f t="shared" si="4"/>
        <v>4.4444444444444176E-4</v>
      </c>
      <c r="J48" s="14">
        <f t="shared" si="1"/>
        <v>8.8888888888888342</v>
      </c>
      <c r="M48" s="8">
        <v>2.7000000000000001E-3</v>
      </c>
      <c r="N48" s="3">
        <f>(-INDEX(Overview[b],5)+SQRT(POWER(INDEX(Overview[b],5),2)-(4*INDEX(Overview[a],5)*st_c[[#This Row],[c]])))/(2*INDEX(Overview[a],5))</f>
        <v>0.15783629786442152</v>
      </c>
      <c r="O48" s="3">
        <f t="shared" si="5"/>
        <v>6.9696791327925056E-4</v>
      </c>
      <c r="P48" s="14">
        <f t="shared" si="2"/>
        <v>13.93935826558501</v>
      </c>
    </row>
    <row r="49" spans="1:16" x14ac:dyDescent="0.25">
      <c r="A49" s="2">
        <v>4.6000000000000001E-4</v>
      </c>
      <c r="B49" s="3" cm="1">
        <f t="array" ref="B49">SQRT((4*POWER(ttotal5,2)*st_a[[#This Row],[s(ta)]])/(9*s_t))</f>
        <v>5.2210400553203251E-2</v>
      </c>
      <c r="C49" s="3">
        <f t="shared" si="3"/>
        <v>5.7062260377101909E-4</v>
      </c>
      <c r="D49" s="14">
        <f t="shared" si="0"/>
        <v>11.412452075420381</v>
      </c>
      <c r="G49" s="8">
        <v>1.2100000000000001E-3</v>
      </c>
      <c r="H49" s="3" cm="1">
        <f t="array" ref="H49">((2*ttotal5)/(3*s_t))*(st_b[[#This Row],[s(tb)]]+(s_t/4))</f>
        <v>8.7111111111111111E-2</v>
      </c>
      <c r="I49" s="3">
        <f t="shared" si="4"/>
        <v>4.4444444444444176E-4</v>
      </c>
      <c r="J49" s="14">
        <f t="shared" si="1"/>
        <v>8.8888888888888342</v>
      </c>
      <c r="M49" s="8">
        <v>2.7100000000000002E-3</v>
      </c>
      <c r="N49" s="3">
        <f>(-INDEX(Overview[b],5)+SQRT(POWER(INDEX(Overview[b],5),2)-(4*INDEX(Overview[a],5)*st_c[[#This Row],[c]])))/(2*INDEX(Overview[a],5))</f>
        <v>0.15854498198627184</v>
      </c>
      <c r="O49" s="3">
        <f t="shared" si="5"/>
        <v>7.0868412185032259E-4</v>
      </c>
      <c r="P49" s="14">
        <f t="shared" si="2"/>
        <v>14.173682437006452</v>
      </c>
    </row>
    <row r="50" spans="1:16" x14ac:dyDescent="0.25">
      <c r="A50" s="2">
        <v>4.7000000000000004E-4</v>
      </c>
      <c r="B50" s="3" cm="1">
        <f t="array" ref="B50">SQRT((4*POWER(ttotal5,2)*st_a[[#This Row],[s(ta)]])/(9*s_t))</f>
        <v>5.2774853720168532E-2</v>
      </c>
      <c r="C50" s="3">
        <f t="shared" si="3"/>
        <v>5.6445316696528136E-4</v>
      </c>
      <c r="D50" s="14">
        <f t="shared" si="0"/>
        <v>11.289063339305626</v>
      </c>
      <c r="G50" s="8">
        <v>1.2200000000000002E-3</v>
      </c>
      <c r="H50" s="3" cm="1">
        <f t="array" ref="H50">((2*ttotal5)/(3*s_t))*(st_b[[#This Row],[s(tb)]]+(s_t/4))</f>
        <v>8.7555555555555567E-2</v>
      </c>
      <c r="I50" s="3">
        <f t="shared" si="4"/>
        <v>4.4444444444445563E-4</v>
      </c>
      <c r="J50" s="14">
        <f t="shared" si="1"/>
        <v>8.8888888888891131</v>
      </c>
      <c r="M50" s="8">
        <v>2.7200000000000002E-3</v>
      </c>
      <c r="N50" s="3">
        <f>(-INDEX(Overview[b],5)+SQRT(POWER(INDEX(Overview[b],5),2)-(4*INDEX(Overview[a],5)*st_c[[#This Row],[c]])))/(2*INDEX(Overview[a],5))</f>
        <v>0.15926599382261464</v>
      </c>
      <c r="O50" s="3">
        <f t="shared" si="5"/>
        <v>7.210118363427942E-4</v>
      </c>
      <c r="P50" s="14">
        <f t="shared" si="2"/>
        <v>14.420236726855883</v>
      </c>
    </row>
    <row r="51" spans="1:16" x14ac:dyDescent="0.25">
      <c r="A51" s="2">
        <v>4.8000000000000007E-4</v>
      </c>
      <c r="B51" s="3" cm="1">
        <f t="array" ref="B51">SQRT((4*POWER(ttotal5,2)*st_a[[#This Row],[s(ta)]])/(9*s_t))</f>
        <v>5.3333333333333344E-2</v>
      </c>
      <c r="C51" s="3">
        <f t="shared" si="3"/>
        <v>5.5847961316481121E-4</v>
      </c>
      <c r="D51" s="14">
        <f t="shared" si="0"/>
        <v>11.169592263296224</v>
      </c>
      <c r="G51" s="8">
        <v>1.2300000000000002E-3</v>
      </c>
      <c r="H51" s="3" cm="1">
        <f t="array" ref="H51">((2*ttotal5)/(3*s_t))*(st_b[[#This Row],[s(tb)]]+(s_t/4))</f>
        <v>8.7999999999999995E-2</v>
      </c>
      <c r="I51" s="3">
        <f t="shared" si="4"/>
        <v>4.4444444444442788E-4</v>
      </c>
      <c r="J51" s="14">
        <f t="shared" si="1"/>
        <v>8.8888888888885571</v>
      </c>
      <c r="M51" s="8">
        <v>2.7300000000000002E-3</v>
      </c>
      <c r="N51" s="3">
        <f>(-INDEX(Overview[b],5)+SQRT(POWER(INDEX(Overview[b],5),2)-(4*INDEX(Overview[a],5)*st_c[[#This Row],[c]])))/(2*INDEX(Overview[a],5))</f>
        <v>0.15999999999999986</v>
      </c>
      <c r="O51" s="3">
        <f t="shared" si="5"/>
        <v>7.3400617738522689E-4</v>
      </c>
      <c r="P51" s="14">
        <f t="shared" si="2"/>
        <v>14.680123547704538</v>
      </c>
    </row>
    <row r="52" spans="1:16" x14ac:dyDescent="0.25">
      <c r="A52" s="2">
        <v>4.9000000000000009E-4</v>
      </c>
      <c r="B52" s="3" cm="1">
        <f t="array" ref="B52">SQRT((4*POWER(ttotal5,2)*st_a[[#This Row],[s(ta)]])/(9*s_t))</f>
        <v>5.3886025124365085E-2</v>
      </c>
      <c r="C52" s="3">
        <f t="shared" si="3"/>
        <v>5.526917910317411E-4</v>
      </c>
      <c r="D52" s="14">
        <f t="shared" si="0"/>
        <v>11.053835820634822</v>
      </c>
      <c r="G52" s="8">
        <v>1.24E-3</v>
      </c>
      <c r="H52" s="3" cm="1">
        <f t="array" ref="H52">((2*ttotal5)/(3*s_t))*(st_b[[#This Row],[s(tb)]]+(s_t/4))</f>
        <v>8.8444444444444437E-2</v>
      </c>
      <c r="I52" s="3">
        <f t="shared" si="4"/>
        <v>4.4444444444444176E-4</v>
      </c>
      <c r="J52" s="14">
        <f t="shared" si="1"/>
        <v>8.8888888888888342</v>
      </c>
      <c r="M52" s="8">
        <v>2.7400000000000002E-3</v>
      </c>
      <c r="N52" s="3">
        <f>(-INDEX(Overview[b],5)+SQRT(POWER(INDEX(Overview[b],5),2)-(4*INDEX(Overview[a],5)*st_c[[#This Row],[c]])))/(2*INDEX(Overview[a],5))</f>
        <v>0.16074772948298729</v>
      </c>
      <c r="O52" s="3">
        <f t="shared" si="5"/>
        <v>7.4772948298743036E-4</v>
      </c>
      <c r="P52" s="14">
        <f t="shared" si="2"/>
        <v>14.954589659748606</v>
      </c>
    </row>
    <row r="53" spans="1:16" x14ac:dyDescent="0.25">
      <c r="A53" s="2">
        <v>5.0000000000000001E-4</v>
      </c>
      <c r="B53" s="3" cm="1">
        <f t="array" ref="B53">SQRT((4*POWER(ttotal5,2)*st_a[[#This Row],[s(ta)]])/(9*s_t))</f>
        <v>5.4433105395181744E-2</v>
      </c>
      <c r="C53" s="3">
        <f t="shared" si="3"/>
        <v>5.4708027081665916E-4</v>
      </c>
      <c r="D53" s="14">
        <f t="shared" si="0"/>
        <v>10.941605416333182</v>
      </c>
      <c r="G53" s="8">
        <v>1.25E-3</v>
      </c>
      <c r="H53" s="3" cm="1">
        <f t="array" ref="H53">((2*ttotal5)/(3*s_t))*(st_b[[#This Row],[s(tb)]]+(s_t/4))</f>
        <v>8.8888888888888892E-2</v>
      </c>
      <c r="I53" s="3">
        <f t="shared" si="4"/>
        <v>4.4444444444445563E-4</v>
      </c>
      <c r="J53" s="14">
        <f t="shared" si="1"/>
        <v>8.8888888888891131</v>
      </c>
      <c r="M53" s="8">
        <v>2.7500000000000003E-3</v>
      </c>
      <c r="N53" s="3">
        <f>(-INDEX(Overview[b],5)+SQRT(POWER(INDEX(Overview[b],5),2)-(4*INDEX(Overview[a],5)*st_c[[#This Row],[c]])))/(2*INDEX(Overview[a],5))</f>
        <v>0.16150998205402486</v>
      </c>
      <c r="O53" s="3">
        <f t="shared" si="5"/>
        <v>7.6225257103756938E-4</v>
      </c>
      <c r="P53" s="14">
        <f t="shared" si="2"/>
        <v>15.245051420751388</v>
      </c>
    </row>
    <row r="54" spans="1:16" x14ac:dyDescent="0.25">
      <c r="A54" s="2">
        <v>5.1000000000000004E-4</v>
      </c>
      <c r="B54" s="3" cm="1">
        <f t="array" ref="B54">SQRT((4*POWER(ttotal5,2)*st_a[[#This Row],[s(ta)]])/(9*s_t))</f>
        <v>5.4974741674902149E-2</v>
      </c>
      <c r="C54" s="3">
        <f t="shared" si="3"/>
        <v>5.4163627972040468E-4</v>
      </c>
      <c r="D54" s="14">
        <f t="shared" si="0"/>
        <v>10.832725594408092</v>
      </c>
      <c r="G54" s="8">
        <v>1.2600000000000001E-3</v>
      </c>
      <c r="H54" s="3" cm="1">
        <f t="array" ref="H54">((2*ttotal5)/(3*s_t))*(st_b[[#This Row],[s(tb)]]+(s_t/4))</f>
        <v>8.9333333333333334E-2</v>
      </c>
      <c r="I54" s="3">
        <f t="shared" si="4"/>
        <v>4.4444444444444176E-4</v>
      </c>
      <c r="J54" s="14">
        <f t="shared" si="1"/>
        <v>8.8888888888888342</v>
      </c>
      <c r="M54" s="8">
        <v>2.7600000000000003E-3</v>
      </c>
      <c r="N54" s="3">
        <f>(-INDEX(Overview[b],5)+SQRT(POWER(INDEX(Overview[b],5),2)-(4*INDEX(Overview[a],5)*st_c[[#This Row],[c]])))/(2*INDEX(Overview[a],5))</f>
        <v>0.16228763833671736</v>
      </c>
      <c r="O54" s="3">
        <f t="shared" si="5"/>
        <v>7.7765628269249598E-4</v>
      </c>
      <c r="P54" s="14">
        <f t="shared" si="2"/>
        <v>15.55312565384992</v>
      </c>
    </row>
    <row r="55" spans="1:16" x14ac:dyDescent="0.25">
      <c r="A55" s="2">
        <v>5.2000000000000006E-4</v>
      </c>
      <c r="B55" s="3" cm="1">
        <f t="array" ref="B55">SQRT((4*POWER(ttotal5,2)*st_a[[#This Row],[s(ta)]])/(9*s_t))</f>
        <v>5.5511093319096885E-2</v>
      </c>
      <c r="C55" s="3">
        <f t="shared" si="3"/>
        <v>5.3635164419473663E-4</v>
      </c>
      <c r="D55" s="14">
        <f t="shared" si="0"/>
        <v>10.727032883894733</v>
      </c>
      <c r="G55" s="8">
        <v>1.2700000000000001E-3</v>
      </c>
      <c r="H55" s="3" cm="1">
        <f t="array" ref="H55">((2*ttotal5)/(3*s_t))*(st_b[[#This Row],[s(tb)]]+(s_t/4))</f>
        <v>8.9777777777777776E-2</v>
      </c>
      <c r="I55" s="3">
        <f t="shared" si="4"/>
        <v>4.4444444444444176E-4</v>
      </c>
      <c r="J55" s="14">
        <f t="shared" si="1"/>
        <v>8.8888888888888342</v>
      </c>
      <c r="M55" s="8">
        <v>2.7700000000000003E-3</v>
      </c>
      <c r="N55" s="3">
        <f>(-INDEX(Overview[b],5)+SQRT(POWER(INDEX(Overview[b],5),2)-(4*INDEX(Overview[a],5)*st_c[[#This Row],[c]])))/(2*INDEX(Overview[a],5))</f>
        <v>0.16308167172036397</v>
      </c>
      <c r="O55" s="3">
        <f t="shared" si="5"/>
        <v>7.9403338364661402E-4</v>
      </c>
      <c r="P55" s="14">
        <f t="shared" si="2"/>
        <v>15.88066767293228</v>
      </c>
    </row>
    <row r="56" spans="1:16" x14ac:dyDescent="0.25">
      <c r="A56" s="2">
        <v>5.3000000000000009E-4</v>
      </c>
      <c r="B56" s="3" cm="1">
        <f t="array" ref="B56">SQRT((4*POWER(ttotal5,2)*st_a[[#This Row],[s(ta)]])/(9*s_t))</f>
        <v>5.6042312057415528E-2</v>
      </c>
      <c r="C56" s="3">
        <f t="shared" si="3"/>
        <v>5.312187383186423E-4</v>
      </c>
      <c r="D56" s="14">
        <f t="shared" si="0"/>
        <v>10.624374766372846</v>
      </c>
      <c r="G56" s="8">
        <v>1.2800000000000001E-3</v>
      </c>
      <c r="H56" s="3" cm="1">
        <f t="array" ref="H56">((2*ttotal5)/(3*s_t))*(st_b[[#This Row],[s(tb)]]+(s_t/4))</f>
        <v>9.0222222222222218E-2</v>
      </c>
      <c r="I56" s="3">
        <f t="shared" si="4"/>
        <v>4.4444444444444176E-4</v>
      </c>
      <c r="J56" s="14">
        <f t="shared" si="1"/>
        <v>8.8888888888888342</v>
      </c>
      <c r="M56" s="8">
        <v>2.7800000000000004E-3</v>
      </c>
      <c r="N56" s="3">
        <f>(-INDEX(Overview[b],5)+SQRT(POWER(INDEX(Overview[b],5),2)-(4*INDEX(Overview[a],5)*st_c[[#This Row],[c]])))/(2*INDEX(Overview[a],5))</f>
        <v>0.16389316264606232</v>
      </c>
      <c r="O56" s="3">
        <f t="shared" si="5"/>
        <v>8.1149092569834935E-4</v>
      </c>
      <c r="P56" s="14">
        <f t="shared" si="2"/>
        <v>16.229818513966986</v>
      </c>
    </row>
    <row r="57" spans="1:16" x14ac:dyDescent="0.25">
      <c r="A57" s="2">
        <v>5.4000000000000001E-4</v>
      </c>
      <c r="B57" s="3" cm="1">
        <f t="array" ref="B57">SQRT((4*POWER(ttotal5,2)*st_a[[#This Row],[s(ta)]])/(9*s_t))</f>
        <v>5.656854249492381E-2</v>
      </c>
      <c r="C57" s="3">
        <f t="shared" si="3"/>
        <v>5.2623043750828213E-4</v>
      </c>
      <c r="D57" s="14">
        <f t="shared" si="0"/>
        <v>10.524608750165642</v>
      </c>
      <c r="G57" s="8">
        <v>1.2900000000000001E-3</v>
      </c>
      <c r="H57" s="3" cm="1">
        <f t="array" ref="H57">((2*ttotal5)/(3*s_t))*(st_b[[#This Row],[s(tb)]]+(s_t/4))</f>
        <v>9.0666666666666673E-2</v>
      </c>
      <c r="I57" s="3">
        <f t="shared" si="4"/>
        <v>4.4444444444445563E-4</v>
      </c>
      <c r="J57" s="14">
        <f t="shared" si="1"/>
        <v>8.8888888888891131</v>
      </c>
      <c r="M57" s="8">
        <v>2.7900000000000004E-3</v>
      </c>
      <c r="N57" s="3">
        <f>(-INDEX(Overview[b],5)+SQRT(POWER(INDEX(Overview[b],5),2)-(4*INDEX(Overview[a],5)*st_c[[#This Row],[c]])))/(2*INDEX(Overview[a],5))</f>
        <v>0.16472331585247205</v>
      </c>
      <c r="O57" s="3">
        <f t="shared" si="5"/>
        <v>8.3015320640972279E-4</v>
      </c>
      <c r="P57" s="14">
        <f t="shared" si="2"/>
        <v>16.603064128194454</v>
      </c>
    </row>
    <row r="58" spans="1:16" x14ac:dyDescent="0.25">
      <c r="A58" s="2">
        <v>5.5000000000000003E-4</v>
      </c>
      <c r="B58" s="3" cm="1">
        <f t="array" ref="B58">SQRT((4*POWER(ttotal5,2)*st_a[[#This Row],[s(ta)]])/(9*s_t))</f>
        <v>5.7089922571845024E-2</v>
      </c>
      <c r="C58" s="3">
        <f t="shared" si="3"/>
        <v>5.213800769212143E-4</v>
      </c>
      <c r="D58" s="14">
        <f t="shared" si="0"/>
        <v>10.427601538424286</v>
      </c>
      <c r="G58" s="8">
        <v>1.3000000000000002E-3</v>
      </c>
      <c r="H58" s="3" cm="1">
        <f t="array" ref="H58">((2*ttotal5)/(3*s_t))*(st_b[[#This Row],[s(tb)]]+(s_t/4))</f>
        <v>9.1111111111111115E-2</v>
      </c>
      <c r="I58" s="3">
        <f t="shared" si="4"/>
        <v>4.4444444444444176E-4</v>
      </c>
      <c r="J58" s="14">
        <f t="shared" si="1"/>
        <v>8.8888888888888342</v>
      </c>
      <c r="M58" s="8">
        <v>2.8000000000000004E-3</v>
      </c>
      <c r="N58" s="3">
        <f>(-INDEX(Overview[b],5)+SQRT(POWER(INDEX(Overview[b],5),2)-(4*INDEX(Overview[a],5)*st_c[[#This Row],[c]])))/(2*INDEX(Overview[a],5))</f>
        <v>0.16557348136704506</v>
      </c>
      <c r="O58" s="3">
        <f t="shared" si="5"/>
        <v>8.5016551457300915E-4</v>
      </c>
      <c r="P58" s="14">
        <f t="shared" si="2"/>
        <v>17.003310291460181</v>
      </c>
    </row>
    <row r="59" spans="1:16" x14ac:dyDescent="0.25">
      <c r="A59" s="2">
        <v>5.6000000000000006E-4</v>
      </c>
      <c r="B59" s="3" cm="1">
        <f t="array" ref="B59">SQRT((4*POWER(ttotal5,2)*st_a[[#This Row],[s(ta)]])/(9*s_t))</f>
        <v>5.7606583985847649E-2</v>
      </c>
      <c r="C59" s="3">
        <f t="shared" si="3"/>
        <v>5.1666141400262544E-4</v>
      </c>
      <c r="D59" s="14">
        <f t="shared" si="0"/>
        <v>10.333228280052507</v>
      </c>
      <c r="G59" s="8">
        <v>1.3100000000000002E-3</v>
      </c>
      <c r="H59" s="3" cm="1">
        <f t="array" ref="H59">((2*ttotal5)/(3*s_t))*(st_b[[#This Row],[s(tb)]]+(s_t/4))</f>
        <v>9.1555555555555557E-2</v>
      </c>
      <c r="I59" s="3">
        <f t="shared" si="4"/>
        <v>4.4444444444444176E-4</v>
      </c>
      <c r="J59" s="14">
        <f t="shared" si="1"/>
        <v>8.8888888888888342</v>
      </c>
      <c r="M59" s="8">
        <v>2.8100000000000004E-3</v>
      </c>
      <c r="N59" s="3">
        <f>(-INDEX(Overview[b],5)+SQRT(POWER(INDEX(Overview[b],5),2)-(4*INDEX(Overview[a],5)*st_c[[#This Row],[c]])))/(2*INDEX(Overview[a],5))</f>
        <v>0.1664451802876854</v>
      </c>
      <c r="O59" s="3">
        <f t="shared" si="5"/>
        <v>8.7169892064034582E-4</v>
      </c>
      <c r="P59" s="14">
        <f t="shared" si="2"/>
        <v>17.433978412806916</v>
      </c>
    </row>
    <row r="60" spans="1:16" x14ac:dyDescent="0.25">
      <c r="A60" s="2">
        <v>5.7000000000000009E-4</v>
      </c>
      <c r="B60" s="3" cm="1">
        <f t="array" ref="B60">SQRT((4*POWER(ttotal5,2)*st_a[[#This Row],[s(ta)]])/(9*s_t))</f>
        <v>5.8118652580542322E-2</v>
      </c>
      <c r="C60" s="3">
        <f t="shared" si="3"/>
        <v>5.1206859469467292E-4</v>
      </c>
      <c r="D60" s="14">
        <f t="shared" si="0"/>
        <v>10.241371893893458</v>
      </c>
      <c r="G60" s="8">
        <v>1.3200000000000002E-3</v>
      </c>
      <c r="H60" s="3" cm="1">
        <f t="array" ref="H60">((2*ttotal5)/(3*s_t))*(st_b[[#This Row],[s(tb)]]+(s_t/4))</f>
        <v>9.2000000000000012E-2</v>
      </c>
      <c r="I60" s="3">
        <f t="shared" si="4"/>
        <v>4.4444444444445563E-4</v>
      </c>
      <c r="J60" s="14">
        <f t="shared" si="1"/>
        <v>8.8888888888891131</v>
      </c>
      <c r="M60" s="8">
        <v>2.82E-3</v>
      </c>
      <c r="N60" s="3">
        <f>(-INDEX(Overview[b],5)+SQRT(POWER(INDEX(Overview[b],5),2)-(4*INDEX(Overview[a],5)*st_c[[#This Row],[c]])))/(2*INDEX(Overview[a],5))</f>
        <v>0.16734013676289078</v>
      </c>
      <c r="O60" s="3">
        <f t="shared" si="5"/>
        <v>8.9495647520537736E-4</v>
      </c>
      <c r="P60" s="14">
        <f t="shared" si="2"/>
        <v>17.899129504107545</v>
      </c>
    </row>
    <row r="61" spans="1:16" x14ac:dyDescent="0.25">
      <c r="A61" s="2">
        <v>5.8E-4</v>
      </c>
      <c r="B61" s="3" cm="1">
        <f t="array" ref="B61">SQRT((4*POWER(ttotal5,2)*st_a[[#This Row],[s(ta)]])/(9*s_t))</f>
        <v>5.8626248703435205E-2</v>
      </c>
      <c r="C61" s="3">
        <f t="shared" si="3"/>
        <v>5.0759612289288242E-4</v>
      </c>
      <c r="D61" s="14">
        <f t="shared" si="0"/>
        <v>10.151922457857648</v>
      </c>
      <c r="G61" s="8">
        <v>1.33E-3</v>
      </c>
      <c r="H61" s="3" cm="1">
        <f t="array" ref="H61">((2*ttotal5)/(3*s_t))*(st_b[[#This Row],[s(tb)]]+(s_t/4))</f>
        <v>9.2444444444444454E-2</v>
      </c>
      <c r="I61" s="3">
        <f t="shared" si="4"/>
        <v>4.4444444444444176E-4</v>
      </c>
      <c r="J61" s="14">
        <f t="shared" si="1"/>
        <v>8.8888888888888342</v>
      </c>
      <c r="M61" s="8">
        <v>2.8300000000000001E-3</v>
      </c>
      <c r="N61" s="3">
        <f>(-INDEX(Overview[b],5)+SQRT(POWER(INDEX(Overview[b],5),2)-(4*INDEX(Overview[a],5)*st_c[[#This Row],[c]])))/(2*INDEX(Overview[a],5))</f>
        <v>0.1682603180953649</v>
      </c>
      <c r="O61" s="3">
        <f t="shared" si="5"/>
        <v>9.201813324741237E-4</v>
      </c>
      <c r="P61" s="14">
        <f t="shared" si="2"/>
        <v>18.403626649482472</v>
      </c>
    </row>
    <row r="62" spans="1:16" x14ac:dyDescent="0.25">
      <c r="A62" s="2">
        <v>5.9000000000000003E-4</v>
      </c>
      <c r="B62" s="3" cm="1">
        <f t="array" ref="B62">SQRT((4*POWER(ttotal5,2)*st_a[[#This Row],[s(ta)]])/(9*s_t))</f>
        <v>5.912948753622254E-2</v>
      </c>
      <c r="C62" s="3">
        <f t="shared" si="3"/>
        <v>5.0323883278733522E-4</v>
      </c>
      <c r="D62" s="14">
        <f t="shared" si="0"/>
        <v>10.064776655746703</v>
      </c>
      <c r="G62" s="8">
        <v>1.34E-3</v>
      </c>
      <c r="H62" s="3" cm="1">
        <f t="array" ref="H62">((2*ttotal5)/(3*s_t))*(st_b[[#This Row],[s(tb)]]+(s_t/4))</f>
        <v>9.2888888888888882E-2</v>
      </c>
      <c r="I62" s="3">
        <f t="shared" si="4"/>
        <v>4.4444444444442788E-4</v>
      </c>
      <c r="J62" s="14">
        <f t="shared" si="1"/>
        <v>8.8888888888885571</v>
      </c>
      <c r="M62" s="8">
        <v>2.8400000000000001E-3</v>
      </c>
      <c r="N62" s="3">
        <f>(-INDEX(Overview[b],5)+SQRT(POWER(INDEX(Overview[b],5),2)-(4*INDEX(Overview[a],5)*st_c[[#This Row],[c]])))/(2*INDEX(Overview[a],5))</f>
        <v>0.16920798564321982</v>
      </c>
      <c r="O62" s="3">
        <f t="shared" si="5"/>
        <v>9.4766754785491347E-4</v>
      </c>
      <c r="P62" s="14">
        <f t="shared" si="2"/>
        <v>18.953350957098269</v>
      </c>
    </row>
    <row r="63" spans="1:16" x14ac:dyDescent="0.25">
      <c r="A63" s="2">
        <v>6.0000000000000006E-4</v>
      </c>
      <c r="B63" s="3" cm="1">
        <f t="array" ref="B63">SQRT((4*POWER(ttotal5,2)*st_a[[#This Row],[s(ta)]])/(9*s_t))</f>
        <v>5.9628479399994404E-2</v>
      </c>
      <c r="C63" s="3">
        <f t="shared" si="3"/>
        <v>4.9899186377186378E-4</v>
      </c>
      <c r="D63" s="14">
        <f t="shared" si="0"/>
        <v>9.9798372754372746</v>
      </c>
      <c r="G63" s="8">
        <v>1.3500000000000001E-3</v>
      </c>
      <c r="H63" s="3" cm="1">
        <f t="array" ref="H63">((2*ttotal5)/(3*s_t))*(st_b[[#This Row],[s(tb)]]+(s_t/4))</f>
        <v>9.3333333333333338E-2</v>
      </c>
      <c r="I63" s="3">
        <f t="shared" si="4"/>
        <v>4.4444444444445563E-4</v>
      </c>
      <c r="J63" s="14">
        <f t="shared" si="1"/>
        <v>8.8888888888891131</v>
      </c>
      <c r="M63" s="8">
        <v>2.8500000000000001E-3</v>
      </c>
      <c r="N63" s="3">
        <f>(-INDEX(Overview[b],5)+SQRT(POWER(INDEX(Overview[b],5),2)-(4*INDEX(Overview[a],5)*st_c[[#This Row],[c]])))/(2*INDEX(Overview[a],5))</f>
        <v>0.17018576030000263</v>
      </c>
      <c r="O63" s="3">
        <f t="shared" si="5"/>
        <v>9.7777465678280939E-4</v>
      </c>
      <c r="P63" s="14">
        <f t="shared" si="2"/>
        <v>19.555493135656185</v>
      </c>
    </row>
    <row r="64" spans="1:16" x14ac:dyDescent="0.25">
      <c r="A64" s="2">
        <v>6.1000000000000008E-4</v>
      </c>
      <c r="B64" s="3" cm="1">
        <f t="array" ref="B64">SQRT((4*POWER(ttotal5,2)*st_a[[#This Row],[s(ta)]])/(9*s_t))</f>
        <v>6.0123330037638603E-2</v>
      </c>
      <c r="C64" s="3">
        <f t="shared" si="3"/>
        <v>4.948506376441994E-4</v>
      </c>
      <c r="D64" s="14">
        <f t="shared" si="0"/>
        <v>9.8970127528839882</v>
      </c>
      <c r="G64" s="8">
        <v>1.3600000000000001E-3</v>
      </c>
      <c r="H64" s="3" cm="1">
        <f t="array" ref="H64">((2*ttotal5)/(3*s_t))*(st_b[[#This Row],[s(tb)]]+(s_t/4))</f>
        <v>9.3777777777777765E-2</v>
      </c>
      <c r="I64" s="3">
        <f t="shared" si="4"/>
        <v>4.4444444444442788E-4</v>
      </c>
      <c r="J64" s="14">
        <f t="shared" si="1"/>
        <v>8.8888888888885571</v>
      </c>
      <c r="M64" s="8">
        <v>2.8600000000000001E-3</v>
      </c>
      <c r="N64" s="3">
        <f>(-INDEX(Overview[b],5)+SQRT(POWER(INDEX(Overview[b],5),2)-(4*INDEX(Overview[a],5)*st_c[[#This Row],[c]])))/(2*INDEX(Overview[a],5))</f>
        <v>0.17119670800707598</v>
      </c>
      <c r="O64" s="3">
        <f t="shared" si="5"/>
        <v>1.0109477070733563E-3</v>
      </c>
      <c r="P64" s="14">
        <f t="shared" si="2"/>
        <v>20.218954141467126</v>
      </c>
    </row>
    <row r="65" spans="1:16" x14ac:dyDescent="0.25">
      <c r="A65" s="2">
        <v>6.2E-4</v>
      </c>
      <c r="B65" s="3" cm="1">
        <f t="array" ref="B65">SQRT((4*POWER(ttotal5,2)*st_a[[#This Row],[s(ta)]])/(9*s_t))</f>
        <v>6.0614140875492703E-2</v>
      </c>
      <c r="C65" s="3">
        <f t="shared" si="3"/>
        <v>4.9081083785409985E-4</v>
      </c>
      <c r="D65" s="14">
        <f t="shared" si="0"/>
        <v>9.816216757081996</v>
      </c>
      <c r="G65" s="8">
        <v>1.3700000000000001E-3</v>
      </c>
      <c r="H65" s="3" cm="1">
        <f t="array" ref="H65">((2*ttotal5)/(3*s_t))*(st_b[[#This Row],[s(tb)]]+(s_t/4))</f>
        <v>9.4222222222222235E-2</v>
      </c>
      <c r="I65" s="3">
        <f t="shared" si="4"/>
        <v>4.4444444444446951E-4</v>
      </c>
      <c r="J65" s="14">
        <f t="shared" si="1"/>
        <v>8.8888888888893902</v>
      </c>
      <c r="M65" s="8">
        <v>2.8700000000000002E-3</v>
      </c>
      <c r="N65" s="3">
        <f>(-INDEX(Overview[b],5)+SQRT(POWER(INDEX(Overview[b],5),2)-(4*INDEX(Overview[a],5)*st_c[[#This Row],[c]])))/(2*INDEX(Overview[a],5))</f>
        <v>0.17224445334045133</v>
      </c>
      <c r="O65" s="3">
        <f t="shared" si="5"/>
        <v>1.0477453333753439E-3</v>
      </c>
      <c r="P65" s="14">
        <f t="shared" si="2"/>
        <v>20.954906667506876</v>
      </c>
    </row>
    <row r="66" spans="1:16" x14ac:dyDescent="0.25">
      <c r="A66" s="2">
        <v>6.3000000000000003E-4</v>
      </c>
      <c r="B66" s="3" cm="1">
        <f t="array" ref="B66">SQRT((4*POWER(ttotal5,2)*st_a[[#This Row],[s(ta)]])/(9*s_t))</f>
        <v>6.1101009266077873E-2</v>
      </c>
      <c r="C66" s="3">
        <f t="shared" si="3"/>
        <v>4.8686839058516979E-4</v>
      </c>
      <c r="D66" s="14">
        <f t="shared" si="0"/>
        <v>9.737367811703395</v>
      </c>
      <c r="G66" s="8">
        <v>1.3800000000000002E-3</v>
      </c>
      <c r="H66" s="3" cm="1">
        <f t="array" ref="H66">((2*ttotal5)/(3*s_t))*(st_b[[#This Row],[s(tb)]]+(s_t/4))</f>
        <v>9.4666666666666663E-2</v>
      </c>
      <c r="I66" s="3">
        <f t="shared" si="4"/>
        <v>4.4444444444442788E-4</v>
      </c>
      <c r="J66" s="14">
        <f t="shared" si="1"/>
        <v>8.8888888888885571</v>
      </c>
      <c r="M66" s="8">
        <v>2.8800000000000002E-3</v>
      </c>
      <c r="N66" s="3">
        <f>(-INDEX(Overview[b],5)+SQRT(POWER(INDEX(Overview[b],5),2)-(4*INDEX(Overview[a],5)*st_c[[#This Row],[c]])))/(2*INDEX(Overview[a],5))</f>
        <v>0.1733333333333332</v>
      </c>
      <c r="O66" s="3">
        <f t="shared" si="5"/>
        <v>1.0888799928818749E-3</v>
      </c>
      <c r="P66" s="14">
        <f t="shared" si="2"/>
        <v>21.777599857637497</v>
      </c>
    </row>
    <row r="67" spans="1:16" x14ac:dyDescent="0.25">
      <c r="A67" s="2">
        <v>6.4000000000000005E-4</v>
      </c>
      <c r="B67" s="3" cm="1">
        <f t="array" ref="B67">SQRT((4*POWER(ttotal5,2)*st_a[[#This Row],[s(ta)]])/(9*s_t))</f>
        <v>6.1584028713560092E-2</v>
      </c>
      <c r="C67" s="3">
        <f t="shared" si="3"/>
        <v>4.8301944748221914E-4</v>
      </c>
      <c r="D67" s="14">
        <f t="shared" si="0"/>
        <v>9.660388949644382</v>
      </c>
      <c r="G67" s="8">
        <v>1.3900000000000002E-3</v>
      </c>
      <c r="H67" s="3" cm="1">
        <f t="array" ref="H67">((2*ttotal5)/(3*s_t))*(st_b[[#This Row],[s(tb)]]+(s_t/4))</f>
        <v>9.5111111111111132E-2</v>
      </c>
      <c r="I67" s="3">
        <f t="shared" si="4"/>
        <v>4.4444444444446951E-4</v>
      </c>
      <c r="J67" s="14">
        <f t="shared" si="1"/>
        <v>8.8888888888893902</v>
      </c>
      <c r="M67" s="8">
        <v>2.8900000000000002E-3</v>
      </c>
      <c r="N67" s="3">
        <f>(-INDEX(Overview[b],5)+SQRT(POWER(INDEX(Overview[b],5),2)-(4*INDEX(Overview[a],5)*st_c[[#This Row],[c]])))/(2*INDEX(Overview[a],5))</f>
        <v>0.17446861045983081</v>
      </c>
      <c r="O67" s="3">
        <f t="shared" si="5"/>
        <v>1.135277126497608E-3</v>
      </c>
      <c r="P67" s="14">
        <f t="shared" si="2"/>
        <v>22.705542529952158</v>
      </c>
    </row>
    <row r="68" spans="1:16" x14ac:dyDescent="0.25">
      <c r="A68" s="2">
        <v>6.5000000000000008E-4</v>
      </c>
      <c r="B68" s="3" cm="1">
        <f t="array" ref="B68">SQRT((4*POWER(ttotal5,2)*st_a[[#This Row],[s(ta)]])/(9*s_t))</f>
        <v>6.206328908341753E-2</v>
      </c>
      <c r="C68" s="3">
        <f t="shared" si="3"/>
        <v>4.7926036985743853E-4</v>
      </c>
      <c r="D68" s="14">
        <f t="shared" ref="D68:D78" si="6">C68/0.00005</f>
        <v>9.5852073971487695</v>
      </c>
      <c r="G68" s="8">
        <v>1.4000000000000002E-3</v>
      </c>
      <c r="H68" s="3" cm="1">
        <f t="array" ref="H68">((2*ttotal5)/(3*s_t))*(st_b[[#This Row],[s(tb)]]+(s_t/4))</f>
        <v>9.5555555555555546E-2</v>
      </c>
      <c r="I68" s="3">
        <f t="shared" si="4"/>
        <v>4.44444444444414E-4</v>
      </c>
      <c r="J68" s="14">
        <f t="shared" ref="J68:J131" si="7">I68/0.00005</f>
        <v>8.88888888888828</v>
      </c>
      <c r="M68" s="8">
        <v>2.9000000000000002E-3</v>
      </c>
      <c r="N68" s="3">
        <f>(-INDEX(Overview[b],5)+SQRT(POWER(INDEX(Overview[b],5),2)-(4*INDEX(Overview[a],5)*st_c[[#This Row],[c]])))/(2*INDEX(Overview[a],5))</f>
        <v>0.17565677522199238</v>
      </c>
      <c r="O68" s="3">
        <f t="shared" si="5"/>
        <v>1.1881647621615754E-3</v>
      </c>
      <c r="P68" s="14">
        <f t="shared" ref="P68:P78" si="8">O68/0.00005</f>
        <v>23.763295243231507</v>
      </c>
    </row>
    <row r="69" spans="1:16" x14ac:dyDescent="0.25">
      <c r="A69" s="2">
        <v>6.600000000000001E-4</v>
      </c>
      <c r="B69" s="3" cm="1">
        <f t="array" ref="B69">SQRT((4*POWER(ttotal5,2)*st_a[[#This Row],[s(ta)]])/(9*s_t))</f>
        <v>6.2538876797645734E-2</v>
      </c>
      <c r="C69" s="3">
        <f t="shared" ref="C69:C78" si="9">B69-B68</f>
        <v>4.7558771422820389E-4</v>
      </c>
      <c r="D69" s="14">
        <f t="shared" si="6"/>
        <v>9.511754284564077</v>
      </c>
      <c r="G69" s="8">
        <v>1.41E-3</v>
      </c>
      <c r="H69" s="3" cm="1">
        <f t="array" ref="H69">((2*ttotal5)/(3*s_t))*(st_b[[#This Row],[s(tb)]]+(s_t/4))</f>
        <v>9.6000000000000002E-2</v>
      </c>
      <c r="I69" s="3">
        <f t="shared" ref="I69:I132" si="10">H69-H68</f>
        <v>4.4444444444445563E-4</v>
      </c>
      <c r="J69" s="14">
        <f t="shared" si="7"/>
        <v>8.8888888888891131</v>
      </c>
      <c r="M69" s="8">
        <v>2.9100000000000003E-3</v>
      </c>
      <c r="N69" s="3">
        <f>(-INDEX(Overview[b],5)+SQRT(POWER(INDEX(Overview[b],5),2)-(4*INDEX(Overview[a],5)*st_c[[#This Row],[c]])))/(2*INDEX(Overview[a],5))</f>
        <v>0.17690598923241468</v>
      </c>
      <c r="O69" s="3">
        <f t="shared" ref="O69:O78" si="11">N69-N68</f>
        <v>1.2492140104223004E-3</v>
      </c>
      <c r="P69" s="14">
        <f t="shared" si="8"/>
        <v>24.984280208446005</v>
      </c>
    </row>
    <row r="70" spans="1:16" x14ac:dyDescent="0.25">
      <c r="A70" s="2">
        <v>6.7000000000000002E-4</v>
      </c>
      <c r="B70" s="3" cm="1">
        <f t="array" ref="B70">SQRT((4*POWER(ttotal5,2)*st_a[[#This Row],[s(ta)]])/(9*s_t))</f>
        <v>6.3010875016701454E-2</v>
      </c>
      <c r="C70" s="3">
        <f t="shared" si="9"/>
        <v>4.7199821905571926E-4</v>
      </c>
      <c r="D70" s="14">
        <f t="shared" si="6"/>
        <v>9.4399643811143843</v>
      </c>
      <c r="G70" s="8">
        <v>1.42E-3</v>
      </c>
      <c r="H70" s="3" cm="1">
        <f t="array" ref="H70">((2*ttotal5)/(3*s_t))*(st_b[[#This Row],[s(tb)]]+(s_t/4))</f>
        <v>9.6444444444444444E-2</v>
      </c>
      <c r="I70" s="3">
        <f t="shared" si="10"/>
        <v>4.4444444444444176E-4</v>
      </c>
      <c r="J70" s="14">
        <f t="shared" si="7"/>
        <v>8.8888888888888342</v>
      </c>
      <c r="M70" s="8">
        <v>2.9200000000000003E-3</v>
      </c>
      <c r="N70" s="3">
        <f>(-INDEX(Overview[b],5)+SQRT(POWER(INDEX(Overview[b],5),2)-(4*INDEX(Overview[a],5)*st_c[[#This Row],[c]])))/(2*INDEX(Overview[a],5))</f>
        <v>0.17822675784192715</v>
      </c>
      <c r="O70" s="3">
        <f t="shared" si="11"/>
        <v>1.3207686095124682E-3</v>
      </c>
      <c r="P70" s="14">
        <f t="shared" si="8"/>
        <v>26.415372190249364</v>
      </c>
    </row>
    <row r="71" spans="1:16" x14ac:dyDescent="0.25">
      <c r="A71" s="2">
        <v>6.8000000000000005E-4</v>
      </c>
      <c r="B71" s="3" cm="1">
        <f t="array" ref="B71">SQRT((4*POWER(ttotal5,2)*st_a[[#This Row],[s(ta)]])/(9*s_t))</f>
        <v>6.3479363809269787E-2</v>
      </c>
      <c r="C71" s="3">
        <f t="shared" si="9"/>
        <v>4.6848879256833342E-4</v>
      </c>
      <c r="D71" s="14">
        <f t="shared" si="6"/>
        <v>9.3697758513666685</v>
      </c>
      <c r="G71" s="8">
        <v>1.4300000000000001E-3</v>
      </c>
      <c r="H71" s="3" cm="1">
        <f t="array" ref="H71">((2*ttotal5)/(3*s_t))*(st_b[[#This Row],[s(tb)]]+(s_t/4))</f>
        <v>9.6888888888888886E-2</v>
      </c>
      <c r="I71" s="3">
        <f t="shared" si="10"/>
        <v>4.4444444444444176E-4</v>
      </c>
      <c r="J71" s="14">
        <f t="shared" si="7"/>
        <v>8.8888888888888342</v>
      </c>
      <c r="M71" s="8">
        <v>2.9300000000000003E-3</v>
      </c>
      <c r="N71" s="3">
        <f>(-INDEX(Overview[b],5)+SQRT(POWER(INDEX(Overview[b],5),2)-(4*INDEX(Overview[a],5)*st_c[[#This Row],[c]])))/(2*INDEX(Overview[a],5))</f>
        <v>0.17963299691130716</v>
      </c>
      <c r="O71" s="3">
        <f t="shared" si="11"/>
        <v>1.4062390693800053E-3</v>
      </c>
      <c r="P71" s="14">
        <f t="shared" si="8"/>
        <v>28.124781387600105</v>
      </c>
    </row>
    <row r="72" spans="1:16" x14ac:dyDescent="0.25">
      <c r="A72" s="2">
        <v>6.9000000000000008E-4</v>
      </c>
      <c r="B72" s="3" cm="1">
        <f t="array" ref="B72">SQRT((4*POWER(ttotal5,2)*st_a[[#This Row],[s(ta)]])/(9*s_t))</f>
        <v>6.3944420310836275E-2</v>
      </c>
      <c r="C72" s="3">
        <f t="shared" si="9"/>
        <v>4.6505650156648815E-4</v>
      </c>
      <c r="D72" s="14">
        <f t="shared" si="6"/>
        <v>9.3011300313297625</v>
      </c>
      <c r="G72" s="8">
        <v>1.4400000000000001E-3</v>
      </c>
      <c r="H72" s="3" cm="1">
        <f t="array" ref="H72">((2*ttotal5)/(3*s_t))*(st_b[[#This Row],[s(tb)]]+(s_t/4))</f>
        <v>9.7333333333333341E-2</v>
      </c>
      <c r="I72" s="3">
        <f t="shared" si="10"/>
        <v>4.4444444444445563E-4</v>
      </c>
      <c r="J72" s="14">
        <f t="shared" si="7"/>
        <v>8.8888888888891131</v>
      </c>
      <c r="M72" s="8">
        <v>2.9400000000000003E-3</v>
      </c>
      <c r="N72" s="3">
        <f>(-INDEX(Overview[b],5)+SQRT(POWER(INDEX(Overview[b],5),2)-(4*INDEX(Overview[a],5)*st_c[[#This Row],[c]])))/(2*INDEX(Overview[a],5))</f>
        <v>0.18114381916835845</v>
      </c>
      <c r="O72" s="3">
        <f t="shared" si="11"/>
        <v>1.5108222570512919E-3</v>
      </c>
      <c r="P72" s="14">
        <f t="shared" si="8"/>
        <v>30.216445141025837</v>
      </c>
    </row>
    <row r="73" spans="1:16" x14ac:dyDescent="0.25">
      <c r="A73" s="2">
        <v>7.000000000000001E-4</v>
      </c>
      <c r="B73" s="3" cm="1">
        <f t="array" ref="B73">SQRT((4*POWER(ttotal5,2)*st_a[[#This Row],[s(ta)]])/(9*s_t))</f>
        <v>6.4406118871953077E-2</v>
      </c>
      <c r="C73" s="3">
        <f t="shared" si="9"/>
        <v>4.616985611168023E-4</v>
      </c>
      <c r="D73" s="14">
        <f t="shared" si="6"/>
        <v>9.2339712223360451</v>
      </c>
      <c r="G73" s="8">
        <v>1.4500000000000001E-3</v>
      </c>
      <c r="H73" s="3" cm="1">
        <f t="array" ref="H73">((2*ttotal5)/(3*s_t))*(st_b[[#This Row],[s(tb)]]+(s_t/4))</f>
        <v>9.7777777777777783E-2</v>
      </c>
      <c r="I73" s="3">
        <f t="shared" si="10"/>
        <v>4.4444444444444176E-4</v>
      </c>
      <c r="J73" s="14">
        <f t="shared" si="7"/>
        <v>8.8888888888888342</v>
      </c>
      <c r="M73" s="8">
        <v>2.9500000000000004E-3</v>
      </c>
      <c r="N73" s="3">
        <f>(-INDEX(Overview[b],5)+SQRT(POWER(INDEX(Overview[b],5),2)-(4*INDEX(Overview[a],5)*st_c[[#This Row],[c]])))/(2*INDEX(Overview[a],5))</f>
        <v>0.18278674068352221</v>
      </c>
      <c r="O73" s="3">
        <f t="shared" si="11"/>
        <v>1.6429215151637644E-3</v>
      </c>
      <c r="P73" s="14">
        <f t="shared" si="8"/>
        <v>32.858430303275284</v>
      </c>
    </row>
    <row r="74" spans="1:16" x14ac:dyDescent="0.25">
      <c r="A74" s="2">
        <v>7.1000000000000002E-4</v>
      </c>
      <c r="B74" s="3" cm="1">
        <f t="array" ref="B74">SQRT((4*POWER(ttotal5,2)*st_a[[#This Row],[s(ta)]])/(9*s_t))</f>
        <v>6.4864531197006331E-2</v>
      </c>
      <c r="C74" s="3">
        <f t="shared" si="9"/>
        <v>4.5841232505325347E-4</v>
      </c>
      <c r="D74" s="14">
        <f t="shared" si="6"/>
        <v>9.1682465010650684</v>
      </c>
      <c r="G74" s="8">
        <v>1.4600000000000001E-3</v>
      </c>
      <c r="H74" s="3" cm="1">
        <f t="array" ref="H74">((2*ttotal5)/(3*s_t))*(st_b[[#This Row],[s(tb)]]+(s_t/4))</f>
        <v>9.8222222222222225E-2</v>
      </c>
      <c r="I74" s="3">
        <f t="shared" si="10"/>
        <v>4.4444444444444176E-4</v>
      </c>
      <c r="J74" s="14">
        <f t="shared" si="7"/>
        <v>8.8888888888888342</v>
      </c>
      <c r="M74" s="8">
        <v>2.9600000000000004E-3</v>
      </c>
      <c r="N74" s="3">
        <f>(-INDEX(Overview[b],5)+SQRT(POWER(INDEX(Overview[b],5),2)-(4*INDEX(Overview[a],5)*st_c[[#This Row],[c]])))/(2*INDEX(Overview[a],5))</f>
        <v>0.18460399282160977</v>
      </c>
      <c r="O74" s="3">
        <f t="shared" si="11"/>
        <v>1.8172521380875606E-3</v>
      </c>
      <c r="P74" s="14">
        <f t="shared" si="8"/>
        <v>36.345042761751209</v>
      </c>
    </row>
    <row r="75" spans="1:16" x14ac:dyDescent="0.25">
      <c r="A75" s="2">
        <v>7.2000000000000005E-4</v>
      </c>
      <c r="B75" s="3" cm="1">
        <f t="array" ref="B75">SQRT((4*POWER(ttotal5,2)*st_a[[#This Row],[s(ta)]])/(9*s_t))</f>
        <v>6.531972647421809E-2</v>
      </c>
      <c r="C75" s="3">
        <f t="shared" si="9"/>
        <v>4.5519527721175901E-4</v>
      </c>
      <c r="D75" s="14">
        <f t="shared" si="6"/>
        <v>9.1039055442351806</v>
      </c>
      <c r="G75" s="8">
        <v>1.4700000000000002E-3</v>
      </c>
      <c r="H75" s="3" cm="1">
        <f t="array" ref="H75">((2*ttotal5)/(3*s_t))*(st_b[[#This Row],[s(tb)]]+(s_t/4))</f>
        <v>9.8666666666666666E-2</v>
      </c>
      <c r="I75" s="3">
        <f t="shared" si="10"/>
        <v>4.4444444444444176E-4</v>
      </c>
      <c r="J75" s="14">
        <f t="shared" si="7"/>
        <v>8.8888888888888342</v>
      </c>
      <c r="M75" s="8">
        <v>2.9700000000000004E-3</v>
      </c>
      <c r="N75" s="3">
        <f>(-INDEX(Overview[b],5)+SQRT(POWER(INDEX(Overview[b],5),2)-(4*INDEX(Overview[a],5)*st_c[[#This Row],[c]])))/(2*INDEX(Overview[a],5))</f>
        <v>0.18666666666666634</v>
      </c>
      <c r="O75" s="3">
        <f t="shared" si="11"/>
        <v>2.0626738450565674E-3</v>
      </c>
      <c r="P75" s="14">
        <f t="shared" si="8"/>
        <v>41.253476901131343</v>
      </c>
    </row>
    <row r="76" spans="1:16" x14ac:dyDescent="0.25">
      <c r="A76" s="2">
        <v>7.3000000000000007E-4</v>
      </c>
      <c r="B76" s="3" cm="1">
        <f t="array" ref="B76">SQRT((4*POWER(ttotal5,2)*st_a[[#This Row],[s(ta)]])/(9*s_t))</f>
        <v>6.577177149754998E-2</v>
      </c>
      <c r="C76" s="3">
        <f t="shared" si="9"/>
        <v>4.5204502333189012E-4</v>
      </c>
      <c r="D76" s="14">
        <f t="shared" si="6"/>
        <v>9.0409004666378028</v>
      </c>
      <c r="G76" s="8">
        <v>1.4800000000000002E-3</v>
      </c>
      <c r="H76" s="3" cm="1">
        <f t="array" ref="H76">((2*ttotal5)/(3*s_t))*(st_b[[#This Row],[s(tb)]]+(s_t/4))</f>
        <v>9.9111111111111122E-2</v>
      </c>
      <c r="I76" s="3">
        <f t="shared" si="10"/>
        <v>4.4444444444445563E-4</v>
      </c>
      <c r="J76" s="14">
        <f t="shared" si="7"/>
        <v>8.8888888888891131</v>
      </c>
      <c r="M76" s="8">
        <v>2.9800000000000004E-3</v>
      </c>
      <c r="N76" s="3">
        <f>(-INDEX(Overview[b],5)+SQRT(POWER(INDEX(Overview[b],5),2)-(4*INDEX(Overview[a],5)*st_c[[#This Row],[c]])))/(2*INDEX(Overview[a],5))</f>
        <v>0.18911337892096319</v>
      </c>
      <c r="O76" s="3">
        <f t="shared" si="11"/>
        <v>2.4467122542968511E-3</v>
      </c>
      <c r="P76" s="14">
        <f t="shared" si="8"/>
        <v>48.934245085937022</v>
      </c>
    </row>
    <row r="77" spans="1:16" x14ac:dyDescent="0.25">
      <c r="A77" s="2">
        <v>7.400000000000001E-4</v>
      </c>
      <c r="B77" s="3" cm="1">
        <f t="array" ref="B77">SQRT((4*POWER(ttotal5,2)*st_a[[#This Row],[s(ta)]])/(9*s_t))</f>
        <v>6.6220730781117079E-2</v>
      </c>
      <c r="C77" s="3">
        <f t="shared" si="9"/>
        <v>4.4895928356709913E-4</v>
      </c>
      <c r="D77" s="14">
        <f t="shared" si="6"/>
        <v>8.9791856713419822</v>
      </c>
      <c r="G77" s="8">
        <v>1.4900000000000002E-3</v>
      </c>
      <c r="H77" s="3" cm="1">
        <f t="array" ref="H77">((2*ttotal5)/(3*s_t))*(st_b[[#This Row],[s(tb)]]+(s_t/4))</f>
        <v>9.9555555555555564E-2</v>
      </c>
      <c r="I77" s="3">
        <f t="shared" si="10"/>
        <v>4.4444444444444176E-4</v>
      </c>
      <c r="J77" s="14">
        <f t="shared" si="7"/>
        <v>8.8888888888888342</v>
      </c>
      <c r="M77" s="8">
        <v>2.99E-3</v>
      </c>
      <c r="N77" s="3">
        <f>(-INDEX(Overview[b],5)+SQRT(POWER(INDEX(Overview[b],5),2)-(4*INDEX(Overview[a],5)*st_c[[#This Row],[c]])))/(2*INDEX(Overview[a],5))</f>
        <v>0.19230199641080414</v>
      </c>
      <c r="O77" s="3">
        <f t="shared" si="11"/>
        <v>3.1886174898409503E-3</v>
      </c>
      <c r="P77" s="14">
        <f t="shared" si="8"/>
        <v>63.772349796819</v>
      </c>
    </row>
    <row r="78" spans="1:16" x14ac:dyDescent="0.25">
      <c r="A78" s="2">
        <v>7.5000000000000002E-4</v>
      </c>
      <c r="B78" s="3" cm="1">
        <f t="array" ref="B78">SQRT((4*POWER(ttotal5,2)*st_a[[#This Row],[s(ta)]])/(9*s_t))</f>
        <v>6.666666666666668E-2</v>
      </c>
      <c r="C78" s="3">
        <f t="shared" si="9"/>
        <v>4.459358855496004E-4</v>
      </c>
      <c r="D78" s="14">
        <f t="shared" si="6"/>
        <v>8.9187177109920075</v>
      </c>
      <c r="G78" s="8">
        <v>1.5E-3</v>
      </c>
      <c r="H78" s="3" cm="1">
        <f t="array" ref="H78">((2*ttotal5)/(3*s_t))*(st_b[[#This Row],[s(tb)]]+(s_t/4))</f>
        <v>0.1</v>
      </c>
      <c r="I78" s="3">
        <f t="shared" si="10"/>
        <v>4.4444444444444176E-4</v>
      </c>
      <c r="J78" s="14">
        <f t="shared" si="7"/>
        <v>8.8888888888888342</v>
      </c>
      <c r="M78" s="8">
        <v>3.0000000000000001E-3</v>
      </c>
      <c r="N78" s="3">
        <f>(-INDEX(Overview[b],5)+SQRT(POWER(INDEX(Overview[b],5),2)-(4*INDEX(Overview[a],5)*st_c[[#This Row],[c]])))/(2*INDEX(Overview[a],5))</f>
        <v>0.19999999609751407</v>
      </c>
      <c r="O78" s="3">
        <f t="shared" si="11"/>
        <v>7.6979996867099221E-3</v>
      </c>
      <c r="P78" s="14">
        <f t="shared" si="8"/>
        <v>153.95999373419843</v>
      </c>
    </row>
    <row r="79" spans="1:16" x14ac:dyDescent="0.25">
      <c r="G79" s="8">
        <v>1.5100000000000001E-3</v>
      </c>
      <c r="H79" s="3" cm="1">
        <f t="array" ref="H79">((2*ttotal5)/(3*s_t))*(st_b[[#This Row],[s(tb)]]+(s_t/4))</f>
        <v>0.10044444444444443</v>
      </c>
      <c r="I79" s="3">
        <f t="shared" si="10"/>
        <v>4.4444444444442788E-4</v>
      </c>
      <c r="J79" s="14">
        <f t="shared" si="7"/>
        <v>8.8888888888885571</v>
      </c>
    </row>
    <row r="80" spans="1:16" x14ac:dyDescent="0.25">
      <c r="G80" s="8">
        <v>1.5200000000000001E-3</v>
      </c>
      <c r="H80" s="3" cm="1">
        <f t="array" ref="H80">((2*ttotal5)/(3*s_t))*(st_b[[#This Row],[s(tb)]]+(s_t/4))</f>
        <v>0.1008888888888889</v>
      </c>
      <c r="I80" s="3">
        <f t="shared" si="10"/>
        <v>4.4444444444446951E-4</v>
      </c>
      <c r="J80" s="14">
        <f t="shared" si="7"/>
        <v>8.8888888888893902</v>
      </c>
    </row>
    <row r="81" spans="7:10" x14ac:dyDescent="0.25">
      <c r="G81" s="8">
        <v>1.5300000000000001E-3</v>
      </c>
      <c r="H81" s="3" cm="1">
        <f t="array" ref="H81">((2*ttotal5)/(3*s_t))*(st_b[[#This Row],[s(tb)]]+(s_t/4))</f>
        <v>0.10133333333333333</v>
      </c>
      <c r="I81" s="3">
        <f t="shared" si="10"/>
        <v>4.4444444444442788E-4</v>
      </c>
      <c r="J81" s="14">
        <f t="shared" si="7"/>
        <v>8.8888888888885571</v>
      </c>
    </row>
    <row r="82" spans="7:10" x14ac:dyDescent="0.25">
      <c r="G82" s="8">
        <v>1.5400000000000001E-3</v>
      </c>
      <c r="H82" s="3" cm="1">
        <f t="array" ref="H82">((2*ttotal5)/(3*s_t))*(st_b[[#This Row],[s(tb)]]+(s_t/4))</f>
        <v>0.10177777777777779</v>
      </c>
      <c r="I82" s="3">
        <f t="shared" si="10"/>
        <v>4.4444444444445563E-4</v>
      </c>
      <c r="J82" s="14">
        <f t="shared" si="7"/>
        <v>8.8888888888891131</v>
      </c>
    </row>
    <row r="83" spans="7:10" x14ac:dyDescent="0.25">
      <c r="G83" s="8">
        <v>1.5500000000000002E-3</v>
      </c>
      <c r="H83" s="3" cm="1">
        <f t="array" ref="H83">((2*ttotal5)/(3*s_t))*(st_b[[#This Row],[s(tb)]]+(s_t/4))</f>
        <v>0.10222222222222221</v>
      </c>
      <c r="I83" s="3">
        <f t="shared" si="10"/>
        <v>4.4444444444442788E-4</v>
      </c>
      <c r="J83" s="14">
        <f t="shared" si="7"/>
        <v>8.8888888888885571</v>
      </c>
    </row>
    <row r="84" spans="7:10" x14ac:dyDescent="0.25">
      <c r="G84" s="8">
        <v>1.5600000000000002E-3</v>
      </c>
      <c r="H84" s="3" cm="1">
        <f t="array" ref="H84">((2*ttotal5)/(3*s_t))*(st_b[[#This Row],[s(tb)]]+(s_t/4))</f>
        <v>0.10266666666666668</v>
      </c>
      <c r="I84" s="3">
        <f t="shared" si="10"/>
        <v>4.4444444444446951E-4</v>
      </c>
      <c r="J84" s="14">
        <f t="shared" si="7"/>
        <v>8.8888888888893902</v>
      </c>
    </row>
    <row r="85" spans="7:10" x14ac:dyDescent="0.25">
      <c r="G85" s="8">
        <v>1.5700000000000002E-3</v>
      </c>
      <c r="H85" s="3" cm="1">
        <f t="array" ref="H85">((2*ttotal5)/(3*s_t))*(st_b[[#This Row],[s(tb)]]+(s_t/4))</f>
        <v>0.10311111111111111</v>
      </c>
      <c r="I85" s="3">
        <f t="shared" si="10"/>
        <v>4.4444444444442788E-4</v>
      </c>
      <c r="J85" s="14">
        <f t="shared" si="7"/>
        <v>8.8888888888885571</v>
      </c>
    </row>
    <row r="86" spans="7:10" x14ac:dyDescent="0.25">
      <c r="G86" s="8">
        <v>1.58E-3</v>
      </c>
      <c r="H86" s="3" cm="1">
        <f t="array" ref="H86">((2*ttotal5)/(3*s_t))*(st_b[[#This Row],[s(tb)]]+(s_t/4))</f>
        <v>0.10355555555555555</v>
      </c>
      <c r="I86" s="3">
        <f t="shared" si="10"/>
        <v>4.4444444444444176E-4</v>
      </c>
      <c r="J86" s="14">
        <f t="shared" si="7"/>
        <v>8.8888888888888342</v>
      </c>
    </row>
    <row r="87" spans="7:10" x14ac:dyDescent="0.25">
      <c r="G87" s="8">
        <v>1.5900000000000001E-3</v>
      </c>
      <c r="H87" s="3" cm="1">
        <f t="array" ref="H87">((2*ttotal5)/(3*s_t))*(st_b[[#This Row],[s(tb)]]+(s_t/4))</f>
        <v>0.104</v>
      </c>
      <c r="I87" s="3">
        <f t="shared" si="10"/>
        <v>4.4444444444444176E-4</v>
      </c>
      <c r="J87" s="14">
        <f t="shared" si="7"/>
        <v>8.8888888888888342</v>
      </c>
    </row>
    <row r="88" spans="7:10" x14ac:dyDescent="0.25">
      <c r="G88" s="8">
        <v>1.6000000000000001E-3</v>
      </c>
      <c r="H88" s="3" cm="1">
        <f t="array" ref="H88">((2*ttotal5)/(3*s_t))*(st_b[[#This Row],[s(tb)]]+(s_t/4))</f>
        <v>0.10444444444444445</v>
      </c>
      <c r="I88" s="3">
        <f t="shared" si="10"/>
        <v>4.4444444444445563E-4</v>
      </c>
      <c r="J88" s="14">
        <f t="shared" si="7"/>
        <v>8.8888888888891131</v>
      </c>
    </row>
    <row r="89" spans="7:10" x14ac:dyDescent="0.25">
      <c r="G89" s="8">
        <v>1.6100000000000001E-3</v>
      </c>
      <c r="H89" s="3" cm="1">
        <f t="array" ref="H89">((2*ttotal5)/(3*s_t))*(st_b[[#This Row],[s(tb)]]+(s_t/4))</f>
        <v>0.10488888888888889</v>
      </c>
      <c r="I89" s="3">
        <f t="shared" si="10"/>
        <v>4.4444444444444176E-4</v>
      </c>
      <c r="J89" s="14">
        <f t="shared" si="7"/>
        <v>8.8888888888888342</v>
      </c>
    </row>
    <row r="90" spans="7:10" x14ac:dyDescent="0.25">
      <c r="G90" s="8">
        <v>1.6200000000000001E-3</v>
      </c>
      <c r="H90" s="3" cm="1">
        <f t="array" ref="H90">((2*ttotal5)/(3*s_t))*(st_b[[#This Row],[s(tb)]]+(s_t/4))</f>
        <v>0.10533333333333333</v>
      </c>
      <c r="I90" s="3">
        <f t="shared" si="10"/>
        <v>4.4444444444444176E-4</v>
      </c>
      <c r="J90" s="14">
        <f t="shared" si="7"/>
        <v>8.8888888888888342</v>
      </c>
    </row>
    <row r="91" spans="7:10" x14ac:dyDescent="0.25">
      <c r="G91" s="8">
        <v>1.6300000000000002E-3</v>
      </c>
      <c r="H91" s="3" cm="1">
        <f t="array" ref="H91">((2*ttotal5)/(3*s_t))*(st_b[[#This Row],[s(tb)]]+(s_t/4))</f>
        <v>0.10577777777777778</v>
      </c>
      <c r="I91" s="3">
        <f t="shared" si="10"/>
        <v>4.4444444444444176E-4</v>
      </c>
      <c r="J91" s="14">
        <f t="shared" si="7"/>
        <v>8.8888888888888342</v>
      </c>
    </row>
    <row r="92" spans="7:10" x14ac:dyDescent="0.25">
      <c r="G92" s="8">
        <v>1.6400000000000002E-3</v>
      </c>
      <c r="H92" s="3" cm="1">
        <f t="array" ref="H92">((2*ttotal5)/(3*s_t))*(st_b[[#This Row],[s(tb)]]+(s_t/4))</f>
        <v>0.10622222222222223</v>
      </c>
      <c r="I92" s="3">
        <f t="shared" si="10"/>
        <v>4.4444444444445563E-4</v>
      </c>
      <c r="J92" s="14">
        <f t="shared" si="7"/>
        <v>8.8888888888891131</v>
      </c>
    </row>
    <row r="93" spans="7:10" x14ac:dyDescent="0.25">
      <c r="G93" s="8">
        <v>1.6500000000000002E-3</v>
      </c>
      <c r="H93" s="3" cm="1">
        <f t="array" ref="H93">((2*ttotal5)/(3*s_t))*(st_b[[#This Row],[s(tb)]]+(s_t/4))</f>
        <v>0.10666666666666667</v>
      </c>
      <c r="I93" s="3">
        <f t="shared" si="10"/>
        <v>4.4444444444444176E-4</v>
      </c>
      <c r="J93" s="14">
        <f t="shared" si="7"/>
        <v>8.8888888888888342</v>
      </c>
    </row>
    <row r="94" spans="7:10" x14ac:dyDescent="0.25">
      <c r="G94" s="8">
        <v>1.6600000000000002E-3</v>
      </c>
      <c r="H94" s="3" cm="1">
        <f t="array" ref="H94">((2*ttotal5)/(3*s_t))*(st_b[[#This Row],[s(tb)]]+(s_t/4))</f>
        <v>0.10711111111111112</v>
      </c>
      <c r="I94" s="3">
        <f t="shared" si="10"/>
        <v>4.4444444444444176E-4</v>
      </c>
      <c r="J94" s="14">
        <f t="shared" si="7"/>
        <v>8.8888888888888342</v>
      </c>
    </row>
    <row r="95" spans="7:10" x14ac:dyDescent="0.25">
      <c r="G95" s="8">
        <v>1.67E-3</v>
      </c>
      <c r="H95" s="3" cm="1">
        <f t="array" ref="H95">((2*ttotal5)/(3*s_t))*(st_b[[#This Row],[s(tb)]]+(s_t/4))</f>
        <v>0.10755555555555557</v>
      </c>
      <c r="I95" s="3">
        <f t="shared" si="10"/>
        <v>4.4444444444445563E-4</v>
      </c>
      <c r="J95" s="14">
        <f t="shared" si="7"/>
        <v>8.8888888888891131</v>
      </c>
    </row>
    <row r="96" spans="7:10" x14ac:dyDescent="0.25">
      <c r="G96" s="8">
        <v>1.6800000000000001E-3</v>
      </c>
      <c r="H96" s="3" cm="1">
        <f t="array" ref="H96">((2*ttotal5)/(3*s_t))*(st_b[[#This Row],[s(tb)]]+(s_t/4))</f>
        <v>0.10799999999999998</v>
      </c>
      <c r="I96" s="3">
        <f t="shared" si="10"/>
        <v>4.44444444444414E-4</v>
      </c>
      <c r="J96" s="14">
        <f t="shared" si="7"/>
        <v>8.88888888888828</v>
      </c>
    </row>
    <row r="97" spans="7:10" x14ac:dyDescent="0.25">
      <c r="G97" s="8">
        <v>1.6900000000000001E-3</v>
      </c>
      <c r="H97" s="3" cm="1">
        <f t="array" ref="H97">((2*ttotal5)/(3*s_t))*(st_b[[#This Row],[s(tb)]]+(s_t/4))</f>
        <v>0.10844444444444445</v>
      </c>
      <c r="I97" s="3">
        <f t="shared" si="10"/>
        <v>4.4444444444446951E-4</v>
      </c>
      <c r="J97" s="14">
        <f t="shared" si="7"/>
        <v>8.8888888888893902</v>
      </c>
    </row>
    <row r="98" spans="7:10" x14ac:dyDescent="0.25">
      <c r="G98" s="8">
        <v>1.7000000000000001E-3</v>
      </c>
      <c r="H98" s="3" cm="1">
        <f t="array" ref="H98">((2*ttotal5)/(3*s_t))*(st_b[[#This Row],[s(tb)]]+(s_t/4))</f>
        <v>0.10888888888888888</v>
      </c>
      <c r="I98" s="3">
        <f t="shared" si="10"/>
        <v>4.4444444444442788E-4</v>
      </c>
      <c r="J98" s="14">
        <f t="shared" si="7"/>
        <v>8.8888888888885571</v>
      </c>
    </row>
    <row r="99" spans="7:10" x14ac:dyDescent="0.25">
      <c r="G99" s="8">
        <v>1.7100000000000001E-3</v>
      </c>
      <c r="H99" s="3" cm="1">
        <f t="array" ref="H99">((2*ttotal5)/(3*s_t))*(st_b[[#This Row],[s(tb)]]+(s_t/4))</f>
        <v>0.10933333333333335</v>
      </c>
      <c r="I99" s="3">
        <f t="shared" si="10"/>
        <v>4.4444444444446951E-4</v>
      </c>
      <c r="J99" s="14">
        <f t="shared" si="7"/>
        <v>8.8888888888893902</v>
      </c>
    </row>
    <row r="100" spans="7:10" x14ac:dyDescent="0.25">
      <c r="G100" s="8">
        <v>1.7200000000000002E-3</v>
      </c>
      <c r="H100" s="3" cm="1">
        <f t="array" ref="H100">((2*ttotal5)/(3*s_t))*(st_b[[#This Row],[s(tb)]]+(s_t/4))</f>
        <v>0.10977777777777777</v>
      </c>
      <c r="I100" s="3">
        <f t="shared" si="10"/>
        <v>4.44444444444414E-4</v>
      </c>
      <c r="J100" s="14">
        <f t="shared" si="7"/>
        <v>8.88888888888828</v>
      </c>
    </row>
    <row r="101" spans="7:10" x14ac:dyDescent="0.25">
      <c r="G101" s="8">
        <v>1.7300000000000002E-3</v>
      </c>
      <c r="H101" s="3" cm="1">
        <f t="array" ref="H101">((2*ttotal5)/(3*s_t))*(st_b[[#This Row],[s(tb)]]+(s_t/4))</f>
        <v>0.11022222222222224</v>
      </c>
      <c r="I101" s="3">
        <f t="shared" si="10"/>
        <v>4.4444444444446951E-4</v>
      </c>
      <c r="J101" s="14">
        <f t="shared" si="7"/>
        <v>8.8888888888893902</v>
      </c>
    </row>
    <row r="102" spans="7:10" x14ac:dyDescent="0.25">
      <c r="G102" s="8">
        <v>1.7400000000000002E-3</v>
      </c>
      <c r="H102" s="3" cm="1">
        <f t="array" ref="H102">((2*ttotal5)/(3*s_t))*(st_b[[#This Row],[s(tb)]]+(s_t/4))</f>
        <v>0.11066666666666666</v>
      </c>
      <c r="I102" s="3">
        <f t="shared" si="10"/>
        <v>4.4444444444442788E-4</v>
      </c>
      <c r="J102" s="14">
        <f t="shared" si="7"/>
        <v>8.8888888888885571</v>
      </c>
    </row>
    <row r="103" spans="7:10" x14ac:dyDescent="0.25">
      <c r="G103" s="8">
        <v>1.75E-3</v>
      </c>
      <c r="H103" s="3" cm="1">
        <f t="array" ref="H103">((2*ttotal5)/(3*s_t))*(st_b[[#This Row],[s(tb)]]+(s_t/4))</f>
        <v>0.1111111111111111</v>
      </c>
      <c r="I103" s="3">
        <f t="shared" si="10"/>
        <v>4.4444444444444176E-4</v>
      </c>
      <c r="J103" s="14">
        <f t="shared" si="7"/>
        <v>8.8888888888888342</v>
      </c>
    </row>
    <row r="104" spans="7:10" x14ac:dyDescent="0.25">
      <c r="G104" s="8">
        <v>1.7600000000000001E-3</v>
      </c>
      <c r="H104" s="3" cm="1">
        <f t="array" ref="H104">((2*ttotal5)/(3*s_t))*(st_b[[#This Row],[s(tb)]]+(s_t/4))</f>
        <v>0.11155555555555556</v>
      </c>
      <c r="I104" s="3">
        <f t="shared" si="10"/>
        <v>4.4444444444445563E-4</v>
      </c>
      <c r="J104" s="14">
        <f t="shared" si="7"/>
        <v>8.8888888888891131</v>
      </c>
    </row>
    <row r="105" spans="7:10" x14ac:dyDescent="0.25">
      <c r="G105" s="8">
        <v>1.7700000000000001E-3</v>
      </c>
      <c r="H105" s="3" cm="1">
        <f t="array" ref="H105">((2*ttotal5)/(3*s_t))*(st_b[[#This Row],[s(tb)]]+(s_t/4))</f>
        <v>0.112</v>
      </c>
      <c r="I105" s="3">
        <f t="shared" si="10"/>
        <v>4.4444444444444176E-4</v>
      </c>
      <c r="J105" s="14">
        <f t="shared" si="7"/>
        <v>8.8888888888888342</v>
      </c>
    </row>
    <row r="106" spans="7:10" x14ac:dyDescent="0.25">
      <c r="G106" s="8">
        <v>1.7800000000000001E-3</v>
      </c>
      <c r="H106" s="3" cm="1">
        <f t="array" ref="H106">((2*ttotal5)/(3*s_t))*(st_b[[#This Row],[s(tb)]]+(s_t/4))</f>
        <v>0.11244444444444444</v>
      </c>
      <c r="I106" s="3">
        <f t="shared" si="10"/>
        <v>4.4444444444444176E-4</v>
      </c>
      <c r="J106" s="14">
        <f t="shared" si="7"/>
        <v>8.8888888888888342</v>
      </c>
    </row>
    <row r="107" spans="7:10" x14ac:dyDescent="0.25">
      <c r="G107" s="8">
        <v>1.7900000000000001E-3</v>
      </c>
      <c r="H107" s="3" cm="1">
        <f t="array" ref="H107">((2*ttotal5)/(3*s_t))*(st_b[[#This Row],[s(tb)]]+(s_t/4))</f>
        <v>0.11288888888888889</v>
      </c>
      <c r="I107" s="3">
        <f t="shared" si="10"/>
        <v>4.4444444444444176E-4</v>
      </c>
      <c r="J107" s="14">
        <f t="shared" si="7"/>
        <v>8.8888888888888342</v>
      </c>
    </row>
    <row r="108" spans="7:10" x14ac:dyDescent="0.25">
      <c r="G108" s="8">
        <v>1.8000000000000002E-3</v>
      </c>
      <c r="H108" s="3" cm="1">
        <f t="array" ref="H108">((2*ttotal5)/(3*s_t))*(st_b[[#This Row],[s(tb)]]+(s_t/4))</f>
        <v>0.11333333333333334</v>
      </c>
      <c r="I108" s="3">
        <f t="shared" si="10"/>
        <v>4.4444444444445563E-4</v>
      </c>
      <c r="J108" s="14">
        <f t="shared" si="7"/>
        <v>8.8888888888891131</v>
      </c>
    </row>
    <row r="109" spans="7:10" x14ac:dyDescent="0.25">
      <c r="G109" s="8">
        <v>1.8100000000000002E-3</v>
      </c>
      <c r="H109" s="3" cm="1">
        <f t="array" ref="H109">((2*ttotal5)/(3*s_t))*(st_b[[#This Row],[s(tb)]]+(s_t/4))</f>
        <v>0.11377777777777778</v>
      </c>
      <c r="I109" s="3">
        <f t="shared" si="10"/>
        <v>4.4444444444444176E-4</v>
      </c>
      <c r="J109" s="14">
        <f t="shared" si="7"/>
        <v>8.8888888888888342</v>
      </c>
    </row>
    <row r="110" spans="7:10" x14ac:dyDescent="0.25">
      <c r="G110" s="8">
        <v>1.8200000000000002E-3</v>
      </c>
      <c r="H110" s="3" cm="1">
        <f t="array" ref="H110">((2*ttotal5)/(3*s_t))*(st_b[[#This Row],[s(tb)]]+(s_t/4))</f>
        <v>0.11422222222222222</v>
      </c>
      <c r="I110" s="3">
        <f t="shared" si="10"/>
        <v>4.4444444444444176E-4</v>
      </c>
      <c r="J110" s="14">
        <f t="shared" si="7"/>
        <v>8.8888888888888342</v>
      </c>
    </row>
    <row r="111" spans="7:10" x14ac:dyDescent="0.25">
      <c r="G111" s="8">
        <v>1.8300000000000002E-3</v>
      </c>
      <c r="H111" s="3" cm="1">
        <f t="array" ref="H111">((2*ttotal5)/(3*s_t))*(st_b[[#This Row],[s(tb)]]+(s_t/4))</f>
        <v>0.11466666666666668</v>
      </c>
      <c r="I111" s="3">
        <f t="shared" si="10"/>
        <v>4.4444444444445563E-4</v>
      </c>
      <c r="J111" s="14">
        <f t="shared" si="7"/>
        <v>8.8888888888891131</v>
      </c>
    </row>
    <row r="112" spans="7:10" x14ac:dyDescent="0.25">
      <c r="G112" s="8">
        <v>1.8400000000000001E-3</v>
      </c>
      <c r="H112" s="3" cm="1">
        <f t="array" ref="H112">((2*ttotal5)/(3*s_t))*(st_b[[#This Row],[s(tb)]]+(s_t/4))</f>
        <v>0.11511111111111112</v>
      </c>
      <c r="I112" s="3">
        <f t="shared" si="10"/>
        <v>4.4444444444444176E-4</v>
      </c>
      <c r="J112" s="14">
        <f t="shared" si="7"/>
        <v>8.8888888888888342</v>
      </c>
    </row>
    <row r="113" spans="7:10" x14ac:dyDescent="0.25">
      <c r="G113" s="8">
        <v>1.8500000000000001E-3</v>
      </c>
      <c r="H113" s="3" cm="1">
        <f t="array" ref="H113">((2*ttotal5)/(3*s_t))*(st_b[[#This Row],[s(tb)]]+(s_t/4))</f>
        <v>0.11555555555555555</v>
      </c>
      <c r="I113" s="3">
        <f t="shared" si="10"/>
        <v>4.4444444444442788E-4</v>
      </c>
      <c r="J113" s="14">
        <f t="shared" si="7"/>
        <v>8.8888888888885571</v>
      </c>
    </row>
    <row r="114" spans="7:10" x14ac:dyDescent="0.25">
      <c r="G114" s="8">
        <v>1.8600000000000001E-3</v>
      </c>
      <c r="H114" s="3" cm="1">
        <f t="array" ref="H114">((2*ttotal5)/(3*s_t))*(st_b[[#This Row],[s(tb)]]+(s_t/4))</f>
        <v>0.11600000000000001</v>
      </c>
      <c r="I114" s="3">
        <f t="shared" si="10"/>
        <v>4.4444444444445563E-4</v>
      </c>
      <c r="J114" s="14">
        <f t="shared" si="7"/>
        <v>8.8888888888891131</v>
      </c>
    </row>
    <row r="115" spans="7:10" x14ac:dyDescent="0.25">
      <c r="G115" s="8">
        <v>1.8700000000000001E-3</v>
      </c>
      <c r="H115" s="3" cm="1">
        <f t="array" ref="H115">((2*ttotal5)/(3*s_t))*(st_b[[#This Row],[s(tb)]]+(s_t/4))</f>
        <v>0.11644444444444443</v>
      </c>
      <c r="I115" s="3">
        <f t="shared" si="10"/>
        <v>4.4444444444442788E-4</v>
      </c>
      <c r="J115" s="14">
        <f t="shared" si="7"/>
        <v>8.8888888888885571</v>
      </c>
    </row>
    <row r="116" spans="7:10" x14ac:dyDescent="0.25">
      <c r="G116" s="8">
        <v>1.8800000000000002E-3</v>
      </c>
      <c r="H116" s="3" cm="1">
        <f t="array" ref="H116">((2*ttotal5)/(3*s_t))*(st_b[[#This Row],[s(tb)]]+(s_t/4))</f>
        <v>0.1168888888888889</v>
      </c>
      <c r="I116" s="3">
        <f t="shared" si="10"/>
        <v>4.4444444444446951E-4</v>
      </c>
      <c r="J116" s="14">
        <f t="shared" si="7"/>
        <v>8.8888888888893902</v>
      </c>
    </row>
    <row r="117" spans="7:10" x14ac:dyDescent="0.25">
      <c r="G117" s="8">
        <v>1.8900000000000002E-3</v>
      </c>
      <c r="H117" s="3" cm="1">
        <f t="array" ref="H117">((2*ttotal5)/(3*s_t))*(st_b[[#This Row],[s(tb)]]+(s_t/4))</f>
        <v>0.11733333333333333</v>
      </c>
      <c r="I117" s="3">
        <f t="shared" si="10"/>
        <v>4.4444444444442788E-4</v>
      </c>
      <c r="J117" s="14">
        <f t="shared" si="7"/>
        <v>8.8888888888885571</v>
      </c>
    </row>
    <row r="118" spans="7:10" x14ac:dyDescent="0.25">
      <c r="G118" s="8">
        <v>1.9000000000000002E-3</v>
      </c>
      <c r="H118" s="3" cm="1">
        <f t="array" ref="H118">((2*ttotal5)/(3*s_t))*(st_b[[#This Row],[s(tb)]]+(s_t/4))</f>
        <v>0.11777777777777779</v>
      </c>
      <c r="I118" s="3">
        <f t="shared" si="10"/>
        <v>4.4444444444445563E-4</v>
      </c>
      <c r="J118" s="14">
        <f t="shared" si="7"/>
        <v>8.8888888888891131</v>
      </c>
    </row>
    <row r="119" spans="7:10" x14ac:dyDescent="0.25">
      <c r="G119" s="8">
        <v>1.9100000000000002E-3</v>
      </c>
      <c r="H119" s="3" cm="1">
        <f t="array" ref="H119">((2*ttotal5)/(3*s_t))*(st_b[[#This Row],[s(tb)]]+(s_t/4))</f>
        <v>0.11822222222222221</v>
      </c>
      <c r="I119" s="3">
        <f t="shared" si="10"/>
        <v>4.4444444444442788E-4</v>
      </c>
      <c r="J119" s="14">
        <f t="shared" si="7"/>
        <v>8.8888888888885571</v>
      </c>
    </row>
    <row r="120" spans="7:10" x14ac:dyDescent="0.25">
      <c r="G120" s="8">
        <v>1.9200000000000003E-3</v>
      </c>
      <c r="H120" s="3" cm="1">
        <f t="array" ref="H120">((2*ttotal5)/(3*s_t))*(st_b[[#This Row],[s(tb)]]+(s_t/4))</f>
        <v>0.11866666666666668</v>
      </c>
      <c r="I120" s="3">
        <f t="shared" si="10"/>
        <v>4.4444444444446951E-4</v>
      </c>
      <c r="J120" s="14">
        <f t="shared" si="7"/>
        <v>8.8888888888893902</v>
      </c>
    </row>
    <row r="121" spans="7:10" x14ac:dyDescent="0.25">
      <c r="G121" s="8">
        <v>1.9300000000000001E-3</v>
      </c>
      <c r="H121" s="3" cm="1">
        <f t="array" ref="H121">((2*ttotal5)/(3*s_t))*(st_b[[#This Row],[s(tb)]]+(s_t/4))</f>
        <v>0.11911111111111111</v>
      </c>
      <c r="I121" s="3">
        <f t="shared" si="10"/>
        <v>4.4444444444442788E-4</v>
      </c>
      <c r="J121" s="14">
        <f t="shared" si="7"/>
        <v>8.8888888888885571</v>
      </c>
    </row>
    <row r="122" spans="7:10" x14ac:dyDescent="0.25">
      <c r="G122" s="8">
        <v>1.9400000000000001E-3</v>
      </c>
      <c r="H122" s="3" cm="1">
        <f t="array" ref="H122">((2*ttotal5)/(3*s_t))*(st_b[[#This Row],[s(tb)]]+(s_t/4))</f>
        <v>0.11955555555555555</v>
      </c>
      <c r="I122" s="3">
        <f t="shared" si="10"/>
        <v>4.4444444444444176E-4</v>
      </c>
      <c r="J122" s="14">
        <f t="shared" si="7"/>
        <v>8.8888888888888342</v>
      </c>
    </row>
    <row r="123" spans="7:10" x14ac:dyDescent="0.25">
      <c r="G123" s="8">
        <v>1.9500000000000001E-3</v>
      </c>
      <c r="H123" s="3" cm="1">
        <f t="array" ref="H123">((2*ttotal5)/(3*s_t))*(st_b[[#This Row],[s(tb)]]+(s_t/4))</f>
        <v>0.12</v>
      </c>
      <c r="I123" s="3">
        <f t="shared" si="10"/>
        <v>4.4444444444444176E-4</v>
      </c>
      <c r="J123" s="14">
        <f t="shared" si="7"/>
        <v>8.8888888888888342</v>
      </c>
    </row>
    <row r="124" spans="7:10" x14ac:dyDescent="0.25">
      <c r="G124" s="8">
        <v>1.9600000000000004E-3</v>
      </c>
      <c r="H124" s="3" cm="1">
        <f t="array" ref="H124">((2*ttotal5)/(3*s_t))*(st_b[[#This Row],[s(tb)]]+(s_t/4))</f>
        <v>0.12044444444444447</v>
      </c>
      <c r="I124" s="3">
        <f t="shared" si="10"/>
        <v>4.4444444444446951E-4</v>
      </c>
      <c r="J124" s="14">
        <f t="shared" si="7"/>
        <v>8.8888888888893902</v>
      </c>
    </row>
    <row r="125" spans="7:10" x14ac:dyDescent="0.25">
      <c r="G125" s="8">
        <v>1.97E-3</v>
      </c>
      <c r="H125" s="3" cm="1">
        <f t="array" ref="H125">((2*ttotal5)/(3*s_t))*(st_b[[#This Row],[s(tb)]]+(s_t/4))</f>
        <v>0.12088888888888889</v>
      </c>
      <c r="I125" s="3">
        <f t="shared" si="10"/>
        <v>4.4444444444442788E-4</v>
      </c>
      <c r="J125" s="14">
        <f t="shared" si="7"/>
        <v>8.8888888888885571</v>
      </c>
    </row>
    <row r="126" spans="7:10" x14ac:dyDescent="0.25">
      <c r="G126" s="8">
        <v>1.98E-3</v>
      </c>
      <c r="H126" s="3" cm="1">
        <f t="array" ref="H126">((2*ttotal5)/(3*s_t))*(st_b[[#This Row],[s(tb)]]+(s_t/4))</f>
        <v>0.12133333333333332</v>
      </c>
      <c r="I126" s="3">
        <f t="shared" si="10"/>
        <v>4.4444444444442788E-4</v>
      </c>
      <c r="J126" s="14">
        <f t="shared" si="7"/>
        <v>8.8888888888885571</v>
      </c>
    </row>
    <row r="127" spans="7:10" x14ac:dyDescent="0.25">
      <c r="G127" s="8">
        <v>1.99E-3</v>
      </c>
      <c r="H127" s="3" cm="1">
        <f t="array" ref="H127">((2*ttotal5)/(3*s_t))*(st_b[[#This Row],[s(tb)]]+(s_t/4))</f>
        <v>0.12177777777777779</v>
      </c>
      <c r="I127" s="3">
        <f t="shared" si="10"/>
        <v>4.4444444444446951E-4</v>
      </c>
      <c r="J127" s="14">
        <f t="shared" si="7"/>
        <v>8.8888888888893902</v>
      </c>
    </row>
    <row r="128" spans="7:10" x14ac:dyDescent="0.25">
      <c r="G128" s="8">
        <v>2E-3</v>
      </c>
      <c r="H128" s="3" cm="1">
        <f t="array" ref="H128">((2*ttotal5)/(3*s_t))*(st_b[[#This Row],[s(tb)]]+(s_t/4))</f>
        <v>0.1222222222222222</v>
      </c>
      <c r="I128" s="3">
        <f t="shared" si="10"/>
        <v>4.44444444444414E-4</v>
      </c>
      <c r="J128" s="14">
        <f t="shared" si="7"/>
        <v>8.88888888888828</v>
      </c>
    </row>
    <row r="129" spans="7:10" x14ac:dyDescent="0.25">
      <c r="G129" s="8">
        <v>2.0100000000000001E-3</v>
      </c>
      <c r="H129" s="3" cm="1">
        <f t="array" ref="H129">((2*ttotal5)/(3*s_t))*(st_b[[#This Row],[s(tb)]]+(s_t/4))</f>
        <v>0.12266666666666667</v>
      </c>
      <c r="I129" s="3">
        <f t="shared" si="10"/>
        <v>4.4444444444446951E-4</v>
      </c>
      <c r="J129" s="14">
        <f t="shared" si="7"/>
        <v>8.8888888888893902</v>
      </c>
    </row>
    <row r="130" spans="7:10" x14ac:dyDescent="0.25">
      <c r="G130" s="8">
        <v>2.0200000000000001E-3</v>
      </c>
      <c r="H130" s="3" cm="1">
        <f t="array" ref="H130">((2*ttotal5)/(3*s_t))*(st_b[[#This Row],[s(tb)]]+(s_t/4))</f>
        <v>0.1231111111111111</v>
      </c>
      <c r="I130" s="3">
        <f t="shared" si="10"/>
        <v>4.4444444444442788E-4</v>
      </c>
      <c r="J130" s="14">
        <f t="shared" si="7"/>
        <v>8.8888888888885571</v>
      </c>
    </row>
    <row r="131" spans="7:10" x14ac:dyDescent="0.25">
      <c r="G131" s="8">
        <v>2.0300000000000001E-3</v>
      </c>
      <c r="H131" s="3" cm="1">
        <f t="array" ref="H131">((2*ttotal5)/(3*s_t))*(st_b[[#This Row],[s(tb)]]+(s_t/4))</f>
        <v>0.12355555555555557</v>
      </c>
      <c r="I131" s="3">
        <f t="shared" si="10"/>
        <v>4.4444444444446951E-4</v>
      </c>
      <c r="J131" s="14">
        <f t="shared" si="7"/>
        <v>8.8888888888893902</v>
      </c>
    </row>
    <row r="132" spans="7:10" x14ac:dyDescent="0.25">
      <c r="G132" s="8">
        <v>2.0400000000000001E-3</v>
      </c>
      <c r="H132" s="3" cm="1">
        <f t="array" ref="H132">((2*ttotal5)/(3*s_t))*(st_b[[#This Row],[s(tb)]]+(s_t/4))</f>
        <v>0.124</v>
      </c>
      <c r="I132" s="3">
        <f t="shared" si="10"/>
        <v>4.4444444444442788E-4</v>
      </c>
      <c r="J132" s="14">
        <f t="shared" ref="J132:J153" si="12">I132/0.00005</f>
        <v>8.8888888888885571</v>
      </c>
    </row>
    <row r="133" spans="7:10" x14ac:dyDescent="0.25">
      <c r="G133" s="8">
        <v>2.0500000000000002E-3</v>
      </c>
      <c r="H133" s="3" cm="1">
        <f t="array" ref="H133">((2*ttotal5)/(3*s_t))*(st_b[[#This Row],[s(tb)]]+(s_t/4))</f>
        <v>0.12444444444444445</v>
      </c>
      <c r="I133" s="3">
        <f t="shared" ref="I133:I153" si="13">H133-H132</f>
        <v>4.4444444444445563E-4</v>
      </c>
      <c r="J133" s="14">
        <f t="shared" si="12"/>
        <v>8.8888888888891131</v>
      </c>
    </row>
    <row r="134" spans="7:10" x14ac:dyDescent="0.25">
      <c r="G134" s="8">
        <v>2.0600000000000002E-3</v>
      </c>
      <c r="H134" s="3" cm="1">
        <f t="array" ref="H134">((2*ttotal5)/(3*s_t))*(st_b[[#This Row],[s(tb)]]+(s_t/4))</f>
        <v>0.12488888888888888</v>
      </c>
      <c r="I134" s="3">
        <f t="shared" si="13"/>
        <v>4.4444444444442788E-4</v>
      </c>
      <c r="J134" s="14">
        <f t="shared" si="12"/>
        <v>8.8888888888885571</v>
      </c>
    </row>
    <row r="135" spans="7:10" x14ac:dyDescent="0.25">
      <c r="G135" s="8">
        <v>2.0700000000000002E-3</v>
      </c>
      <c r="H135" s="3" cm="1">
        <f t="array" ref="H135">((2*ttotal5)/(3*s_t))*(st_b[[#This Row],[s(tb)]]+(s_t/4))</f>
        <v>0.12533333333333335</v>
      </c>
      <c r="I135" s="3">
        <f t="shared" si="13"/>
        <v>4.4444444444446951E-4</v>
      </c>
      <c r="J135" s="14">
        <f t="shared" si="12"/>
        <v>8.8888888888893902</v>
      </c>
    </row>
    <row r="136" spans="7:10" x14ac:dyDescent="0.25">
      <c r="G136" s="8">
        <v>2.0800000000000003E-3</v>
      </c>
      <c r="H136" s="3" cm="1">
        <f t="array" ref="H136">((2*ttotal5)/(3*s_t))*(st_b[[#This Row],[s(tb)]]+(s_t/4))</f>
        <v>0.12577777777777777</v>
      </c>
      <c r="I136" s="3">
        <f t="shared" si="13"/>
        <v>4.44444444444414E-4</v>
      </c>
      <c r="J136" s="14">
        <f t="shared" si="12"/>
        <v>8.88888888888828</v>
      </c>
    </row>
    <row r="137" spans="7:10" x14ac:dyDescent="0.25">
      <c r="G137" s="8">
        <v>2.0900000000000003E-3</v>
      </c>
      <c r="H137" s="3" cm="1">
        <f t="array" ref="H137">((2*ttotal5)/(3*s_t))*(st_b[[#This Row],[s(tb)]]+(s_t/4))</f>
        <v>0.12622222222222224</v>
      </c>
      <c r="I137" s="3">
        <f t="shared" si="13"/>
        <v>4.4444444444446951E-4</v>
      </c>
      <c r="J137" s="14">
        <f t="shared" si="12"/>
        <v>8.8888888888893902</v>
      </c>
    </row>
    <row r="138" spans="7:10" x14ac:dyDescent="0.25">
      <c r="G138" s="8">
        <v>2.1000000000000003E-3</v>
      </c>
      <c r="H138" s="3" cm="1">
        <f t="array" ref="H138">((2*ttotal5)/(3*s_t))*(st_b[[#This Row],[s(tb)]]+(s_t/4))</f>
        <v>0.12666666666666668</v>
      </c>
      <c r="I138" s="3">
        <f t="shared" si="13"/>
        <v>4.4444444444444176E-4</v>
      </c>
      <c r="J138" s="14">
        <f t="shared" si="12"/>
        <v>8.8888888888888342</v>
      </c>
    </row>
    <row r="139" spans="7:10" x14ac:dyDescent="0.25">
      <c r="G139" s="8">
        <v>2.1100000000000003E-3</v>
      </c>
      <c r="H139" s="3" cm="1">
        <f t="array" ref="H139">((2*ttotal5)/(3*s_t))*(st_b[[#This Row],[s(tb)]]+(s_t/4))</f>
        <v>0.12711111111111112</v>
      </c>
      <c r="I139" s="3">
        <f t="shared" si="13"/>
        <v>4.4444444444444176E-4</v>
      </c>
      <c r="J139" s="14">
        <f t="shared" si="12"/>
        <v>8.8888888888888342</v>
      </c>
    </row>
    <row r="140" spans="7:10" x14ac:dyDescent="0.25">
      <c r="G140" s="8">
        <v>2.1200000000000004E-3</v>
      </c>
      <c r="H140" s="3" cm="1">
        <f t="array" ref="H140">((2*ttotal5)/(3*s_t))*(st_b[[#This Row],[s(tb)]]+(s_t/4))</f>
        <v>0.12755555555555556</v>
      </c>
      <c r="I140" s="3">
        <f t="shared" si="13"/>
        <v>4.4444444444444176E-4</v>
      </c>
      <c r="J140" s="14">
        <f t="shared" si="12"/>
        <v>8.8888888888888342</v>
      </c>
    </row>
    <row r="141" spans="7:10" x14ac:dyDescent="0.25">
      <c r="G141" s="8">
        <v>2.1300000000000004E-3</v>
      </c>
      <c r="H141" s="3" cm="1">
        <f t="array" ref="H141">((2*ttotal5)/(3*s_t))*(st_b[[#This Row],[s(tb)]]+(s_t/4))</f>
        <v>0.12800000000000003</v>
      </c>
      <c r="I141" s="3">
        <f t="shared" si="13"/>
        <v>4.4444444444446951E-4</v>
      </c>
      <c r="J141" s="14">
        <f t="shared" si="12"/>
        <v>8.8888888888893902</v>
      </c>
    </row>
    <row r="142" spans="7:10" x14ac:dyDescent="0.25">
      <c r="G142" s="8">
        <v>2.14E-3</v>
      </c>
      <c r="H142" s="3" cm="1">
        <f t="array" ref="H142">((2*ttotal5)/(3*s_t))*(st_b[[#This Row],[s(tb)]]+(s_t/4))</f>
        <v>0.12844444444444444</v>
      </c>
      <c r="I142" s="3">
        <f t="shared" si="13"/>
        <v>4.44444444444414E-4</v>
      </c>
      <c r="J142" s="14">
        <f t="shared" si="12"/>
        <v>8.88888888888828</v>
      </c>
    </row>
    <row r="143" spans="7:10" x14ac:dyDescent="0.25">
      <c r="G143" s="8">
        <v>2.15E-3</v>
      </c>
      <c r="H143" s="3" cm="1">
        <f t="array" ref="H143">((2*ttotal5)/(3*s_t))*(st_b[[#This Row],[s(tb)]]+(s_t/4))</f>
        <v>0.12888888888888889</v>
      </c>
      <c r="I143" s="3">
        <f t="shared" si="13"/>
        <v>4.4444444444444176E-4</v>
      </c>
      <c r="J143" s="14">
        <f t="shared" si="12"/>
        <v>8.8888888888888342</v>
      </c>
    </row>
    <row r="144" spans="7:10" x14ac:dyDescent="0.25">
      <c r="G144" s="8">
        <v>2.16E-3</v>
      </c>
      <c r="H144" s="3" cm="1">
        <f t="array" ref="H144">((2*ttotal5)/(3*s_t))*(st_b[[#This Row],[s(tb)]]+(s_t/4))</f>
        <v>0.12933333333333333</v>
      </c>
      <c r="I144" s="3">
        <f t="shared" si="13"/>
        <v>4.4444444444444176E-4</v>
      </c>
      <c r="J144" s="14">
        <f t="shared" si="12"/>
        <v>8.8888888888888342</v>
      </c>
    </row>
    <row r="145" spans="7:10" x14ac:dyDescent="0.25">
      <c r="G145" s="8">
        <v>2.1700000000000001E-3</v>
      </c>
      <c r="H145" s="3" cm="1">
        <f t="array" ref="H145">((2*ttotal5)/(3*s_t))*(st_b[[#This Row],[s(tb)]]+(s_t/4))</f>
        <v>0.12977777777777777</v>
      </c>
      <c r="I145" s="3">
        <f t="shared" si="13"/>
        <v>4.4444444444444176E-4</v>
      </c>
      <c r="J145" s="14">
        <f t="shared" si="12"/>
        <v>8.8888888888888342</v>
      </c>
    </row>
    <row r="146" spans="7:10" x14ac:dyDescent="0.25">
      <c r="G146" s="8">
        <v>2.1800000000000001E-3</v>
      </c>
      <c r="H146" s="3" cm="1">
        <f t="array" ref="H146">((2*ttotal5)/(3*s_t))*(st_b[[#This Row],[s(tb)]]+(s_t/4))</f>
        <v>0.13022222222222224</v>
      </c>
      <c r="I146" s="3">
        <f t="shared" si="13"/>
        <v>4.4444444444446951E-4</v>
      </c>
      <c r="J146" s="14">
        <f t="shared" si="12"/>
        <v>8.8888888888893902</v>
      </c>
    </row>
    <row r="147" spans="7:10" x14ac:dyDescent="0.25">
      <c r="G147" s="8">
        <v>2.1900000000000001E-3</v>
      </c>
      <c r="H147" s="3" cm="1">
        <f t="array" ref="H147">((2*ttotal5)/(3*s_t))*(st_b[[#This Row],[s(tb)]]+(s_t/4))</f>
        <v>0.13066666666666665</v>
      </c>
      <c r="I147" s="3">
        <f t="shared" si="13"/>
        <v>4.44444444444414E-4</v>
      </c>
      <c r="J147" s="14">
        <f t="shared" si="12"/>
        <v>8.88888888888828</v>
      </c>
    </row>
    <row r="148" spans="7:10" x14ac:dyDescent="0.25">
      <c r="G148" s="8">
        <v>2.2000000000000001E-3</v>
      </c>
      <c r="H148" s="3" cm="1">
        <f t="array" ref="H148">((2*ttotal5)/(3*s_t))*(st_b[[#This Row],[s(tb)]]+(s_t/4))</f>
        <v>0.13111111111111112</v>
      </c>
      <c r="I148" s="3">
        <f t="shared" si="13"/>
        <v>4.4444444444446951E-4</v>
      </c>
      <c r="J148" s="14">
        <f t="shared" si="12"/>
        <v>8.8888888888893902</v>
      </c>
    </row>
    <row r="149" spans="7:10" x14ac:dyDescent="0.25">
      <c r="G149" s="8">
        <v>2.2100000000000002E-3</v>
      </c>
      <c r="H149" s="3" cm="1">
        <f t="array" ref="H149">((2*ttotal5)/(3*s_t))*(st_b[[#This Row],[s(tb)]]+(s_t/4))</f>
        <v>0.13155555555555554</v>
      </c>
      <c r="I149" s="3">
        <f t="shared" si="13"/>
        <v>4.44444444444414E-4</v>
      </c>
      <c r="J149" s="14">
        <f t="shared" si="12"/>
        <v>8.88888888888828</v>
      </c>
    </row>
    <row r="150" spans="7:10" x14ac:dyDescent="0.25">
      <c r="G150" s="8">
        <v>2.2200000000000002E-3</v>
      </c>
      <c r="H150" s="3" cm="1">
        <f t="array" ref="H150">((2*ttotal5)/(3*s_t))*(st_b[[#This Row],[s(tb)]]+(s_t/4))</f>
        <v>0.13200000000000001</v>
      </c>
      <c r="I150" s="3">
        <f t="shared" si="13"/>
        <v>4.4444444444446951E-4</v>
      </c>
      <c r="J150" s="14">
        <f t="shared" si="12"/>
        <v>8.8888888888893902</v>
      </c>
    </row>
    <row r="151" spans="7:10" x14ac:dyDescent="0.25">
      <c r="G151" s="8">
        <v>2.2300000000000002E-3</v>
      </c>
      <c r="H151" s="3" cm="1">
        <f t="array" ref="H151">((2*ttotal5)/(3*s_t))*(st_b[[#This Row],[s(tb)]]+(s_t/4))</f>
        <v>0.13244444444444445</v>
      </c>
      <c r="I151" s="3">
        <f t="shared" si="13"/>
        <v>4.4444444444444176E-4</v>
      </c>
      <c r="J151" s="14">
        <f t="shared" si="12"/>
        <v>8.8888888888888342</v>
      </c>
    </row>
    <row r="152" spans="7:10" x14ac:dyDescent="0.25">
      <c r="G152" s="8">
        <v>2.2400000000000002E-3</v>
      </c>
      <c r="H152" s="3" cm="1">
        <f t="array" ref="H152">((2*ttotal5)/(3*s_t))*(st_b[[#This Row],[s(tb)]]+(s_t/4))</f>
        <v>0.13288888888888892</v>
      </c>
      <c r="I152" s="3">
        <f t="shared" si="13"/>
        <v>4.4444444444446951E-4</v>
      </c>
      <c r="J152" s="14">
        <f t="shared" si="12"/>
        <v>8.8888888888893902</v>
      </c>
    </row>
    <row r="153" spans="7:10" x14ac:dyDescent="0.25">
      <c r="G153" s="8">
        <v>2.2500000000000003E-3</v>
      </c>
      <c r="H153" s="3" cm="1">
        <f t="array" ref="H153">((2*ttotal5)/(3*s_t))*(st_b[[#This Row],[s(tb)]]+(s_t/4))</f>
        <v>0.13333333333333333</v>
      </c>
      <c r="I153" s="3">
        <f t="shared" si="13"/>
        <v>4.44444444444414E-4</v>
      </c>
      <c r="J153" s="14">
        <f t="shared" si="12"/>
        <v>8.88888888888828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85D25-32AD-46ED-B130-497E34DFF388}">
  <sheetPr codeName="Sheet10"/>
  <dimension ref="A2:P153"/>
  <sheetViews>
    <sheetView workbookViewId="0">
      <selection activeCell="K1" sqref="K1:K1048576"/>
    </sheetView>
  </sheetViews>
  <sheetFormatPr defaultRowHeight="15" x14ac:dyDescent="0.25"/>
  <cols>
    <col min="1" max="1" width="8.42578125" style="2" customWidth="1"/>
    <col min="2" max="2" width="11.5703125" style="3" bestFit="1" customWidth="1"/>
    <col min="3" max="3" width="12.85546875" customWidth="1"/>
    <col min="4" max="4" width="9.5703125" style="14" bestFit="1" customWidth="1"/>
    <col min="5" max="5" width="9.5703125" style="14" customWidth="1"/>
    <col min="7" max="7" width="10.28515625" style="8" customWidth="1"/>
    <col min="8" max="8" width="11.28515625" style="3" bestFit="1" customWidth="1"/>
    <col min="9" max="9" width="11.28515625" bestFit="1" customWidth="1"/>
    <col min="10" max="10" width="11.28515625" style="14" bestFit="1" customWidth="1"/>
    <col min="11" max="11" width="11.28515625" style="14" customWidth="1"/>
    <col min="13" max="13" width="10.28515625" style="8" customWidth="1"/>
    <col min="14" max="14" width="11.28515625" style="3" bestFit="1" customWidth="1"/>
    <col min="15" max="15" width="11.28515625" bestFit="1" customWidth="1"/>
    <col min="16" max="16" width="11.7109375" style="14" customWidth="1"/>
  </cols>
  <sheetData>
    <row r="2" spans="1:16" s="15" customFormat="1" x14ac:dyDescent="0.25">
      <c r="A2" s="15" t="s">
        <v>34</v>
      </c>
      <c r="B2" s="3" t="s">
        <v>29</v>
      </c>
      <c r="C2" s="15" t="s">
        <v>55</v>
      </c>
      <c r="D2" s="15" t="s">
        <v>56</v>
      </c>
      <c r="G2" s="15" t="s">
        <v>35</v>
      </c>
      <c r="H2" s="13" t="s">
        <v>29</v>
      </c>
      <c r="I2" s="15" t="s">
        <v>55</v>
      </c>
      <c r="J2" s="17" t="s">
        <v>56</v>
      </c>
      <c r="K2" s="17"/>
      <c r="M2" s="15" t="s">
        <v>36</v>
      </c>
      <c r="N2" s="13" t="s">
        <v>29</v>
      </c>
      <c r="O2" s="15" t="s">
        <v>55</v>
      </c>
      <c r="P2" s="17" t="s">
        <v>56</v>
      </c>
    </row>
    <row r="3" spans="1:16" x14ac:dyDescent="0.25">
      <c r="A3" s="2">
        <v>0</v>
      </c>
      <c r="B3" s="3" cm="1">
        <f t="array" ref="B3">SQRT((4*POWER(ttotal6,2)*st_a[[#This Row],[s(ta)]])/(9*s_t))</f>
        <v>0</v>
      </c>
      <c r="C3" s="3">
        <v>0</v>
      </c>
      <c r="D3" s="14">
        <f>C3/0.00005</f>
        <v>0</v>
      </c>
      <c r="G3" s="8">
        <v>7.5000000000000002E-4</v>
      </c>
      <c r="H3" s="3" cm="1">
        <f t="array" ref="H3">((2*ttotal6)/(3*s_t))*(st_b[[#This Row],[s(tb)]]+(s_t/4))</f>
        <v>5.5555555555555546E-2</v>
      </c>
      <c r="I3" s="3">
        <f>C78</f>
        <v>3.7161323795799339E-4</v>
      </c>
      <c r="J3" s="14">
        <f>I3/0.00005</f>
        <v>7.4322647591598674</v>
      </c>
      <c r="M3" s="8">
        <v>2.2500000000000003E-3</v>
      </c>
      <c r="N3" s="3">
        <f>(-INDEX(Overview[b],6)+SQRT(POWER(INDEX(Overview[b],6),2)-(4*INDEX(Overview[a],6)*st_c[[#This Row],[c]])))/(2*INDEX(Overview[a],6))</f>
        <v>0.11111111111111106</v>
      </c>
      <c r="O3" s="3">
        <f>I153</f>
        <v>3.7037037037035425E-4</v>
      </c>
      <c r="P3" s="14">
        <f>O3/0.00005</f>
        <v>7.407407407407085</v>
      </c>
    </row>
    <row r="4" spans="1:16" x14ac:dyDescent="0.25">
      <c r="A4" s="2">
        <v>1.0000000000000001E-5</v>
      </c>
      <c r="B4" s="3" cm="1">
        <f t="array" ref="B4">SQRT((4*POWER(ttotal6,2)*st_a[[#This Row],[s(ta)]])/(9*s_t))</f>
        <v>6.4150029909958413E-3</v>
      </c>
      <c r="C4" s="3">
        <f>B4-B3</f>
        <v>6.4150029909958413E-3</v>
      </c>
      <c r="D4" s="14">
        <f t="shared" ref="D4:D67" si="0">C4/0.00005</f>
        <v>128.30005981991681</v>
      </c>
      <c r="G4" s="8">
        <v>7.6000000000000004E-4</v>
      </c>
      <c r="H4" s="3" cm="1">
        <f t="array" ref="H4">((2*ttotal6)/(3*s_t))*(st_b[[#This Row],[s(tb)]]+(s_t/4))</f>
        <v>5.5925925925925921E-2</v>
      </c>
      <c r="I4" s="3">
        <f>H4-H3</f>
        <v>3.7037037037037507E-4</v>
      </c>
      <c r="J4" s="14">
        <f t="shared" ref="J4:J67" si="1">I4/0.00005</f>
        <v>7.4074074074075007</v>
      </c>
      <c r="M4" s="8">
        <v>2.2600000000000003E-3</v>
      </c>
      <c r="N4" s="3">
        <f>(-INDEX(Overview[b],6)+SQRT(POWER(INDEX(Overview[b],6),2)-(4*INDEX(Overview[a],6)*st_c[[#This Row],[c]])))/(2*INDEX(Overview[a],6))</f>
        <v>0.11148272434906903</v>
      </c>
      <c r="O4" s="3">
        <f>N4-N3</f>
        <v>3.7161323795796564E-4</v>
      </c>
      <c r="P4" s="14">
        <f t="shared" ref="P4:P67" si="2">O4/0.00005</f>
        <v>7.4322647591593123</v>
      </c>
    </row>
    <row r="5" spans="1:16" x14ac:dyDescent="0.25">
      <c r="A5" s="2">
        <v>2.0000000000000002E-5</v>
      </c>
      <c r="B5" s="3" cm="1">
        <f t="array" ref="B5">SQRT((4*POWER(ttotal6,2)*st_a[[#This Row],[s(ta)]])/(9*s_t))</f>
        <v>9.0721842325302889E-3</v>
      </c>
      <c r="C5" s="3">
        <f t="shared" ref="C5:C68" si="3">B5-B4</f>
        <v>2.6571812415344476E-3</v>
      </c>
      <c r="D5" s="14">
        <f t="shared" si="0"/>
        <v>53.14362483068895</v>
      </c>
      <c r="G5" s="8">
        <v>7.7000000000000007E-4</v>
      </c>
      <c r="H5" s="3" cm="1">
        <f t="array" ref="H5">((2*ttotal6)/(3*s_t))*(st_b[[#This Row],[s(tb)]]+(s_t/4))</f>
        <v>5.6296296296296289E-2</v>
      </c>
      <c r="I5" s="3">
        <f t="shared" ref="I5:I68" si="4">H5-H4</f>
        <v>3.7037037037036813E-4</v>
      </c>
      <c r="J5" s="14">
        <f t="shared" si="1"/>
        <v>7.4074074074073621</v>
      </c>
      <c r="M5" s="8">
        <v>2.2700000000000003E-3</v>
      </c>
      <c r="N5" s="3">
        <f>(-INDEX(Overview[b],6)+SQRT(POWER(INDEX(Overview[b],6),2)-(4*INDEX(Overview[a],6)*st_c[[#This Row],[c]])))/(2*INDEX(Overview[a],6))</f>
        <v>0.11185685708537497</v>
      </c>
      <c r="O5" s="3">
        <f t="shared" ref="O5:O68" si="5">N5-N4</f>
        <v>3.7413273630594601E-4</v>
      </c>
      <c r="P5" s="14">
        <f t="shared" si="2"/>
        <v>7.4826547261189198</v>
      </c>
    </row>
    <row r="6" spans="1:16" x14ac:dyDescent="0.25">
      <c r="A6" s="2">
        <v>3.0000000000000004E-5</v>
      </c>
      <c r="B6" s="3" cm="1">
        <f t="array" ref="B6">SQRT((4*POWER(ttotal6,2)*st_a[[#This Row],[s(ta)]])/(9*s_t))</f>
        <v>1.1111111111111113E-2</v>
      </c>
      <c r="C6" s="3">
        <f t="shared" si="3"/>
        <v>2.0389268785808243E-3</v>
      </c>
      <c r="D6" s="14">
        <f t="shared" si="0"/>
        <v>40.778537571616482</v>
      </c>
      <c r="G6" s="8">
        <v>7.8000000000000009E-4</v>
      </c>
      <c r="H6" s="3" cm="1">
        <f t="array" ref="H6">((2*ttotal6)/(3*s_t))*(st_b[[#This Row],[s(tb)]]+(s_t/4))</f>
        <v>5.6666666666666664E-2</v>
      </c>
      <c r="I6" s="3">
        <f t="shared" si="4"/>
        <v>3.7037037037037507E-4</v>
      </c>
      <c r="J6" s="14">
        <f t="shared" si="1"/>
        <v>7.4074074074075007</v>
      </c>
      <c r="M6" s="8">
        <v>2.2800000000000003E-3</v>
      </c>
      <c r="N6" s="3">
        <f>(-INDEX(Overview[b],6)+SQRT(POWER(INDEX(Overview[b],6),2)-(4*INDEX(Overview[a],6)*st_c[[#This Row],[c]])))/(2*INDEX(Overview[a],6))</f>
        <v>0.11223356127148491</v>
      </c>
      <c r="O6" s="3">
        <f t="shared" si="5"/>
        <v>3.767041861099385E-4</v>
      </c>
      <c r="P6" s="14">
        <f t="shared" si="2"/>
        <v>7.53408372219877</v>
      </c>
    </row>
    <row r="7" spans="1:16" x14ac:dyDescent="0.25">
      <c r="A7" s="2">
        <v>4.0000000000000003E-5</v>
      </c>
      <c r="B7" s="3" cm="1">
        <f t="array" ref="B7">SQRT((4*POWER(ttotal6,2)*st_a[[#This Row],[s(ta)]])/(9*s_t))</f>
        <v>1.2830005981991683E-2</v>
      </c>
      <c r="C7" s="3">
        <f t="shared" si="3"/>
        <v>1.7188948708805694E-3</v>
      </c>
      <c r="D7" s="14">
        <f t="shared" si="0"/>
        <v>34.377897417611386</v>
      </c>
      <c r="G7" s="8">
        <v>7.9000000000000001E-4</v>
      </c>
      <c r="H7" s="3" cm="1">
        <f t="array" ref="H7">((2*ttotal6)/(3*s_t))*(st_b[[#This Row],[s(tb)]]+(s_t/4))</f>
        <v>5.7037037037037032E-2</v>
      </c>
      <c r="I7" s="3">
        <f t="shared" si="4"/>
        <v>3.7037037037036813E-4</v>
      </c>
      <c r="J7" s="14">
        <f t="shared" si="1"/>
        <v>7.4074074074073621</v>
      </c>
      <c r="M7" s="8">
        <v>2.2900000000000004E-3</v>
      </c>
      <c r="N7" s="3">
        <f>(-INDEX(Overview[b],6)+SQRT(POWER(INDEX(Overview[b],6),2)-(4*INDEX(Overview[a],6)*st_c[[#This Row],[c]])))/(2*INDEX(Overview[a],6))</f>
        <v>0.11261289066916134</v>
      </c>
      <c r="O7" s="3">
        <f t="shared" si="5"/>
        <v>3.7932939767643115E-4</v>
      </c>
      <c r="P7" s="14">
        <f t="shared" si="2"/>
        <v>7.5865879535286229</v>
      </c>
    </row>
    <row r="8" spans="1:16" x14ac:dyDescent="0.25">
      <c r="A8" s="2">
        <v>5.0000000000000002E-5</v>
      </c>
      <c r="B8" s="3" cm="1">
        <f t="array" ref="B8">SQRT((4*POWER(ttotal6,2)*st_a[[#This Row],[s(ta)]])/(9*s_t))</f>
        <v>1.4344382763731175E-2</v>
      </c>
      <c r="C8" s="3">
        <f t="shared" si="3"/>
        <v>1.5143767817394922E-3</v>
      </c>
      <c r="D8" s="14">
        <f t="shared" si="0"/>
        <v>30.28753563478984</v>
      </c>
      <c r="G8" s="8">
        <v>8.0000000000000004E-4</v>
      </c>
      <c r="H8" s="3" cm="1">
        <f t="array" ref="H8">((2*ttotal6)/(3*s_t))*(st_b[[#This Row],[s(tb)]]+(s_t/4))</f>
        <v>5.7407407407407407E-2</v>
      </c>
      <c r="I8" s="3">
        <f t="shared" si="4"/>
        <v>3.7037037037037507E-4</v>
      </c>
      <c r="J8" s="14">
        <f t="shared" si="1"/>
        <v>7.4074074074075007</v>
      </c>
      <c r="M8" s="8">
        <v>2.3000000000000004E-3</v>
      </c>
      <c r="N8" s="3">
        <f>(-INDEX(Overview[b],6)+SQRT(POWER(INDEX(Overview[b],6),2)-(4*INDEX(Overview[a],6)*st_c[[#This Row],[c]])))/(2*INDEX(Overview[a],6))</f>
        <v>0.11299490094003906</v>
      </c>
      <c r="O8" s="3">
        <f t="shared" si="5"/>
        <v>3.8201027087771122E-4</v>
      </c>
      <c r="P8" s="14">
        <f t="shared" si="2"/>
        <v>7.640205417554224</v>
      </c>
    </row>
    <row r="9" spans="1:16" x14ac:dyDescent="0.25">
      <c r="A9" s="2">
        <v>6.0000000000000008E-5</v>
      </c>
      <c r="B9" s="3" cm="1">
        <f t="array" ref="B9">SQRT((4*POWER(ttotal6,2)*st_a[[#This Row],[s(ta)]])/(9*s_t))</f>
        <v>1.5713484026367724E-2</v>
      </c>
      <c r="C9" s="3">
        <f t="shared" si="3"/>
        <v>1.369101262636549E-3</v>
      </c>
      <c r="D9" s="14">
        <f t="shared" si="0"/>
        <v>27.38202525273098</v>
      </c>
      <c r="G9" s="8">
        <v>8.1000000000000006E-4</v>
      </c>
      <c r="H9" s="3" cm="1">
        <f t="array" ref="H9">((2*ttotal6)/(3*s_t))*(st_b[[#This Row],[s(tb)]]+(s_t/4))</f>
        <v>5.7777777777777775E-2</v>
      </c>
      <c r="I9" s="3">
        <f t="shared" si="4"/>
        <v>3.7037037037036813E-4</v>
      </c>
      <c r="J9" s="14">
        <f t="shared" si="1"/>
        <v>7.4074074074073621</v>
      </c>
      <c r="M9" s="8">
        <v>2.31E-3</v>
      </c>
      <c r="N9" s="3">
        <f>(-INDEX(Overview[b],6)+SQRT(POWER(INDEX(Overview[b],6),2)-(4*INDEX(Overview[a],6)*st_c[[#This Row],[c]])))/(2*INDEX(Overview[a],6))</f>
        <v>0.1133796497409697</v>
      </c>
      <c r="O9" s="3">
        <f t="shared" si="5"/>
        <v>3.8474880093064545E-4</v>
      </c>
      <c r="P9" s="14">
        <f t="shared" si="2"/>
        <v>7.694976018612909</v>
      </c>
    </row>
    <row r="10" spans="1:16" x14ac:dyDescent="0.25">
      <c r="A10" s="2">
        <v>7.0000000000000007E-5</v>
      </c>
      <c r="B10" s="3" cm="1">
        <f t="array" ref="B10">SQRT((4*POWER(ttotal6,2)*st_a[[#This Row],[s(ta)]])/(9*s_t))</f>
        <v>1.697250257391052E-2</v>
      </c>
      <c r="C10" s="3">
        <f t="shared" si="3"/>
        <v>1.2590185475427965E-3</v>
      </c>
      <c r="D10" s="14">
        <f t="shared" si="0"/>
        <v>25.180370950855927</v>
      </c>
      <c r="G10" s="8">
        <v>8.2000000000000009E-4</v>
      </c>
      <c r="H10" s="3" cm="1">
        <f t="array" ref="H10">((2*ttotal6)/(3*s_t))*(st_b[[#This Row],[s(tb)]]+(s_t/4))</f>
        <v>5.8148148148148143E-2</v>
      </c>
      <c r="I10" s="3">
        <f t="shared" si="4"/>
        <v>3.7037037037036813E-4</v>
      </c>
      <c r="J10" s="14">
        <f t="shared" si="1"/>
        <v>7.4074074074073621</v>
      </c>
      <c r="M10" s="8">
        <v>2.32E-3</v>
      </c>
      <c r="N10" s="3">
        <f>(-INDEX(Overview[b],6)+SQRT(POWER(INDEX(Overview[b],6),2)-(4*INDEX(Overview[a],6)*st_c[[#This Row],[c]])))/(2*INDEX(Overview[a],6))</f>
        <v>0.11376719682560846</v>
      </c>
      <c r="O10" s="3">
        <f t="shared" si="5"/>
        <v>3.8754708463875631E-4</v>
      </c>
      <c r="P10" s="14">
        <f t="shared" si="2"/>
        <v>7.7509416927751262</v>
      </c>
    </row>
    <row r="11" spans="1:16" x14ac:dyDescent="0.25">
      <c r="A11" s="2">
        <v>8.0000000000000007E-5</v>
      </c>
      <c r="B11" s="3" cm="1">
        <f t="array" ref="B11">SQRT((4*POWER(ttotal6,2)*st_a[[#This Row],[s(ta)]])/(9*s_t))</f>
        <v>1.8144368465060578E-2</v>
      </c>
      <c r="C11" s="3">
        <f t="shared" si="3"/>
        <v>1.1718658911500576E-3</v>
      </c>
      <c r="D11" s="14">
        <f t="shared" si="0"/>
        <v>23.437317823001152</v>
      </c>
      <c r="G11" s="8">
        <v>8.3000000000000012E-4</v>
      </c>
      <c r="H11" s="3" cm="1">
        <f t="array" ref="H11">((2*ttotal6)/(3*s_t))*(st_b[[#This Row],[s(tb)]]+(s_t/4))</f>
        <v>5.8518518518518518E-2</v>
      </c>
      <c r="I11" s="3">
        <f t="shared" si="4"/>
        <v>3.7037037037037507E-4</v>
      </c>
      <c r="J11" s="14">
        <f t="shared" si="1"/>
        <v>7.4074074074075007</v>
      </c>
      <c r="M11" s="8">
        <v>2.33E-3</v>
      </c>
      <c r="N11" s="3">
        <f>(-INDEX(Overview[b],6)+SQRT(POWER(INDEX(Overview[b],6),2)-(4*INDEX(Overview[a],6)*st_c[[#This Row],[c]])))/(2*INDEX(Overview[a],6))</f>
        <v>0.11415760415274875</v>
      </c>
      <c r="O11" s="3">
        <f t="shared" si="5"/>
        <v>3.9040732714029636E-4</v>
      </c>
      <c r="P11" s="14">
        <f t="shared" si="2"/>
        <v>7.8081465428059271</v>
      </c>
    </row>
    <row r="12" spans="1:16" x14ac:dyDescent="0.25">
      <c r="A12" s="2">
        <v>9.0000000000000006E-5</v>
      </c>
      <c r="B12" s="3" cm="1">
        <f t="array" ref="B12">SQRT((4*POWER(ttotal6,2)*st_a[[#This Row],[s(ta)]])/(9*s_t))</f>
        <v>1.9245008972987525E-2</v>
      </c>
      <c r="C12" s="3">
        <f t="shared" si="3"/>
        <v>1.100640507926947E-3</v>
      </c>
      <c r="D12" s="14">
        <f t="shared" si="0"/>
        <v>22.01281015853894</v>
      </c>
      <c r="G12" s="8">
        <v>8.4000000000000003E-4</v>
      </c>
      <c r="H12" s="3" cm="1">
        <f t="array" ref="H12">((2*ttotal6)/(3*s_t))*(st_b[[#This Row],[s(tb)]]+(s_t/4))</f>
        <v>5.888888888888888E-2</v>
      </c>
      <c r="I12" s="3">
        <f t="shared" si="4"/>
        <v>3.7037037037036119E-4</v>
      </c>
      <c r="J12" s="14">
        <f t="shared" si="1"/>
        <v>7.4074074074072236</v>
      </c>
      <c r="M12" s="8">
        <v>2.3400000000000001E-3</v>
      </c>
      <c r="N12" s="3">
        <f>(-INDEX(Overview[b],6)+SQRT(POWER(INDEX(Overview[b],6),2)-(4*INDEX(Overview[a],6)*st_c[[#This Row],[c]])))/(2*INDEX(Overview[a],6))</f>
        <v>0.11455093600196183</v>
      </c>
      <c r="O12" s="3">
        <f t="shared" si="5"/>
        <v>3.9333184921307163E-4</v>
      </c>
      <c r="P12" s="14">
        <f t="shared" si="2"/>
        <v>7.8666369842614321</v>
      </c>
    </row>
    <row r="13" spans="1:16" x14ac:dyDescent="0.25">
      <c r="A13" s="2">
        <v>1E-4</v>
      </c>
      <c r="B13" s="3" cm="1">
        <f t="array" ref="B13">SQRT((4*POWER(ttotal6,2)*st_a[[#This Row],[s(ta)]])/(9*s_t))</f>
        <v>2.0286020648339488E-2</v>
      </c>
      <c r="C13" s="3">
        <f t="shared" si="3"/>
        <v>1.0410116753519633E-3</v>
      </c>
      <c r="D13" s="14">
        <f t="shared" si="0"/>
        <v>20.820233507039266</v>
      </c>
      <c r="G13" s="8">
        <v>8.5000000000000006E-4</v>
      </c>
      <c r="H13" s="3" cm="1">
        <f t="array" ref="H13">((2*ttotal6)/(3*s_t))*(st_b[[#This Row],[s(tb)]]+(s_t/4))</f>
        <v>5.9259259259259255E-2</v>
      </c>
      <c r="I13" s="3">
        <f t="shared" si="4"/>
        <v>3.7037037037037507E-4</v>
      </c>
      <c r="J13" s="14">
        <f t="shared" si="1"/>
        <v>7.4074074074075007</v>
      </c>
      <c r="M13" s="8">
        <v>2.3500000000000001E-3</v>
      </c>
      <c r="N13" s="3">
        <f>(-INDEX(Overview[b],6)+SQRT(POWER(INDEX(Overview[b],6),2)-(4*INDEX(Overview[a],6)*st_c[[#This Row],[c]])))/(2*INDEX(Overview[a],6))</f>
        <v>0.11494725909715198</v>
      </c>
      <c r="O13" s="3">
        <f t="shared" si="5"/>
        <v>3.9632309519015141E-4</v>
      </c>
      <c r="P13" s="14">
        <f t="shared" si="2"/>
        <v>7.9264619038030277</v>
      </c>
    </row>
    <row r="14" spans="1:16" x14ac:dyDescent="0.25">
      <c r="A14" s="2">
        <v>1.1E-4</v>
      </c>
      <c r="B14" s="3" cm="1">
        <f t="array" ref="B14">SQRT((4*POWER(ttotal6,2)*st_a[[#This Row],[s(ta)]])/(9*s_t))</f>
        <v>2.1276157950140848E-2</v>
      </c>
      <c r="C14" s="3">
        <f t="shared" si="3"/>
        <v>9.9013730180136025E-4</v>
      </c>
      <c r="D14" s="14">
        <f t="shared" si="0"/>
        <v>19.802746036027205</v>
      </c>
      <c r="G14" s="8">
        <v>8.6000000000000009E-4</v>
      </c>
      <c r="H14" s="3" cm="1">
        <f t="array" ref="H14">((2*ttotal6)/(3*s_t))*(st_b[[#This Row],[s(tb)]]+(s_t/4))</f>
        <v>5.9629629629629623E-2</v>
      </c>
      <c r="I14" s="3">
        <f t="shared" si="4"/>
        <v>3.7037037037036813E-4</v>
      </c>
      <c r="J14" s="14">
        <f t="shared" si="1"/>
        <v>7.4074074074073621</v>
      </c>
      <c r="M14" s="8">
        <v>2.3600000000000001E-3</v>
      </c>
      <c r="N14" s="3">
        <f>(-INDEX(Overview[b],6)+SQRT(POWER(INDEX(Overview[b],6),2)-(4*INDEX(Overview[a],6)*st_c[[#This Row],[c]])))/(2*INDEX(Overview[a],6))</f>
        <v>0.11534664273869986</v>
      </c>
      <c r="O14" s="3">
        <f t="shared" si="5"/>
        <v>3.9938364154788741E-4</v>
      </c>
      <c r="P14" s="14">
        <f t="shared" si="2"/>
        <v>7.9876728309577478</v>
      </c>
    </row>
    <row r="15" spans="1:16" x14ac:dyDescent="0.25">
      <c r="A15" s="2">
        <v>1.2000000000000002E-4</v>
      </c>
      <c r="B15" s="3" cm="1">
        <f t="array" ref="B15">SQRT((4*POWER(ttotal6,2)*st_a[[#This Row],[s(ta)]])/(9*s_t))</f>
        <v>2.2222222222222227E-2</v>
      </c>
      <c r="C15" s="3">
        <f t="shared" si="3"/>
        <v>9.4606427208137819E-4</v>
      </c>
      <c r="D15" s="14">
        <f t="shared" si="0"/>
        <v>18.921285441627564</v>
      </c>
      <c r="G15" s="8">
        <v>8.7000000000000011E-4</v>
      </c>
      <c r="H15" s="3" cm="1">
        <f t="array" ref="H15">((2*ttotal6)/(3*s_t))*(st_b[[#This Row],[s(tb)]]+(s_t/4))</f>
        <v>0.06</v>
      </c>
      <c r="I15" s="3">
        <f t="shared" si="4"/>
        <v>3.7037037037037507E-4</v>
      </c>
      <c r="J15" s="14">
        <f t="shared" si="1"/>
        <v>7.4074074074075007</v>
      </c>
      <c r="M15" s="8">
        <v>2.3700000000000001E-3</v>
      </c>
      <c r="N15" s="3">
        <f>(-INDEX(Overview[b],6)+SQRT(POWER(INDEX(Overview[b],6),2)-(4*INDEX(Overview[a],6)*st_c[[#This Row],[c]])))/(2*INDEX(Overview[a],6))</f>
        <v>0.11574915894493507</v>
      </c>
      <c r="O15" s="3">
        <f t="shared" si="5"/>
        <v>4.0251620623520112E-4</v>
      </c>
      <c r="P15" s="14">
        <f t="shared" si="2"/>
        <v>8.0503241247040229</v>
      </c>
    </row>
    <row r="16" spans="1:16" x14ac:dyDescent="0.25">
      <c r="A16" s="2">
        <v>1.3000000000000002E-4</v>
      </c>
      <c r="B16" s="3" cm="1">
        <f t="array" ref="B16">SQRT((4*POWER(ttotal6,2)*st_a[[#This Row],[s(ta)]])/(9*s_t))</f>
        <v>2.3129622216290367E-2</v>
      </c>
      <c r="C16" s="3">
        <f t="shared" si="3"/>
        <v>9.0739999406814001E-4</v>
      </c>
      <c r="D16" s="14">
        <f t="shared" si="0"/>
        <v>18.1479998813628</v>
      </c>
      <c r="G16" s="8">
        <v>8.8000000000000003E-4</v>
      </c>
      <c r="H16" s="3" cm="1">
        <f t="array" ref="H16">((2*ttotal6)/(3*s_t))*(st_b[[#This Row],[s(tb)]]+(s_t/4))</f>
        <v>6.0370370370370359E-2</v>
      </c>
      <c r="I16" s="3">
        <f t="shared" si="4"/>
        <v>3.7037037037036119E-4</v>
      </c>
      <c r="J16" s="14">
        <f t="shared" si="1"/>
        <v>7.4074074074072236</v>
      </c>
      <c r="M16" s="8">
        <v>2.3800000000000002E-3</v>
      </c>
      <c r="N16" s="3">
        <f>(-INDEX(Overview[b],6)+SQRT(POWER(INDEX(Overview[b],6),2)-(4*INDEX(Overview[a],6)*st_c[[#This Row],[c]])))/(2*INDEX(Overview[a],6))</f>
        <v>0.11615488260375602</v>
      </c>
      <c r="O16" s="3">
        <f t="shared" si="5"/>
        <v>4.0572365882095285E-4</v>
      </c>
      <c r="P16" s="14">
        <f t="shared" si="2"/>
        <v>8.1144731764190574</v>
      </c>
    </row>
    <row r="17" spans="1:16" x14ac:dyDescent="0.25">
      <c r="A17" s="2">
        <v>1.4000000000000001E-4</v>
      </c>
      <c r="B17" s="3" cm="1">
        <f t="array" ref="B17">SQRT((4*POWER(ttotal6,2)*st_a[[#This Row],[s(ta)]])/(9*s_t))</f>
        <v>2.4002743327436519E-2</v>
      </c>
      <c r="C17" s="3">
        <f t="shared" si="3"/>
        <v>8.7312111114615232E-4</v>
      </c>
      <c r="D17" s="14">
        <f t="shared" si="0"/>
        <v>17.462422222923045</v>
      </c>
      <c r="G17" s="8">
        <v>8.9000000000000006E-4</v>
      </c>
      <c r="H17" s="3" cm="1">
        <f t="array" ref="H17">((2*ttotal6)/(3*s_t))*(st_b[[#This Row],[s(tb)]]+(s_t/4))</f>
        <v>6.0740740740740727E-2</v>
      </c>
      <c r="I17" s="3">
        <f t="shared" si="4"/>
        <v>3.7037037037036813E-4</v>
      </c>
      <c r="J17" s="14">
        <f t="shared" si="1"/>
        <v>7.4074074074073621</v>
      </c>
      <c r="M17" s="8">
        <v>2.3900000000000002E-3</v>
      </c>
      <c r="N17" s="3">
        <f>(-INDEX(Overview[b],6)+SQRT(POWER(INDEX(Overview[b],6),2)-(4*INDEX(Overview[a],6)*st_c[[#This Row],[c]])))/(2*INDEX(Overview[a],6))</f>
        <v>0.11656389163530108</v>
      </c>
      <c r="O17" s="3">
        <f t="shared" si="5"/>
        <v>4.0900903154506008E-4</v>
      </c>
      <c r="P17" s="14">
        <f t="shared" si="2"/>
        <v>8.1801806309012015</v>
      </c>
    </row>
    <row r="18" spans="1:16" x14ac:dyDescent="0.25">
      <c r="A18" s="2">
        <v>1.5000000000000001E-4</v>
      </c>
      <c r="B18" s="3" cm="1">
        <f t="array" ref="B18">SQRT((4*POWER(ttotal6,2)*st_a[[#This Row],[s(ta)]])/(9*s_t))</f>
        <v>2.4845199749997663E-2</v>
      </c>
      <c r="C18" s="3">
        <f t="shared" si="3"/>
        <v>8.4245642256114417E-4</v>
      </c>
      <c r="D18" s="14">
        <f t="shared" si="0"/>
        <v>16.849128451222882</v>
      </c>
      <c r="G18" s="8">
        <v>9.0000000000000008E-4</v>
      </c>
      <c r="H18" s="3" cm="1">
        <f t="array" ref="H18">((2*ttotal6)/(3*s_t))*(st_b[[#This Row],[s(tb)]]+(s_t/4))</f>
        <v>6.1111111111111102E-2</v>
      </c>
      <c r="I18" s="3">
        <f t="shared" si="4"/>
        <v>3.7037037037037507E-4</v>
      </c>
      <c r="J18" s="14">
        <f t="shared" si="1"/>
        <v>7.4074074074075007</v>
      </c>
      <c r="M18" s="8">
        <v>2.4000000000000002E-3</v>
      </c>
      <c r="N18" s="3">
        <f>(-INDEX(Overview[b],6)+SQRT(POWER(INDEX(Overview[b],6),2)-(4*INDEX(Overview[a],6)*st_c[[#This Row],[c]])))/(2*INDEX(Overview[a],6))</f>
        <v>0.1169762671666713</v>
      </c>
      <c r="O18" s="3">
        <f t="shared" si="5"/>
        <v>4.1237553137021821E-4</v>
      </c>
      <c r="P18" s="14">
        <f t="shared" si="2"/>
        <v>8.2475106274043632</v>
      </c>
    </row>
    <row r="19" spans="1:16" x14ac:dyDescent="0.25">
      <c r="A19" s="2">
        <v>1.6000000000000001E-4</v>
      </c>
      <c r="B19" s="3" cm="1">
        <f t="array" ref="B19">SQRT((4*POWER(ttotal6,2)*st_a[[#This Row],[s(ta)]])/(9*s_t))</f>
        <v>2.5660011963983365E-2</v>
      </c>
      <c r="C19" s="3">
        <f t="shared" si="3"/>
        <v>8.1481221398570225E-4</v>
      </c>
      <c r="D19" s="14">
        <f t="shared" si="0"/>
        <v>16.296244279714045</v>
      </c>
      <c r="G19" s="8">
        <v>9.1000000000000011E-4</v>
      </c>
      <c r="H19" s="3" cm="1">
        <f t="array" ref="H19">((2*ttotal6)/(3*s_t))*(st_b[[#This Row],[s(tb)]]+(s_t/4))</f>
        <v>6.148148148148147E-2</v>
      </c>
      <c r="I19" s="3">
        <f t="shared" si="4"/>
        <v>3.7037037037036813E-4</v>
      </c>
      <c r="J19" s="14">
        <f t="shared" si="1"/>
        <v>7.4074074074073621</v>
      </c>
      <c r="M19" s="8">
        <v>2.4100000000000002E-3</v>
      </c>
      <c r="N19" s="3">
        <f>(-INDEX(Overview[b],6)+SQRT(POWER(INDEX(Overview[b],6),2)-(4*INDEX(Overview[a],6)*st_c[[#This Row],[c]])))/(2*INDEX(Overview[a],6))</f>
        <v>0.11739209371981453</v>
      </c>
      <c r="O19" s="3">
        <f t="shared" si="5"/>
        <v>4.1582655314323369E-4</v>
      </c>
      <c r="P19" s="14">
        <f t="shared" si="2"/>
        <v>8.3165310628646729</v>
      </c>
    </row>
    <row r="20" spans="1:16" x14ac:dyDescent="0.25">
      <c r="A20" s="2">
        <v>1.7000000000000001E-4</v>
      </c>
      <c r="B20" s="3" cm="1">
        <f t="array" ref="B20">SQRT((4*POWER(ttotal6,2)*st_a[[#This Row],[s(ta)]])/(9*s_t))</f>
        <v>2.6449734920529076E-2</v>
      </c>
      <c r="C20" s="3">
        <f t="shared" si="3"/>
        <v>7.8972295654571034E-4</v>
      </c>
      <c r="D20" s="14">
        <f t="shared" si="0"/>
        <v>15.794459130914206</v>
      </c>
      <c r="G20" s="8">
        <v>9.2000000000000003E-4</v>
      </c>
      <c r="H20" s="3" cm="1">
        <f t="array" ref="H20">((2*ttotal6)/(3*s_t))*(st_b[[#This Row],[s(tb)]]+(s_t/4))</f>
        <v>6.1851851851851845E-2</v>
      </c>
      <c r="I20" s="3">
        <f t="shared" si="4"/>
        <v>3.7037037037037507E-4</v>
      </c>
      <c r="J20" s="14">
        <f t="shared" si="1"/>
        <v>7.4074074074075007</v>
      </c>
      <c r="M20" s="8">
        <v>2.4200000000000003E-3</v>
      </c>
      <c r="N20" s="3">
        <f>(-INDEX(Overview[b],6)+SQRT(POWER(INDEX(Overview[b],6),2)-(4*INDEX(Overview[a],6)*st_c[[#This Row],[c]])))/(2*INDEX(Overview[a],6))</f>
        <v>0.11781145941380396</v>
      </c>
      <c r="O20" s="3">
        <f t="shared" si="5"/>
        <v>4.1936569398942636E-4</v>
      </c>
      <c r="P20" s="14">
        <f t="shared" si="2"/>
        <v>8.3873138797885272</v>
      </c>
    </row>
    <row r="21" spans="1:16" x14ac:dyDescent="0.25">
      <c r="A21" s="2">
        <v>1.8000000000000001E-4</v>
      </c>
      <c r="B21" s="3" cm="1">
        <f t="array" ref="B21">SQRT((4*POWER(ttotal6,2)*st_a[[#This Row],[s(ta)]])/(9*s_t))</f>
        <v>2.7216552697590869E-2</v>
      </c>
      <c r="C21" s="3">
        <f t="shared" si="3"/>
        <v>7.6681777706179288E-4</v>
      </c>
      <c r="D21" s="14">
        <f t="shared" si="0"/>
        <v>15.336355541235857</v>
      </c>
      <c r="G21" s="8">
        <v>9.3000000000000005E-4</v>
      </c>
      <c r="H21" s="3" cm="1">
        <f t="array" ref="H21">((2*ttotal6)/(3*s_t))*(st_b[[#This Row],[s(tb)]]+(s_t/4))</f>
        <v>6.2222222222222213E-2</v>
      </c>
      <c r="I21" s="3">
        <f t="shared" si="4"/>
        <v>3.7037037037036813E-4</v>
      </c>
      <c r="J21" s="14">
        <f t="shared" si="1"/>
        <v>7.4074074074073621</v>
      </c>
      <c r="M21" s="8">
        <v>2.4300000000000003E-3</v>
      </c>
      <c r="N21" s="3">
        <f>(-INDEX(Overview[b],6)+SQRT(POWER(INDEX(Overview[b],6),2)-(4*INDEX(Overview[a],6)*st_c[[#This Row],[c]])))/(2*INDEX(Overview[a],6))</f>
        <v>0.11823445618288134</v>
      </c>
      <c r="O21" s="3">
        <f t="shared" si="5"/>
        <v>4.2299676907738004E-4</v>
      </c>
      <c r="P21" s="14">
        <f t="shared" si="2"/>
        <v>8.4599353815476004</v>
      </c>
    </row>
    <row r="22" spans="1:16" x14ac:dyDescent="0.25">
      <c r="A22" s="2">
        <v>1.9000000000000001E-4</v>
      </c>
      <c r="B22" s="3" cm="1">
        <f t="array" ref="B22">SQRT((4*POWER(ttotal6,2)*st_a[[#This Row],[s(ta)]])/(9*s_t))</f>
        <v>2.7962349760262035E-2</v>
      </c>
      <c r="C22" s="3">
        <f t="shared" si="3"/>
        <v>7.457970626711663E-4</v>
      </c>
      <c r="D22" s="14">
        <f t="shared" si="0"/>
        <v>14.915941253423325</v>
      </c>
      <c r="G22" s="8">
        <v>9.4000000000000008E-4</v>
      </c>
      <c r="H22" s="3" cm="1">
        <f t="array" ref="H22">((2*ttotal6)/(3*s_t))*(st_b[[#This Row],[s(tb)]]+(s_t/4))</f>
        <v>6.2592592592592589E-2</v>
      </c>
      <c r="I22" s="3">
        <f t="shared" si="4"/>
        <v>3.7037037037037507E-4</v>
      </c>
      <c r="J22" s="14">
        <f t="shared" si="1"/>
        <v>7.4074074074075007</v>
      </c>
      <c r="M22" s="8">
        <v>2.4400000000000003E-3</v>
      </c>
      <c r="N22" s="3">
        <f>(-INDEX(Overview[b],6)+SQRT(POWER(INDEX(Overview[b],6),2)-(4*INDEX(Overview[a],6)*st_c[[#This Row],[c]])))/(2*INDEX(Overview[a],6))</f>
        <v>0.11866118001179357</v>
      </c>
      <c r="O22" s="3">
        <f t="shared" si="5"/>
        <v>4.2672382891223437E-4</v>
      </c>
      <c r="P22" s="14">
        <f t="shared" si="2"/>
        <v>8.5344765782446874</v>
      </c>
    </row>
    <row r="23" spans="1:16" x14ac:dyDescent="0.25">
      <c r="A23" s="2">
        <v>2.0000000000000001E-4</v>
      </c>
      <c r="B23" s="3" cm="1">
        <f t="array" ref="B23">SQRT((4*POWER(ttotal6,2)*st_a[[#This Row],[s(ta)]])/(9*s_t))</f>
        <v>2.868876552746235E-2</v>
      </c>
      <c r="C23" s="3">
        <f t="shared" si="3"/>
        <v>7.2641576720031478E-4</v>
      </c>
      <c r="D23" s="14">
        <f t="shared" si="0"/>
        <v>14.528315344006295</v>
      </c>
      <c r="G23" s="8">
        <v>9.5000000000000011E-4</v>
      </c>
      <c r="H23" s="3" cm="1">
        <f t="array" ref="H23">((2*ttotal6)/(3*s_t))*(st_b[[#This Row],[s(tb)]]+(s_t/4))</f>
        <v>6.2962962962962957E-2</v>
      </c>
      <c r="I23" s="3">
        <f t="shared" si="4"/>
        <v>3.7037037037036813E-4</v>
      </c>
      <c r="J23" s="14">
        <f t="shared" si="1"/>
        <v>7.4074074074073621</v>
      </c>
      <c r="M23" s="8">
        <v>2.4500000000000004E-3</v>
      </c>
      <c r="N23" s="3">
        <f>(-INDEX(Overview[b],6)+SQRT(POWER(INDEX(Overview[b],6),2)-(4*INDEX(Overview[a],6)*st_c[[#This Row],[c]])))/(2*INDEX(Overview[a],6))</f>
        <v>0.1190917311901291</v>
      </c>
      <c r="O23" s="3">
        <f t="shared" si="5"/>
        <v>4.3055117833552814E-4</v>
      </c>
      <c r="P23" s="14">
        <f t="shared" si="2"/>
        <v>8.6110235667105623</v>
      </c>
    </row>
    <row r="24" spans="1:16" x14ac:dyDescent="0.25">
      <c r="A24" s="2">
        <v>2.1000000000000001E-4</v>
      </c>
      <c r="B24" s="3" cm="1">
        <f t="array" ref="B24">SQRT((4*POWER(ttotal6,2)*st_a[[#This Row],[s(ta)]])/(9*s_t))</f>
        <v>2.9397236789606561E-2</v>
      </c>
      <c r="C24" s="3">
        <f t="shared" si="3"/>
        <v>7.084712621442113E-4</v>
      </c>
      <c r="D24" s="14">
        <f t="shared" si="0"/>
        <v>14.169425242884225</v>
      </c>
      <c r="G24" s="8">
        <v>9.6000000000000013E-4</v>
      </c>
      <c r="H24" s="3" cm="1">
        <f t="array" ref="H24">((2*ttotal6)/(3*s_t))*(st_b[[#This Row],[s(tb)]]+(s_t/4))</f>
        <v>6.3333333333333325E-2</v>
      </c>
      <c r="I24" s="3">
        <f t="shared" si="4"/>
        <v>3.7037037037036813E-4</v>
      </c>
      <c r="J24" s="14">
        <f t="shared" si="1"/>
        <v>7.4074074074073621</v>
      </c>
      <c r="M24" s="8">
        <v>2.4600000000000004E-3</v>
      </c>
      <c r="N24" s="3">
        <f>(-INDEX(Overview[b],6)+SQRT(POWER(INDEX(Overview[b],6),2)-(4*INDEX(Overview[a],6)*st_c[[#This Row],[c]])))/(2*INDEX(Overview[a],6))</f>
        <v>0.11952621458756345</v>
      </c>
      <c r="O24" s="3">
        <f t="shared" si="5"/>
        <v>4.3448339743434872E-4</v>
      </c>
      <c r="P24" s="14">
        <f t="shared" si="2"/>
        <v>8.6896679486869743</v>
      </c>
    </row>
    <row r="25" spans="1:16" x14ac:dyDescent="0.25">
      <c r="A25" s="2">
        <v>2.2000000000000001E-4</v>
      </c>
      <c r="B25" s="3" cm="1">
        <f t="array" ref="B25">SQRT((4*POWER(ttotal6,2)*st_a[[#This Row],[s(ta)]])/(9*s_t))</f>
        <v>3.0089031128281336E-2</v>
      </c>
      <c r="C25" s="3">
        <f t="shared" si="3"/>
        <v>6.9179433867477477E-4</v>
      </c>
      <c r="D25" s="14">
        <f t="shared" si="0"/>
        <v>13.835886773495496</v>
      </c>
      <c r="G25" s="8">
        <v>9.7000000000000005E-4</v>
      </c>
      <c r="H25" s="3" cm="1">
        <f t="array" ref="H25">((2*ttotal6)/(3*s_t))*(st_b[[#This Row],[s(tb)]]+(s_t/4))</f>
        <v>6.3703703703703693E-2</v>
      </c>
      <c r="I25" s="3">
        <f t="shared" si="4"/>
        <v>3.7037037037036813E-4</v>
      </c>
      <c r="J25" s="14">
        <f t="shared" si="1"/>
        <v>7.4074074074073621</v>
      </c>
      <c r="M25" s="8">
        <v>2.4700000000000004E-3</v>
      </c>
      <c r="N25" s="3">
        <f>(-INDEX(Overview[b],6)+SQRT(POWER(INDEX(Overview[b],6),2)-(4*INDEX(Overview[a],6)*st_c[[#This Row],[c]])))/(2*INDEX(Overview[a],6))</f>
        <v>0.11996473995215365</v>
      </c>
      <c r="O25" s="3">
        <f t="shared" si="5"/>
        <v>4.3852536459020042E-4</v>
      </c>
      <c r="P25" s="14">
        <f t="shared" si="2"/>
        <v>8.7705072918040088</v>
      </c>
    </row>
    <row r="26" spans="1:16" x14ac:dyDescent="0.25">
      <c r="A26" s="2">
        <v>2.3000000000000001E-4</v>
      </c>
      <c r="B26" s="3" cm="1">
        <f t="array" ref="B26">SQRT((4*POWER(ttotal6,2)*st_a[[#This Row],[s(ta)]])/(9*s_t))</f>
        <v>3.076527356636324E-2</v>
      </c>
      <c r="C26" s="3">
        <f t="shared" si="3"/>
        <v>6.762424380819046E-4</v>
      </c>
      <c r="D26" s="14">
        <f t="shared" si="0"/>
        <v>13.524848761638092</v>
      </c>
      <c r="G26" s="8">
        <v>9.8000000000000019E-4</v>
      </c>
      <c r="H26" s="3" cm="1">
        <f t="array" ref="H26">((2*ttotal6)/(3*s_t))*(st_b[[#This Row],[s(tb)]]+(s_t/4))</f>
        <v>6.4074074074074075E-2</v>
      </c>
      <c r="I26" s="3">
        <f t="shared" si="4"/>
        <v>3.7037037037038201E-4</v>
      </c>
      <c r="J26" s="14">
        <f t="shared" si="1"/>
        <v>7.4074074074076401</v>
      </c>
      <c r="M26" s="8">
        <v>2.48E-3</v>
      </c>
      <c r="N26" s="3">
        <f>(-INDEX(Overview[b],6)+SQRT(POWER(INDEX(Overview[b],6),2)-(4*INDEX(Overview[a],6)*st_c[[#This Row],[c]])))/(2*INDEX(Overview[a],6))</f>
        <v>0.12040742223408583</v>
      </c>
      <c r="O26" s="3">
        <f t="shared" si="5"/>
        <v>4.4268228193218573E-4</v>
      </c>
      <c r="P26" s="14">
        <f t="shared" si="2"/>
        <v>8.8536456386437141</v>
      </c>
    </row>
    <row r="27" spans="1:16" x14ac:dyDescent="0.25">
      <c r="A27" s="2">
        <v>2.4000000000000003E-4</v>
      </c>
      <c r="B27" s="3" cm="1">
        <f t="array" ref="B27">SQRT((4*POWER(ttotal6,2)*st_a[[#This Row],[s(ta)]])/(9*s_t))</f>
        <v>3.1426968052735448E-2</v>
      </c>
      <c r="C27" s="3">
        <f t="shared" si="3"/>
        <v>6.6169448637220726E-4</v>
      </c>
      <c r="D27" s="14">
        <f t="shared" si="0"/>
        <v>13.233889727444145</v>
      </c>
      <c r="G27" s="8">
        <v>9.8999999999999999E-4</v>
      </c>
      <c r="H27" s="3" cm="1">
        <f t="array" ref="H27">((2*ttotal6)/(3*s_t))*(st_b[[#This Row],[s(tb)]]+(s_t/4))</f>
        <v>6.4444444444444429E-2</v>
      </c>
      <c r="I27" s="3">
        <f t="shared" si="4"/>
        <v>3.7037037037035425E-4</v>
      </c>
      <c r="J27" s="14">
        <f t="shared" si="1"/>
        <v>7.407407407407085</v>
      </c>
      <c r="M27" s="8">
        <v>2.49E-3</v>
      </c>
      <c r="N27" s="3">
        <f>(-INDEX(Overview[b],6)+SQRT(POWER(INDEX(Overview[b],6),2)-(4*INDEX(Overview[a],6)*st_c[[#This Row],[c]])))/(2*INDEX(Overview[a],6))</f>
        <v>0.12085438193758145</v>
      </c>
      <c r="O27" s="3">
        <f t="shared" si="5"/>
        <v>4.4695970349561964E-4</v>
      </c>
      <c r="P27" s="14">
        <f t="shared" si="2"/>
        <v>8.9391940699123928</v>
      </c>
    </row>
    <row r="28" spans="1:16" x14ac:dyDescent="0.25">
      <c r="A28" s="2">
        <v>2.5000000000000001E-4</v>
      </c>
      <c r="B28" s="3" cm="1">
        <f t="array" ref="B28">SQRT((4*POWER(ttotal6,2)*st_a[[#This Row],[s(ta)]])/(9*s_t))</f>
        <v>3.2075014954979206E-2</v>
      </c>
      <c r="C28" s="3">
        <f t="shared" si="3"/>
        <v>6.4804690224375822E-4</v>
      </c>
      <c r="D28" s="14">
        <f t="shared" si="0"/>
        <v>12.960938044875164</v>
      </c>
      <c r="G28" s="8">
        <v>1E-3</v>
      </c>
      <c r="H28" s="3" cm="1">
        <f t="array" ref="H28">((2*ttotal6)/(3*s_t))*(st_b[[#This Row],[s(tb)]]+(s_t/4))</f>
        <v>6.4814814814814811E-2</v>
      </c>
      <c r="I28" s="3">
        <f t="shared" si="4"/>
        <v>3.7037037037038201E-4</v>
      </c>
      <c r="J28" s="14">
        <f t="shared" si="1"/>
        <v>7.4074074074076401</v>
      </c>
      <c r="M28" s="8">
        <v>2.5000000000000001E-3</v>
      </c>
      <c r="N28" s="3">
        <f>(-INDEX(Overview[b],6)+SQRT(POWER(INDEX(Overview[b],6),2)-(4*INDEX(Overview[a],6)*st_c[[#This Row],[c]])))/(2*INDEX(Overview[a],6))</f>
        <v>0.12130574550401516</v>
      </c>
      <c r="O28" s="3">
        <f t="shared" si="5"/>
        <v>4.5136356643370179E-4</v>
      </c>
      <c r="P28" s="14">
        <f t="shared" si="2"/>
        <v>9.0272713286740363</v>
      </c>
    </row>
    <row r="29" spans="1:16" x14ac:dyDescent="0.25">
      <c r="A29" s="2">
        <v>2.6000000000000003E-4</v>
      </c>
      <c r="B29" s="3" cm="1">
        <f t="array" ref="B29">SQRT((4*POWER(ttotal6,2)*st_a[[#This Row],[s(ta)]])/(9*s_t))</f>
        <v>3.2710225430843877E-2</v>
      </c>
      <c r="C29" s="3">
        <f t="shared" si="3"/>
        <v>6.3521047586467122E-4</v>
      </c>
      <c r="D29" s="14">
        <f t="shared" si="0"/>
        <v>12.704209517293425</v>
      </c>
      <c r="G29" s="8">
        <v>1.01E-3</v>
      </c>
      <c r="H29" s="3" cm="1">
        <f t="array" ref="H29">((2*ttotal6)/(3*s_t))*(st_b[[#This Row],[s(tb)]]+(s_t/4))</f>
        <v>6.5185185185185179E-2</v>
      </c>
      <c r="I29" s="3">
        <f t="shared" si="4"/>
        <v>3.7037037037036813E-4</v>
      </c>
      <c r="J29" s="14">
        <f t="shared" si="1"/>
        <v>7.4074074074073621</v>
      </c>
      <c r="M29" s="8">
        <v>2.5100000000000001E-3</v>
      </c>
      <c r="N29" s="3">
        <f>(-INDEX(Overview[b],6)+SQRT(POWER(INDEX(Overview[b],6),2)-(4*INDEX(Overview[a],6)*st_c[[#This Row],[c]])))/(2*INDEX(Overview[a],6))</f>
        <v>0.12176164572969568</v>
      </c>
      <c r="O29" s="3">
        <f t="shared" si="5"/>
        <v>4.5590022568052502E-4</v>
      </c>
      <c r="P29" s="14">
        <f t="shared" si="2"/>
        <v>9.1180045136105008</v>
      </c>
    </row>
    <row r="30" spans="1:16" x14ac:dyDescent="0.25">
      <c r="A30" s="2">
        <v>2.7E-4</v>
      </c>
      <c r="B30" s="3" cm="1">
        <f t="array" ref="B30">SQRT((4*POWER(ttotal6,2)*st_a[[#This Row],[s(ta)]])/(9*s_t))</f>
        <v>3.3333333333333333E-2</v>
      </c>
      <c r="C30" s="3">
        <f t="shared" si="3"/>
        <v>6.2310790248945591E-4</v>
      </c>
      <c r="D30" s="14">
        <f t="shared" si="0"/>
        <v>12.462158049789117</v>
      </c>
      <c r="G30" s="8">
        <v>1.0200000000000001E-3</v>
      </c>
      <c r="H30" s="3" cm="1">
        <f t="array" ref="H30">((2*ttotal6)/(3*s_t))*(st_b[[#This Row],[s(tb)]]+(s_t/4))</f>
        <v>6.5555555555555547E-2</v>
      </c>
      <c r="I30" s="3">
        <f t="shared" si="4"/>
        <v>3.7037037037036813E-4</v>
      </c>
      <c r="J30" s="14">
        <f t="shared" si="1"/>
        <v>7.4074074074073621</v>
      </c>
      <c r="M30" s="8">
        <v>2.5200000000000001E-3</v>
      </c>
      <c r="N30" s="3">
        <f>(-INDEX(Overview[b],6)+SQRT(POWER(INDEX(Overview[b],6),2)-(4*INDEX(Overview[a],6)*st_c[[#This Row],[c]])))/(2*INDEX(Overview[a],6))</f>
        <v>0.12222222222222215</v>
      </c>
      <c r="O30" s="3">
        <f t="shared" si="5"/>
        <v>4.6057649252646826E-4</v>
      </c>
      <c r="P30" s="14">
        <f t="shared" si="2"/>
        <v>9.2115298505293648</v>
      </c>
    </row>
    <row r="31" spans="1:16" x14ac:dyDescent="0.25">
      <c r="A31" s="2">
        <v>2.8000000000000003E-4</v>
      </c>
      <c r="B31" s="3" cm="1">
        <f t="array" ref="B31">SQRT((4*POWER(ttotal6,2)*st_a[[#This Row],[s(ta)]])/(9*s_t))</f>
        <v>3.394500514782104E-2</v>
      </c>
      <c r="C31" s="3">
        <f t="shared" si="3"/>
        <v>6.1167181448770758E-4</v>
      </c>
      <c r="D31" s="14">
        <f t="shared" si="0"/>
        <v>12.233436289754151</v>
      </c>
      <c r="G31" s="8">
        <v>1.0300000000000001E-3</v>
      </c>
      <c r="H31" s="3" cm="1">
        <f t="array" ref="H31">((2*ttotal6)/(3*s_t))*(st_b[[#This Row],[s(tb)]]+(s_t/4))</f>
        <v>6.5925925925925916E-2</v>
      </c>
      <c r="I31" s="3">
        <f t="shared" si="4"/>
        <v>3.7037037037036813E-4</v>
      </c>
      <c r="J31" s="14">
        <f t="shared" si="1"/>
        <v>7.4074074074073621</v>
      </c>
      <c r="M31" s="8">
        <v>2.5300000000000001E-3</v>
      </c>
      <c r="N31" s="3">
        <f>(-INDEX(Overview[b],6)+SQRT(POWER(INDEX(Overview[b],6),2)-(4*INDEX(Overview[a],6)*st_c[[#This Row],[c]])))/(2*INDEX(Overview[a],6))</f>
        <v>0.12268762189985952</v>
      </c>
      <c r="O31" s="3">
        <f t="shared" si="5"/>
        <v>4.6539967763736811E-4</v>
      </c>
      <c r="P31" s="14">
        <f t="shared" si="2"/>
        <v>9.3079935527473623</v>
      </c>
    </row>
    <row r="32" spans="1:16" x14ac:dyDescent="0.25">
      <c r="A32" s="2">
        <v>2.9E-4</v>
      </c>
      <c r="B32" s="3" cm="1">
        <f t="array" ref="B32">SQRT((4*POWER(ttotal6,2)*st_a[[#This Row],[s(ta)]])/(9*s_t))</f>
        <v>3.4545848344773387E-2</v>
      </c>
      <c r="C32" s="3">
        <f t="shared" si="3"/>
        <v>6.00843196952347E-4</v>
      </c>
      <c r="D32" s="14">
        <f t="shared" si="0"/>
        <v>12.016863939046939</v>
      </c>
      <c r="G32" s="8">
        <v>1.0400000000000001E-3</v>
      </c>
      <c r="H32" s="3" cm="1">
        <f t="array" ref="H32">((2*ttotal6)/(3*s_t))*(st_b[[#This Row],[s(tb)]]+(s_t/4))</f>
        <v>6.6296296296296298E-2</v>
      </c>
      <c r="I32" s="3">
        <f t="shared" si="4"/>
        <v>3.7037037037038201E-4</v>
      </c>
      <c r="J32" s="14">
        <f t="shared" si="1"/>
        <v>7.4074074074076401</v>
      </c>
      <c r="M32" s="8">
        <v>2.5400000000000002E-3</v>
      </c>
      <c r="N32" s="3">
        <f>(-INDEX(Overview[b],6)+SQRT(POWER(INDEX(Overview[b],6),2)-(4*INDEX(Overview[a],6)*st_c[[#This Row],[c]])))/(2*INDEX(Overview[a],6))</f>
        <v>0.12315799953899725</v>
      </c>
      <c r="O32" s="3">
        <f t="shared" si="5"/>
        <v>4.7037763913773678E-4</v>
      </c>
      <c r="P32" s="14">
        <f t="shared" si="2"/>
        <v>9.4075527827547347</v>
      </c>
    </row>
    <row r="33" spans="1:16" x14ac:dyDescent="0.25">
      <c r="A33" s="2">
        <v>3.0000000000000003E-4</v>
      </c>
      <c r="B33" s="3" cm="1">
        <f t="array" ref="B33">SQRT((4*POWER(ttotal6,2)*st_a[[#This Row],[s(ta)]])/(9*s_t))</f>
        <v>3.5136418446315328E-2</v>
      </c>
      <c r="C33" s="3">
        <f t="shared" si="3"/>
        <v>5.9057010154194012E-4</v>
      </c>
      <c r="D33" s="14">
        <f t="shared" si="0"/>
        <v>11.811402030838801</v>
      </c>
      <c r="G33" s="8">
        <v>1.0500000000000002E-3</v>
      </c>
      <c r="H33" s="3" cm="1">
        <f t="array" ref="H33">((2*ttotal6)/(3*s_t))*(st_b[[#This Row],[s(tb)]]+(s_t/4))</f>
        <v>6.6666666666666666E-2</v>
      </c>
      <c r="I33" s="3">
        <f t="shared" si="4"/>
        <v>3.7037037037036813E-4</v>
      </c>
      <c r="J33" s="14">
        <f t="shared" si="1"/>
        <v>7.4074074074073621</v>
      </c>
      <c r="M33" s="8">
        <v>2.5500000000000002E-3</v>
      </c>
      <c r="N33" s="3">
        <f>(-INDEX(Overview[b],6)+SQRT(POWER(INDEX(Overview[b],6),2)-(4*INDEX(Overview[a],6)*st_c[[#This Row],[c]])))/(2*INDEX(Overview[a],6))</f>
        <v>0.12363351837547307</v>
      </c>
      <c r="O33" s="3">
        <f t="shared" si="5"/>
        <v>4.7551883647581339E-4</v>
      </c>
      <c r="P33" s="14">
        <f t="shared" si="2"/>
        <v>9.5103767295162669</v>
      </c>
    </row>
    <row r="34" spans="1:16" x14ac:dyDescent="0.25">
      <c r="A34" s="2">
        <v>3.1E-4</v>
      </c>
      <c r="B34" s="3" cm="1">
        <f t="array" ref="B34">SQRT((4*POWER(ttotal6,2)*st_a[[#This Row],[s(ta)]])/(9*s_t))</f>
        <v>3.5717225040714645E-2</v>
      </c>
      <c r="C34" s="3">
        <f t="shared" si="3"/>
        <v>5.8080659439931764E-4</v>
      </c>
      <c r="D34" s="14">
        <f t="shared" si="0"/>
        <v>11.616131887986352</v>
      </c>
      <c r="G34" s="8">
        <v>1.0600000000000002E-3</v>
      </c>
      <c r="H34" s="3" cm="1">
        <f t="array" ref="H34">((2*ttotal6)/(3*s_t))*(st_b[[#This Row],[s(tb)]]+(s_t/4))</f>
        <v>6.7037037037037034E-2</v>
      </c>
      <c r="I34" s="3">
        <f t="shared" si="4"/>
        <v>3.7037037037036813E-4</v>
      </c>
      <c r="J34" s="14">
        <f t="shared" si="1"/>
        <v>7.4074074074073621</v>
      </c>
      <c r="M34" s="8">
        <v>2.5600000000000002E-3</v>
      </c>
      <c r="N34" s="3">
        <f>(-INDEX(Overview[b],6)+SQRT(POWER(INDEX(Overview[b],6),2)-(4*INDEX(Overview[a],6)*st_c[[#This Row],[c]])))/(2*INDEX(Overview[a],6))</f>
        <v>0.12411435076638487</v>
      </c>
      <c r="O34" s="3">
        <f t="shared" si="5"/>
        <v>4.8083239091180341E-4</v>
      </c>
      <c r="P34" s="14">
        <f t="shared" si="2"/>
        <v>9.6166478182360677</v>
      </c>
    </row>
    <row r="35" spans="1:16" x14ac:dyDescent="0.25">
      <c r="A35" s="2">
        <v>3.2000000000000003E-4</v>
      </c>
      <c r="B35" s="3" cm="1">
        <f t="array" ref="B35">SQRT((4*POWER(ttotal6,2)*st_a[[#This Row],[s(ta)]])/(9*s_t))</f>
        <v>3.6288736930121156E-2</v>
      </c>
      <c r="C35" s="3">
        <f t="shared" si="3"/>
        <v>5.7151188940651049E-4</v>
      </c>
      <c r="D35" s="14">
        <f t="shared" si="0"/>
        <v>11.43023778813021</v>
      </c>
      <c r="G35" s="8">
        <v>1.07E-3</v>
      </c>
      <c r="H35" s="3" cm="1">
        <f t="array" ref="H35">((2*ttotal6)/(3*s_t))*(st_b[[#This Row],[s(tb)]]+(s_t/4))</f>
        <v>6.7407407407407402E-2</v>
      </c>
      <c r="I35" s="3">
        <f t="shared" si="4"/>
        <v>3.7037037037036813E-4</v>
      </c>
      <c r="J35" s="14">
        <f t="shared" si="1"/>
        <v>7.4074074074073621</v>
      </c>
      <c r="M35" s="8">
        <v>2.5700000000000002E-3</v>
      </c>
      <c r="N35" s="3">
        <f>(-INDEX(Overview[b],6)+SQRT(POWER(INDEX(Overview[b],6),2)-(4*INDEX(Overview[a],6)*st_c[[#This Row],[c]])))/(2*INDEX(Overview[a],6))</f>
        <v>0.1246006789199979</v>
      </c>
      <c r="O35" s="3">
        <f t="shared" si="5"/>
        <v>4.8632815361303317E-4</v>
      </c>
      <c r="P35" s="14">
        <f t="shared" si="2"/>
        <v>9.726563072260662</v>
      </c>
    </row>
    <row r="36" spans="1:16" x14ac:dyDescent="0.25">
      <c r="A36" s="2">
        <v>3.3000000000000005E-4</v>
      </c>
      <c r="B36" s="3" cm="1">
        <f t="array" ref="B36">SQRT((4*POWER(ttotal6,2)*st_a[[#This Row],[s(ta)]])/(9*s_t))</f>
        <v>3.6851386559504443E-2</v>
      </c>
      <c r="C36" s="3">
        <f t="shared" si="3"/>
        <v>5.6264962938328694E-4</v>
      </c>
      <c r="D36" s="14">
        <f t="shared" si="0"/>
        <v>11.252992587665739</v>
      </c>
      <c r="G36" s="8">
        <v>1.08E-3</v>
      </c>
      <c r="H36" s="3" cm="1">
        <f t="array" ref="H36">((2*ttotal6)/(3*s_t))*(st_b[[#This Row],[s(tb)]]+(s_t/4))</f>
        <v>6.777777777777777E-2</v>
      </c>
      <c r="I36" s="3">
        <f t="shared" si="4"/>
        <v>3.7037037037036813E-4</v>
      </c>
      <c r="J36" s="14">
        <f t="shared" si="1"/>
        <v>7.4074074074073621</v>
      </c>
      <c r="M36" s="8">
        <v>2.5800000000000003E-3</v>
      </c>
      <c r="N36" s="3">
        <f>(-INDEX(Overview[b],6)+SQRT(POWER(INDEX(Overview[b],6),2)-(4*INDEX(Overview[a],6)*st_c[[#This Row],[c]])))/(2*INDEX(Overview[a],6))</f>
        <v>0.12509269570251172</v>
      </c>
      <c r="O36" s="3">
        <f t="shared" si="5"/>
        <v>4.9201678251381553E-4</v>
      </c>
      <c r="P36" s="14">
        <f t="shared" si="2"/>
        <v>9.8403356502763106</v>
      </c>
    </row>
    <row r="37" spans="1:16" x14ac:dyDescent="0.25">
      <c r="A37" s="2">
        <v>3.4000000000000002E-4</v>
      </c>
      <c r="B37" s="3" cm="1">
        <f t="array" ref="B37">SQRT((4*POWER(ttotal6,2)*st_a[[#This Row],[s(ta)]])/(9*s_t))</f>
        <v>3.7405573845785474E-2</v>
      </c>
      <c r="C37" s="3">
        <f t="shared" si="3"/>
        <v>5.5418728628103125E-4</v>
      </c>
      <c r="D37" s="14">
        <f t="shared" si="0"/>
        <v>11.083745725620625</v>
      </c>
      <c r="G37" s="8">
        <v>1.09E-3</v>
      </c>
      <c r="H37" s="3" cm="1">
        <f t="array" ref="H37">((2*ttotal6)/(3*s_t))*(st_b[[#This Row],[s(tb)]]+(s_t/4))</f>
        <v>6.8148148148148138E-2</v>
      </c>
      <c r="I37" s="3">
        <f t="shared" si="4"/>
        <v>3.7037037037036813E-4</v>
      </c>
      <c r="J37" s="14">
        <f t="shared" si="1"/>
        <v>7.4074074074073621</v>
      </c>
      <c r="M37" s="8">
        <v>2.5900000000000003E-3</v>
      </c>
      <c r="N37" s="3">
        <f>(-INDEX(Overview[b],6)+SQRT(POWER(INDEX(Overview[b],6),2)-(4*INDEX(Overview[a],6)*st_c[[#This Row],[c]])))/(2*INDEX(Overview[a],6))</f>
        <v>0.12559060553181689</v>
      </c>
      <c r="O37" s="3">
        <f t="shared" si="5"/>
        <v>4.9790982930517091E-4</v>
      </c>
      <c r="P37" s="14">
        <f t="shared" si="2"/>
        <v>9.9581965861034174</v>
      </c>
    </row>
    <row r="38" spans="1:16" x14ac:dyDescent="0.25">
      <c r="A38" s="2">
        <v>3.5000000000000005E-4</v>
      </c>
      <c r="B38" s="3" cm="1">
        <f t="array" ref="B38">SQRT((4*POWER(ttotal6,2)*st_a[[#This Row],[s(ta)]])/(9*s_t))</f>
        <v>3.7951669503554067E-2</v>
      </c>
      <c r="C38" s="3">
        <f t="shared" si="3"/>
        <v>5.4609565776859298E-4</v>
      </c>
      <c r="D38" s="14">
        <f t="shared" si="0"/>
        <v>10.921913155371859</v>
      </c>
      <c r="G38" s="8">
        <v>1.1000000000000001E-3</v>
      </c>
      <c r="H38" s="3" cm="1">
        <f t="array" ref="H38">((2*ttotal6)/(3*s_t))*(st_b[[#This Row],[s(tb)]]+(s_t/4))</f>
        <v>6.8518518518518506E-2</v>
      </c>
      <c r="I38" s="3">
        <f t="shared" si="4"/>
        <v>3.7037037037036813E-4</v>
      </c>
      <c r="J38" s="14">
        <f t="shared" si="1"/>
        <v>7.4074074074073621</v>
      </c>
      <c r="M38" s="8">
        <v>2.6000000000000003E-3</v>
      </c>
      <c r="N38" s="3">
        <f>(-INDEX(Overview[b],6)+SQRT(POWER(INDEX(Overview[b],6),2)-(4*INDEX(Overview[a],6)*st_c[[#This Row],[c]])))/(2*INDEX(Overview[a],6))</f>
        <v>0.12609462536998758</v>
      </c>
      <c r="O38" s="3">
        <f t="shared" si="5"/>
        <v>5.0401983817069396E-4</v>
      </c>
      <c r="P38" s="14">
        <f t="shared" si="2"/>
        <v>10.080396763413878</v>
      </c>
    </row>
    <row r="39" spans="1:16" x14ac:dyDescent="0.25">
      <c r="A39" s="2">
        <v>3.6000000000000002E-4</v>
      </c>
      <c r="B39" s="3" cm="1">
        <f t="array" ref="B39">SQRT((4*POWER(ttotal6,2)*st_a[[#This Row],[s(ta)]])/(9*s_t))</f>
        <v>3.849001794597505E-2</v>
      </c>
      <c r="C39" s="3">
        <f t="shared" si="3"/>
        <v>5.3834844242098279E-4</v>
      </c>
      <c r="D39" s="14">
        <f t="shared" si="0"/>
        <v>10.766968848419655</v>
      </c>
      <c r="G39" s="8">
        <v>1.1100000000000001E-3</v>
      </c>
      <c r="H39" s="3" cm="1">
        <f t="array" ref="H39">((2*ttotal6)/(3*s_t))*(st_b[[#This Row],[s(tb)]]+(s_t/4))</f>
        <v>6.8888888888888888E-2</v>
      </c>
      <c r="I39" s="3">
        <f t="shared" si="4"/>
        <v>3.7037037037038201E-4</v>
      </c>
      <c r="J39" s="14">
        <f t="shared" si="1"/>
        <v>7.4074074074076401</v>
      </c>
      <c r="M39" s="8">
        <v>2.6100000000000003E-3</v>
      </c>
      <c r="N39" s="3">
        <f>(-INDEX(Overview[b],6)+SQRT(POWER(INDEX(Overview[b],6),2)-(4*INDEX(Overview[a],6)*st_c[[#This Row],[c]])))/(2*INDEX(Overview[a],6))</f>
        <v>0.12660498582817781</v>
      </c>
      <c r="O39" s="3">
        <f t="shared" si="5"/>
        <v>5.1036045819022324E-4</v>
      </c>
      <c r="P39" s="14">
        <f t="shared" si="2"/>
        <v>10.207209163804464</v>
      </c>
    </row>
    <row r="40" spans="1:16" x14ac:dyDescent="0.25">
      <c r="A40" s="2">
        <v>3.7000000000000005E-4</v>
      </c>
      <c r="B40" s="3" cm="1">
        <f t="array" ref="B40">SQRT((4*POWER(ttotal6,2)*st_a[[#This Row],[s(ta)]])/(9*s_t))</f>
        <v>3.9020939825380518E-2</v>
      </c>
      <c r="C40" s="3">
        <f t="shared" si="3"/>
        <v>5.3092187940546876E-4</v>
      </c>
      <c r="D40" s="14">
        <f t="shared" si="0"/>
        <v>10.618437588109375</v>
      </c>
      <c r="G40" s="8">
        <v>1.1200000000000001E-3</v>
      </c>
      <c r="H40" s="3" cm="1">
        <f t="array" ref="H40">((2*ttotal6)/(3*s_t))*(st_b[[#This Row],[s(tb)]]+(s_t/4))</f>
        <v>6.9259259259259257E-2</v>
      </c>
      <c r="I40" s="3">
        <f t="shared" si="4"/>
        <v>3.7037037037036813E-4</v>
      </c>
      <c r="J40" s="14">
        <f t="shared" si="1"/>
        <v>7.4074074074073621</v>
      </c>
      <c r="M40" s="8">
        <v>2.6200000000000004E-3</v>
      </c>
      <c r="N40" s="3">
        <f>(-INDEX(Overview[b],6)+SQRT(POWER(INDEX(Overview[b],6),2)-(4*INDEX(Overview[a],6)*st_c[[#This Row],[c]])))/(2*INDEX(Overview[a],6))</f>
        <v>0.12712193239988395</v>
      </c>
      <c r="O40" s="3">
        <f t="shared" si="5"/>
        <v>5.16946571706145E-4</v>
      </c>
      <c r="P40" s="14">
        <f t="shared" si="2"/>
        <v>10.3389314341229</v>
      </c>
    </row>
    <row r="41" spans="1:16" x14ac:dyDescent="0.25">
      <c r="A41" s="2">
        <v>3.8000000000000002E-4</v>
      </c>
      <c r="B41" s="3" cm="1">
        <f t="array" ref="B41">SQRT((4*POWER(ttotal6,2)*st_a[[#This Row],[s(ta)]])/(9*s_t))</f>
        <v>3.9544734266782636E-2</v>
      </c>
      <c r="C41" s="3">
        <f t="shared" si="3"/>
        <v>5.2379444140211728E-4</v>
      </c>
      <c r="D41" s="14">
        <f t="shared" si="0"/>
        <v>10.475888828042345</v>
      </c>
      <c r="G41" s="8">
        <v>1.1300000000000001E-3</v>
      </c>
      <c r="H41" s="3" cm="1">
        <f t="array" ref="H41">((2*ttotal6)/(3*s_t))*(st_b[[#This Row],[s(tb)]]+(s_t/4))</f>
        <v>6.9629629629629625E-2</v>
      </c>
      <c r="I41" s="3">
        <f t="shared" si="4"/>
        <v>3.7037037037036813E-4</v>
      </c>
      <c r="J41" s="14">
        <f t="shared" si="1"/>
        <v>7.4074074074073621</v>
      </c>
      <c r="M41" s="8">
        <v>2.6300000000000004E-3</v>
      </c>
      <c r="N41" s="3">
        <f>(-INDEX(Overview[b],6)+SQRT(POWER(INDEX(Overview[b],6),2)-(4*INDEX(Overview[a],6)*st_c[[#This Row],[c]])))/(2*INDEX(Overview[a],6))</f>
        <v>0.12764572684128606</v>
      </c>
      <c r="O41" s="3">
        <f t="shared" si="5"/>
        <v>5.2379444140210341E-4</v>
      </c>
      <c r="P41" s="14">
        <f t="shared" si="2"/>
        <v>10.475888828042068</v>
      </c>
    </row>
    <row r="42" spans="1:16" x14ac:dyDescent="0.25">
      <c r="A42" s="2">
        <v>3.9000000000000005E-4</v>
      </c>
      <c r="B42" s="3" cm="1">
        <f t="array" ref="B42">SQRT((4*POWER(ttotal6,2)*st_a[[#This Row],[s(ta)]])/(9*s_t))</f>
        <v>4.0061680838488774E-2</v>
      </c>
      <c r="C42" s="3">
        <f t="shared" si="3"/>
        <v>5.1694657170613806E-4</v>
      </c>
      <c r="D42" s="14">
        <f t="shared" si="0"/>
        <v>10.338931434122761</v>
      </c>
      <c r="G42" s="8">
        <v>1.1400000000000002E-3</v>
      </c>
      <c r="H42" s="3" cm="1">
        <f t="array" ref="H42">((2*ttotal6)/(3*s_t))*(st_b[[#This Row],[s(tb)]]+(s_t/4))</f>
        <v>6.9999999999999993E-2</v>
      </c>
      <c r="I42" s="3">
        <f t="shared" si="4"/>
        <v>3.7037037037036813E-4</v>
      </c>
      <c r="J42" s="14">
        <f t="shared" si="1"/>
        <v>7.4074074074073621</v>
      </c>
      <c r="M42" s="8">
        <v>2.6400000000000004E-3</v>
      </c>
      <c r="N42" s="3">
        <f>(-INDEX(Overview[b],6)+SQRT(POWER(INDEX(Overview[b],6),2)-(4*INDEX(Overview[a],6)*st_c[[#This Row],[c]])))/(2*INDEX(Overview[a],6))</f>
        <v>0.12817664872069154</v>
      </c>
      <c r="O42" s="3">
        <f t="shared" si="5"/>
        <v>5.3092187940548263E-4</v>
      </c>
      <c r="P42" s="14">
        <f t="shared" si="2"/>
        <v>10.618437588109652</v>
      </c>
    </row>
    <row r="43" spans="1:16" x14ac:dyDescent="0.25">
      <c r="A43" s="2">
        <v>4.0000000000000002E-4</v>
      </c>
      <c r="B43" s="3" cm="1">
        <f t="array" ref="B43">SQRT((4*POWER(ttotal6,2)*st_a[[#This Row],[s(ta)]])/(9*s_t))</f>
        <v>4.0572041296678976E-2</v>
      </c>
      <c r="C43" s="3">
        <f t="shared" si="3"/>
        <v>5.1036045819020243E-4</v>
      </c>
      <c r="D43" s="14">
        <f t="shared" si="0"/>
        <v>10.207209163804048</v>
      </c>
      <c r="G43" s="8">
        <v>1.1500000000000002E-3</v>
      </c>
      <c r="H43" s="3" cm="1">
        <f t="array" ref="H43">((2*ttotal6)/(3*s_t))*(st_b[[#This Row],[s(tb)]]+(s_t/4))</f>
        <v>7.0370370370370361E-2</v>
      </c>
      <c r="I43" s="3">
        <f t="shared" si="4"/>
        <v>3.7037037037036813E-4</v>
      </c>
      <c r="J43" s="14">
        <f t="shared" si="1"/>
        <v>7.4074074074073621</v>
      </c>
      <c r="M43" s="8">
        <v>2.65E-3</v>
      </c>
      <c r="N43" s="3">
        <f>(-INDEX(Overview[b],6)+SQRT(POWER(INDEX(Overview[b],6),2)-(4*INDEX(Overview[a],6)*st_c[[#This Row],[c]])))/(2*INDEX(Overview[a],6))</f>
        <v>0.12871499716311249</v>
      </c>
      <c r="O43" s="3">
        <f t="shared" si="5"/>
        <v>5.3834844242095503E-4</v>
      </c>
      <c r="P43" s="14">
        <f t="shared" si="2"/>
        <v>10.766968848419101</v>
      </c>
    </row>
    <row r="44" spans="1:16" x14ac:dyDescent="0.25">
      <c r="A44" s="2">
        <v>4.1000000000000005E-4</v>
      </c>
      <c r="B44" s="3" cm="1">
        <f t="array" ref="B44">SQRT((4*POWER(ttotal6,2)*st_a[[#This Row],[s(ta)]])/(9*s_t))</f>
        <v>4.1076061134849698E-2</v>
      </c>
      <c r="C44" s="3">
        <f t="shared" si="3"/>
        <v>5.0401983817072171E-4</v>
      </c>
      <c r="D44" s="14">
        <f t="shared" si="0"/>
        <v>10.080396763414434</v>
      </c>
      <c r="G44" s="8">
        <v>1.16E-3</v>
      </c>
      <c r="H44" s="3" cm="1">
        <f t="array" ref="H44">((2*ttotal6)/(3*s_t))*(st_b[[#This Row],[s(tb)]]+(s_t/4))</f>
        <v>7.0740740740740729E-2</v>
      </c>
      <c r="I44" s="3">
        <f t="shared" si="4"/>
        <v>3.7037037037036813E-4</v>
      </c>
      <c r="J44" s="14">
        <f t="shared" si="1"/>
        <v>7.4074074074073621</v>
      </c>
      <c r="M44" s="8">
        <v>2.66E-3</v>
      </c>
      <c r="N44" s="3">
        <f>(-INDEX(Overview[b],6)+SQRT(POWER(INDEX(Overview[b],6),2)-(4*INDEX(Overview[a],6)*st_c[[#This Row],[c]])))/(2*INDEX(Overview[a],6))</f>
        <v>0.12926109282088111</v>
      </c>
      <c r="O44" s="3">
        <f t="shared" si="5"/>
        <v>5.460956577686138E-4</v>
      </c>
      <c r="P44" s="14">
        <f t="shared" si="2"/>
        <v>10.921913155372275</v>
      </c>
    </row>
    <row r="45" spans="1:16" x14ac:dyDescent="0.25">
      <c r="A45" s="2">
        <v>4.2000000000000002E-4</v>
      </c>
      <c r="B45" s="3" cm="1">
        <f t="array" ref="B45">SQRT((4*POWER(ttotal6,2)*st_a[[#This Row],[s(ta)]])/(9*s_t))</f>
        <v>4.1573970964154904E-2</v>
      </c>
      <c r="C45" s="3">
        <f t="shared" si="3"/>
        <v>4.9790982930520561E-4</v>
      </c>
      <c r="D45" s="14">
        <f t="shared" si="0"/>
        <v>9.958196586104112</v>
      </c>
      <c r="G45" s="8">
        <v>1.17E-3</v>
      </c>
      <c r="H45" s="3" cm="1">
        <f t="array" ref="H45">((2*ttotal6)/(3*s_t))*(st_b[[#This Row],[s(tb)]]+(s_t/4))</f>
        <v>7.1111111111111097E-2</v>
      </c>
      <c r="I45" s="3">
        <f t="shared" si="4"/>
        <v>3.7037037037036813E-4</v>
      </c>
      <c r="J45" s="14">
        <f t="shared" si="1"/>
        <v>7.4074074074073621</v>
      </c>
      <c r="M45" s="8">
        <v>2.6700000000000001E-3</v>
      </c>
      <c r="N45" s="3">
        <f>(-INDEX(Overview[b],6)+SQRT(POWER(INDEX(Overview[b],6),2)-(4*INDEX(Overview[a],6)*st_c[[#This Row],[c]])))/(2*INDEX(Overview[a],6))</f>
        <v>0.12981528010716217</v>
      </c>
      <c r="O45" s="3">
        <f t="shared" si="5"/>
        <v>5.5418728628106595E-4</v>
      </c>
      <c r="P45" s="14">
        <f t="shared" si="2"/>
        <v>11.083745725621318</v>
      </c>
    </row>
    <row r="46" spans="1:16" x14ac:dyDescent="0.25">
      <c r="A46" s="2">
        <v>4.3000000000000004E-4</v>
      </c>
      <c r="B46" s="3" cm="1">
        <f t="array" ref="B46">SQRT((4*POWER(ttotal6,2)*st_a[[#This Row],[s(ta)]])/(9*s_t))</f>
        <v>4.2065987746668691E-2</v>
      </c>
      <c r="C46" s="3">
        <f t="shared" si="3"/>
        <v>4.9201678251378778E-4</v>
      </c>
      <c r="D46" s="14">
        <f t="shared" si="0"/>
        <v>9.8403356502757546</v>
      </c>
      <c r="G46" s="8">
        <v>1.1800000000000001E-3</v>
      </c>
      <c r="H46" s="3" cm="1">
        <f t="array" ref="H46">((2*ttotal6)/(3*s_t))*(st_b[[#This Row],[s(tb)]]+(s_t/4))</f>
        <v>7.1481481481481479E-2</v>
      </c>
      <c r="I46" s="3">
        <f t="shared" si="4"/>
        <v>3.7037037037038201E-4</v>
      </c>
      <c r="J46" s="14">
        <f t="shared" si="1"/>
        <v>7.4074074074076401</v>
      </c>
      <c r="M46" s="8">
        <v>2.6800000000000001E-3</v>
      </c>
      <c r="N46" s="3">
        <f>(-INDEX(Overview[b],6)+SQRT(POWER(INDEX(Overview[b],6),2)-(4*INDEX(Overview[a],6)*st_c[[#This Row],[c]])))/(2*INDEX(Overview[a],6))</f>
        <v>0.13037792973654541</v>
      </c>
      <c r="O46" s="3">
        <f t="shared" si="5"/>
        <v>5.6264962938323837E-4</v>
      </c>
      <c r="P46" s="14">
        <f t="shared" si="2"/>
        <v>11.252992587664767</v>
      </c>
    </row>
    <row r="47" spans="1:16" x14ac:dyDescent="0.25">
      <c r="A47" s="2">
        <v>4.4000000000000002E-4</v>
      </c>
      <c r="B47" s="3" cm="1">
        <f t="array" ref="B47">SQRT((4*POWER(ttotal6,2)*st_a[[#This Row],[s(ta)]])/(9*s_t))</f>
        <v>4.2552315900281697E-2</v>
      </c>
      <c r="C47" s="3">
        <f t="shared" si="3"/>
        <v>4.8632815361300541E-4</v>
      </c>
      <c r="D47" s="14">
        <f t="shared" si="0"/>
        <v>9.7265630722601077</v>
      </c>
      <c r="G47" s="8">
        <v>1.1900000000000001E-3</v>
      </c>
      <c r="H47" s="3" cm="1">
        <f t="array" ref="H47">((2*ttotal6)/(3*s_t))*(st_b[[#This Row],[s(tb)]]+(s_t/4))</f>
        <v>7.1851851851851847E-2</v>
      </c>
      <c r="I47" s="3">
        <f t="shared" si="4"/>
        <v>3.7037037037036813E-4</v>
      </c>
      <c r="J47" s="14">
        <f t="shared" si="1"/>
        <v>7.4074074074073621</v>
      </c>
      <c r="M47" s="8">
        <v>2.6900000000000001E-3</v>
      </c>
      <c r="N47" s="3">
        <f>(-INDEX(Overview[b],6)+SQRT(POWER(INDEX(Overview[b],6),2)-(4*INDEX(Overview[a],6)*st_c[[#This Row],[c]])))/(2*INDEX(Overview[a],6))</f>
        <v>0.1309494416259519</v>
      </c>
      <c r="O47" s="3">
        <f t="shared" si="5"/>
        <v>5.7151188940648967E-4</v>
      </c>
      <c r="P47" s="14">
        <f t="shared" si="2"/>
        <v>11.430237788129793</v>
      </c>
    </row>
    <row r="48" spans="1:16" x14ac:dyDescent="0.25">
      <c r="A48" s="2">
        <v>4.5000000000000004E-4</v>
      </c>
      <c r="B48" s="3" cm="1">
        <f t="array" ref="B48">SQRT((4*POWER(ttotal6,2)*st_a[[#This Row],[s(ta)]])/(9*s_t))</f>
        <v>4.3033148291193521E-2</v>
      </c>
      <c r="C48" s="3">
        <f t="shared" si="3"/>
        <v>4.8083239091182423E-4</v>
      </c>
      <c r="D48" s="14">
        <f t="shared" si="0"/>
        <v>9.6166478182364834</v>
      </c>
      <c r="G48" s="8">
        <v>1.2000000000000001E-3</v>
      </c>
      <c r="H48" s="3" cm="1">
        <f t="array" ref="H48">((2*ttotal6)/(3*s_t))*(st_b[[#This Row],[s(tb)]]+(s_t/4))</f>
        <v>7.2222222222222215E-2</v>
      </c>
      <c r="I48" s="3">
        <f t="shared" si="4"/>
        <v>3.7037037037036813E-4</v>
      </c>
      <c r="J48" s="14">
        <f t="shared" si="1"/>
        <v>7.4074074074073621</v>
      </c>
      <c r="M48" s="8">
        <v>2.7000000000000001E-3</v>
      </c>
      <c r="N48" s="3">
        <f>(-INDEX(Overview[b],6)+SQRT(POWER(INDEX(Overview[b],6),2)-(4*INDEX(Overview[a],6)*st_c[[#This Row],[c]])))/(2*INDEX(Overview[a],6))</f>
        <v>0.13153024822035123</v>
      </c>
      <c r="O48" s="3">
        <f t="shared" si="5"/>
        <v>5.8080659439932458E-4</v>
      </c>
      <c r="P48" s="14">
        <f t="shared" si="2"/>
        <v>11.616131887986491</v>
      </c>
    </row>
    <row r="49" spans="1:16" x14ac:dyDescent="0.25">
      <c r="A49" s="2">
        <v>4.6000000000000001E-4</v>
      </c>
      <c r="B49" s="3" cm="1">
        <f t="array" ref="B49">SQRT((4*POWER(ttotal6,2)*st_a[[#This Row],[s(ta)]])/(9*s_t))</f>
        <v>4.3508667127669369E-2</v>
      </c>
      <c r="C49" s="3">
        <f t="shared" si="3"/>
        <v>4.7551883647584808E-4</v>
      </c>
      <c r="D49" s="14">
        <f t="shared" si="0"/>
        <v>9.5103767295169614</v>
      </c>
      <c r="G49" s="8">
        <v>1.2100000000000001E-3</v>
      </c>
      <c r="H49" s="3" cm="1">
        <f t="array" ref="H49">((2*ttotal6)/(3*s_t))*(st_b[[#This Row],[s(tb)]]+(s_t/4))</f>
        <v>7.2592592592592584E-2</v>
      </c>
      <c r="I49" s="3">
        <f t="shared" si="4"/>
        <v>3.7037037037036813E-4</v>
      </c>
      <c r="J49" s="14">
        <f t="shared" si="1"/>
        <v>7.4074074074073621</v>
      </c>
      <c r="M49" s="8">
        <v>2.7100000000000002E-3</v>
      </c>
      <c r="N49" s="3">
        <f>(-INDEX(Overview[b],6)+SQRT(POWER(INDEX(Overview[b],6),2)-(4*INDEX(Overview[a],6)*st_c[[#This Row],[c]])))/(2*INDEX(Overview[a],6))</f>
        <v>0.13212081832189318</v>
      </c>
      <c r="O49" s="3">
        <f t="shared" si="5"/>
        <v>5.90570101541954E-4</v>
      </c>
      <c r="P49" s="14">
        <f t="shared" si="2"/>
        <v>11.81140203083908</v>
      </c>
    </row>
    <row r="50" spans="1:16" x14ac:dyDescent="0.25">
      <c r="A50" s="2">
        <v>4.7000000000000004E-4</v>
      </c>
      <c r="B50" s="3" cm="1">
        <f t="array" ref="B50">SQRT((4*POWER(ttotal6,2)*st_a[[#This Row],[s(ta)]])/(9*s_t))</f>
        <v>4.3979044766807099E-2</v>
      </c>
      <c r="C50" s="3">
        <f t="shared" si="3"/>
        <v>4.7037763913772984E-4</v>
      </c>
      <c r="D50" s="14">
        <f t="shared" si="0"/>
        <v>9.4075527827545962</v>
      </c>
      <c r="G50" s="8">
        <v>1.2200000000000002E-3</v>
      </c>
      <c r="H50" s="3" cm="1">
        <f t="array" ref="H50">((2*ttotal6)/(3*s_t))*(st_b[[#This Row],[s(tb)]]+(s_t/4))</f>
        <v>7.2962962962962966E-2</v>
      </c>
      <c r="I50" s="3">
        <f t="shared" si="4"/>
        <v>3.7037037037038201E-4</v>
      </c>
      <c r="J50" s="14">
        <f t="shared" si="1"/>
        <v>7.4074074074076401</v>
      </c>
      <c r="M50" s="8">
        <v>2.7200000000000002E-3</v>
      </c>
      <c r="N50" s="3">
        <f>(-INDEX(Overview[b],6)+SQRT(POWER(INDEX(Overview[b],6),2)-(4*INDEX(Overview[a],6)*st_c[[#This Row],[c]])))/(2*INDEX(Overview[a],6))</f>
        <v>0.13272166151884551</v>
      </c>
      <c r="O50" s="3">
        <f t="shared" si="5"/>
        <v>6.0084319695233313E-4</v>
      </c>
      <c r="P50" s="14">
        <f t="shared" si="2"/>
        <v>12.016863939046662</v>
      </c>
    </row>
    <row r="51" spans="1:16" x14ac:dyDescent="0.25">
      <c r="A51" s="2">
        <v>4.8000000000000007E-4</v>
      </c>
      <c r="B51" s="3" cm="1">
        <f t="array" ref="B51">SQRT((4*POWER(ttotal6,2)*st_a[[#This Row],[s(ta)]])/(9*s_t))</f>
        <v>4.4444444444444453E-2</v>
      </c>
      <c r="C51" s="3">
        <f t="shared" si="3"/>
        <v>4.6539967763735424E-4</v>
      </c>
      <c r="D51" s="14">
        <f t="shared" si="0"/>
        <v>9.3079935527470834</v>
      </c>
      <c r="G51" s="8">
        <v>1.2300000000000002E-3</v>
      </c>
      <c r="H51" s="3" cm="1">
        <f t="array" ref="H51">((2*ttotal6)/(3*s_t))*(st_b[[#This Row],[s(tb)]]+(s_t/4))</f>
        <v>7.333333333333332E-2</v>
      </c>
      <c r="I51" s="3">
        <f t="shared" si="4"/>
        <v>3.7037037037035425E-4</v>
      </c>
      <c r="J51" s="14">
        <f t="shared" si="1"/>
        <v>7.407407407407085</v>
      </c>
      <c r="M51" s="8">
        <v>2.7300000000000002E-3</v>
      </c>
      <c r="N51" s="3">
        <f>(-INDEX(Overview[b],6)+SQRT(POWER(INDEX(Overview[b],6),2)-(4*INDEX(Overview[a],6)*st_c[[#This Row],[c]])))/(2*INDEX(Overview[a],6))</f>
        <v>0.13333333333333319</v>
      </c>
      <c r="O51" s="3">
        <f t="shared" si="5"/>
        <v>6.1167181448767982E-4</v>
      </c>
      <c r="P51" s="14">
        <f t="shared" si="2"/>
        <v>12.233436289753596</v>
      </c>
    </row>
    <row r="52" spans="1:16" x14ac:dyDescent="0.25">
      <c r="A52" s="2">
        <v>4.9000000000000009E-4</v>
      </c>
      <c r="B52" s="3" cm="1">
        <f t="array" ref="B52">SQRT((4*POWER(ttotal6,2)*st_a[[#This Row],[s(ta)]])/(9*s_t))</f>
        <v>4.4905020936970894E-2</v>
      </c>
      <c r="C52" s="3">
        <f t="shared" si="3"/>
        <v>4.6057649252644051E-4</v>
      </c>
      <c r="D52" s="14">
        <f t="shared" si="0"/>
        <v>9.2115298505288106</v>
      </c>
      <c r="G52" s="8">
        <v>1.24E-3</v>
      </c>
      <c r="H52" s="3" cm="1">
        <f t="array" ref="H52">((2*ttotal6)/(3*s_t))*(st_b[[#This Row],[s(tb)]]+(s_t/4))</f>
        <v>7.3703703703703688E-2</v>
      </c>
      <c r="I52" s="3">
        <f t="shared" si="4"/>
        <v>3.7037037037036813E-4</v>
      </c>
      <c r="J52" s="14">
        <f t="shared" si="1"/>
        <v>7.4074074074073621</v>
      </c>
      <c r="M52" s="8">
        <v>2.7400000000000002E-3</v>
      </c>
      <c r="N52" s="3">
        <f>(-INDEX(Overview[b],6)+SQRT(POWER(INDEX(Overview[b],6),2)-(4*INDEX(Overview[a],6)*st_c[[#This Row],[c]])))/(2*INDEX(Overview[a],6))</f>
        <v>0.13395644123582268</v>
      </c>
      <c r="O52" s="3">
        <f t="shared" si="5"/>
        <v>6.2310790248948367E-4</v>
      </c>
      <c r="P52" s="14">
        <f t="shared" si="2"/>
        <v>12.462158049789673</v>
      </c>
    </row>
    <row r="53" spans="1:16" x14ac:dyDescent="0.25">
      <c r="A53" s="2">
        <v>5.0000000000000001E-4</v>
      </c>
      <c r="B53" s="3" cm="1">
        <f t="array" ref="B53">SQRT((4*POWER(ttotal6,2)*st_a[[#This Row],[s(ta)]])/(9*s_t))</f>
        <v>4.5360921162651446E-2</v>
      </c>
      <c r="C53" s="3">
        <f t="shared" si="3"/>
        <v>4.5590022568055277E-4</v>
      </c>
      <c r="D53" s="14">
        <f t="shared" si="0"/>
        <v>9.118004513611055</v>
      </c>
      <c r="G53" s="8">
        <v>1.25E-3</v>
      </c>
      <c r="H53" s="3" cm="1">
        <f t="array" ref="H53">((2*ttotal6)/(3*s_t))*(st_b[[#This Row],[s(tb)]]+(s_t/4))</f>
        <v>7.407407407407407E-2</v>
      </c>
      <c r="I53" s="3">
        <f t="shared" si="4"/>
        <v>3.7037037037038201E-4</v>
      </c>
      <c r="J53" s="14">
        <f t="shared" si="1"/>
        <v>7.4074074074076401</v>
      </c>
      <c r="M53" s="8">
        <v>2.7500000000000003E-3</v>
      </c>
      <c r="N53" s="3">
        <f>(-INDEX(Overview[b],6)+SQRT(POWER(INDEX(Overview[b],6),2)-(4*INDEX(Overview[a],6)*st_c[[#This Row],[c]])))/(2*INDEX(Overview[a],6))</f>
        <v>0.13459165171168735</v>
      </c>
      <c r="O53" s="3">
        <f t="shared" si="5"/>
        <v>6.3521047586467816E-4</v>
      </c>
      <c r="P53" s="14">
        <f t="shared" si="2"/>
        <v>12.704209517293563</v>
      </c>
    </row>
    <row r="54" spans="1:16" x14ac:dyDescent="0.25">
      <c r="A54" s="2">
        <v>5.1000000000000004E-4</v>
      </c>
      <c r="B54" s="3" cm="1">
        <f t="array" ref="B54">SQRT((4*POWER(ttotal6,2)*st_a[[#This Row],[s(ta)]])/(9*s_t))</f>
        <v>4.581228472908512E-2</v>
      </c>
      <c r="C54" s="3">
        <f t="shared" si="3"/>
        <v>4.5136356643367403E-4</v>
      </c>
      <c r="D54" s="14">
        <f t="shared" si="0"/>
        <v>9.0272713286734803</v>
      </c>
      <c r="G54" s="8">
        <v>1.2600000000000001E-3</v>
      </c>
      <c r="H54" s="3" cm="1">
        <f t="array" ref="H54">((2*ttotal6)/(3*s_t))*(st_b[[#This Row],[s(tb)]]+(s_t/4))</f>
        <v>7.4444444444444438E-2</v>
      </c>
      <c r="I54" s="3">
        <f t="shared" si="4"/>
        <v>3.7037037037036813E-4</v>
      </c>
      <c r="J54" s="14">
        <f t="shared" si="1"/>
        <v>7.4074074074073621</v>
      </c>
      <c r="M54" s="8">
        <v>2.7600000000000003E-3</v>
      </c>
      <c r="N54" s="3">
        <f>(-INDEX(Overview[b],6)+SQRT(POWER(INDEX(Overview[b],6),2)-(4*INDEX(Overview[a],6)*st_c[[#This Row],[c]])))/(2*INDEX(Overview[a],6))</f>
        <v>0.13523969861393115</v>
      </c>
      <c r="O54" s="3">
        <f t="shared" si="5"/>
        <v>6.4804690224379291E-4</v>
      </c>
      <c r="P54" s="14">
        <f t="shared" si="2"/>
        <v>12.960938044875858</v>
      </c>
    </row>
    <row r="55" spans="1:16" x14ac:dyDescent="0.25">
      <c r="A55" s="2">
        <v>5.2000000000000006E-4</v>
      </c>
      <c r="B55" s="3" cm="1">
        <f t="array" ref="B55">SQRT((4*POWER(ttotal6,2)*st_a[[#This Row],[s(ta)]])/(9*s_t))</f>
        <v>4.6259244432580733E-2</v>
      </c>
      <c r="C55" s="3">
        <f t="shared" si="3"/>
        <v>4.469597034956127E-4</v>
      </c>
      <c r="D55" s="14">
        <f t="shared" si="0"/>
        <v>8.9391940699122543</v>
      </c>
      <c r="G55" s="8">
        <v>1.2700000000000001E-3</v>
      </c>
      <c r="H55" s="3" cm="1">
        <f t="array" ref="H55">((2*ttotal6)/(3*s_t))*(st_b[[#This Row],[s(tb)]]+(s_t/4))</f>
        <v>7.4814814814814806E-2</v>
      </c>
      <c r="I55" s="3">
        <f t="shared" si="4"/>
        <v>3.7037037037036813E-4</v>
      </c>
      <c r="J55" s="14">
        <f t="shared" si="1"/>
        <v>7.4074074074073621</v>
      </c>
      <c r="M55" s="8">
        <v>2.7700000000000003E-3</v>
      </c>
      <c r="N55" s="3">
        <f>(-INDEX(Overview[b],6)+SQRT(POWER(INDEX(Overview[b],6),2)-(4*INDEX(Overview[a],6)*st_c[[#This Row],[c]])))/(2*INDEX(Overview[a],6))</f>
        <v>0.13590139310030333</v>
      </c>
      <c r="O55" s="3">
        <f t="shared" si="5"/>
        <v>6.6169448637218298E-4</v>
      </c>
      <c r="P55" s="14">
        <f t="shared" si="2"/>
        <v>13.233889727443659</v>
      </c>
    </row>
    <row r="56" spans="1:16" x14ac:dyDescent="0.25">
      <c r="A56" s="2">
        <v>5.3000000000000009E-4</v>
      </c>
      <c r="B56" s="3" cm="1">
        <f t="array" ref="B56">SQRT((4*POWER(ttotal6,2)*st_a[[#This Row],[s(ta)]])/(9*s_t))</f>
        <v>4.6701926714512933E-2</v>
      </c>
      <c r="C56" s="3">
        <f t="shared" si="3"/>
        <v>4.4268228193219961E-4</v>
      </c>
      <c r="D56" s="14">
        <f t="shared" si="0"/>
        <v>8.8536456386439912</v>
      </c>
      <c r="G56" s="8">
        <v>1.2800000000000001E-3</v>
      </c>
      <c r="H56" s="3" cm="1">
        <f t="array" ref="H56">((2*ttotal6)/(3*s_t))*(st_b[[#This Row],[s(tb)]]+(s_t/4))</f>
        <v>7.5185185185185174E-2</v>
      </c>
      <c r="I56" s="3">
        <f t="shared" si="4"/>
        <v>3.7037037037036813E-4</v>
      </c>
      <c r="J56" s="14">
        <f t="shared" si="1"/>
        <v>7.4074074074073621</v>
      </c>
      <c r="M56" s="8">
        <v>2.7800000000000004E-3</v>
      </c>
      <c r="N56" s="3">
        <f>(-INDEX(Overview[b],6)+SQRT(POWER(INDEX(Overview[b],6),2)-(4*INDEX(Overview[a],6)*st_c[[#This Row],[c]])))/(2*INDEX(Overview[a],6))</f>
        <v>0.13657763553838523</v>
      </c>
      <c r="O56" s="3">
        <f t="shared" si="5"/>
        <v>6.7624243808189766E-4</v>
      </c>
      <c r="P56" s="14">
        <f t="shared" si="2"/>
        <v>13.524848761637953</v>
      </c>
    </row>
    <row r="57" spans="1:16" x14ac:dyDescent="0.25">
      <c r="A57" s="2">
        <v>5.4000000000000001E-4</v>
      </c>
      <c r="B57" s="3" cm="1">
        <f t="array" ref="B57">SQRT((4*POWER(ttotal6,2)*st_a[[#This Row],[s(ta)]])/(9*s_t))</f>
        <v>4.7140452079103168E-2</v>
      </c>
      <c r="C57" s="3">
        <f t="shared" si="3"/>
        <v>4.3852536459023511E-4</v>
      </c>
      <c r="D57" s="14">
        <f t="shared" si="0"/>
        <v>8.7705072918047016</v>
      </c>
      <c r="G57" s="8">
        <v>1.2900000000000001E-3</v>
      </c>
      <c r="H57" s="3" cm="1">
        <f t="array" ref="H57">((2*ttotal6)/(3*s_t))*(st_b[[#This Row],[s(tb)]]+(s_t/4))</f>
        <v>7.5555555555555542E-2</v>
      </c>
      <c r="I57" s="3">
        <f t="shared" si="4"/>
        <v>3.7037037037036813E-4</v>
      </c>
      <c r="J57" s="14">
        <f t="shared" si="1"/>
        <v>7.4074074074073621</v>
      </c>
      <c r="M57" s="8">
        <v>2.7900000000000004E-3</v>
      </c>
      <c r="N57" s="3">
        <f>(-INDEX(Overview[b],6)+SQRT(POWER(INDEX(Overview[b],6),2)-(4*INDEX(Overview[a],6)*st_c[[#This Row],[c]])))/(2*INDEX(Overview[a],6))</f>
        <v>0.13726942987706003</v>
      </c>
      <c r="O57" s="3">
        <f t="shared" si="5"/>
        <v>6.91794338674806E-4</v>
      </c>
      <c r="P57" s="14">
        <f t="shared" si="2"/>
        <v>13.835886773496119</v>
      </c>
    </row>
    <row r="58" spans="1:16" x14ac:dyDescent="0.25">
      <c r="A58" s="2">
        <v>5.5000000000000003E-4</v>
      </c>
      <c r="B58" s="3" cm="1">
        <f t="array" ref="B58">SQRT((4*POWER(ttotal6,2)*st_a[[#This Row],[s(ta)]])/(9*s_t))</f>
        <v>4.7574935476537517E-2</v>
      </c>
      <c r="C58" s="3">
        <f t="shared" si="3"/>
        <v>4.3448339743434872E-4</v>
      </c>
      <c r="D58" s="14">
        <f t="shared" si="0"/>
        <v>8.6896679486869743</v>
      </c>
      <c r="G58" s="8">
        <v>1.3000000000000002E-3</v>
      </c>
      <c r="H58" s="3" cm="1">
        <f t="array" ref="H58">((2*ttotal6)/(3*s_t))*(st_b[[#This Row],[s(tb)]]+(s_t/4))</f>
        <v>7.5925925925925924E-2</v>
      </c>
      <c r="I58" s="3">
        <f t="shared" si="4"/>
        <v>3.7037037037038201E-4</v>
      </c>
      <c r="J58" s="14">
        <f t="shared" si="1"/>
        <v>7.4074074074076401</v>
      </c>
      <c r="M58" s="8">
        <v>2.8000000000000004E-3</v>
      </c>
      <c r="N58" s="3">
        <f>(-INDEX(Overview[b],6)+SQRT(POWER(INDEX(Overview[b],6),2)-(4*INDEX(Overview[a],6)*st_c[[#This Row],[c]])))/(2*INDEX(Overview[a],6))</f>
        <v>0.13797790113920419</v>
      </c>
      <c r="O58" s="3">
        <f t="shared" si="5"/>
        <v>7.0847126214415579E-4</v>
      </c>
      <c r="P58" s="14">
        <f t="shared" si="2"/>
        <v>14.169425242883115</v>
      </c>
    </row>
    <row r="59" spans="1:16" x14ac:dyDescent="0.25">
      <c r="A59" s="2">
        <v>5.6000000000000006E-4</v>
      </c>
      <c r="B59" s="3" cm="1">
        <f t="array" ref="B59">SQRT((4*POWER(ttotal6,2)*st_a[[#This Row],[s(ta)]])/(9*s_t))</f>
        <v>4.8005486654873038E-2</v>
      </c>
      <c r="C59" s="3">
        <f t="shared" si="3"/>
        <v>4.305511783355212E-4</v>
      </c>
      <c r="D59" s="14">
        <f t="shared" si="0"/>
        <v>8.6110235667104238</v>
      </c>
      <c r="G59" s="8">
        <v>1.3100000000000002E-3</v>
      </c>
      <c r="H59" s="3" cm="1">
        <f t="array" ref="H59">((2*ttotal6)/(3*s_t))*(st_b[[#This Row],[s(tb)]]+(s_t/4))</f>
        <v>7.6296296296296293E-2</v>
      </c>
      <c r="I59" s="3">
        <f t="shared" si="4"/>
        <v>3.7037037037036813E-4</v>
      </c>
      <c r="J59" s="14">
        <f t="shared" si="1"/>
        <v>7.4074074074073621</v>
      </c>
      <c r="M59" s="8">
        <v>2.8100000000000004E-3</v>
      </c>
      <c r="N59" s="3">
        <f>(-INDEX(Overview[b],6)+SQRT(POWER(INDEX(Overview[b],6),2)-(4*INDEX(Overview[a],6)*st_c[[#This Row],[c]])))/(2*INDEX(Overview[a],6))</f>
        <v>0.1387043169064045</v>
      </c>
      <c r="O59" s="3">
        <f t="shared" si="5"/>
        <v>7.2641576720031131E-4</v>
      </c>
      <c r="P59" s="14">
        <f t="shared" si="2"/>
        <v>14.528315344006225</v>
      </c>
    </row>
    <row r="60" spans="1:16" x14ac:dyDescent="0.25">
      <c r="A60" s="2">
        <v>5.7000000000000009E-4</v>
      </c>
      <c r="B60" s="3" cm="1">
        <f t="array" ref="B60">SQRT((4*POWER(ttotal6,2)*st_a[[#This Row],[s(ta)]])/(9*s_t))</f>
        <v>4.8432210483785265E-2</v>
      </c>
      <c r="C60" s="3">
        <f t="shared" si="3"/>
        <v>4.2672382891222743E-4</v>
      </c>
      <c r="D60" s="14">
        <f t="shared" si="0"/>
        <v>8.5344765782445489</v>
      </c>
      <c r="G60" s="8">
        <v>1.3200000000000002E-3</v>
      </c>
      <c r="H60" s="3" cm="1">
        <f t="array" ref="H60">((2*ttotal6)/(3*s_t))*(st_b[[#This Row],[s(tb)]]+(s_t/4))</f>
        <v>7.6666666666666661E-2</v>
      </c>
      <c r="I60" s="3">
        <f t="shared" si="4"/>
        <v>3.7037037037036813E-4</v>
      </c>
      <c r="J60" s="14">
        <f t="shared" si="1"/>
        <v>7.4074074074073621</v>
      </c>
      <c r="M60" s="8">
        <v>2.82E-3</v>
      </c>
      <c r="N60" s="3">
        <f>(-INDEX(Overview[b],6)+SQRT(POWER(INDEX(Overview[b],6),2)-(4*INDEX(Overview[a],6)*st_c[[#This Row],[c]])))/(2*INDEX(Overview[a],6))</f>
        <v>0.13945011396907564</v>
      </c>
      <c r="O60" s="3">
        <f t="shared" si="5"/>
        <v>7.4579706267113854E-4</v>
      </c>
      <c r="P60" s="14">
        <f t="shared" si="2"/>
        <v>14.915941253422771</v>
      </c>
    </row>
    <row r="61" spans="1:16" x14ac:dyDescent="0.25">
      <c r="A61" s="2">
        <v>5.8E-4</v>
      </c>
      <c r="B61" s="3" cm="1">
        <f t="array" ref="B61">SQRT((4*POWER(ttotal6,2)*st_a[[#This Row],[s(ta)]])/(9*s_t))</f>
        <v>4.8855207252862666E-2</v>
      </c>
      <c r="C61" s="3">
        <f t="shared" si="3"/>
        <v>4.2299676907740086E-4</v>
      </c>
      <c r="D61" s="14">
        <f t="shared" si="0"/>
        <v>8.4599353815480161</v>
      </c>
      <c r="G61" s="8">
        <v>1.33E-3</v>
      </c>
      <c r="H61" s="3" cm="1">
        <f t="array" ref="H61">((2*ttotal6)/(3*s_t))*(st_b[[#This Row],[s(tb)]]+(s_t/4))</f>
        <v>7.7037037037037029E-2</v>
      </c>
      <c r="I61" s="3">
        <f t="shared" si="4"/>
        <v>3.7037037037036813E-4</v>
      </c>
      <c r="J61" s="14">
        <f t="shared" si="1"/>
        <v>7.4074074074073621</v>
      </c>
      <c r="M61" s="8">
        <v>2.8300000000000001E-3</v>
      </c>
      <c r="N61" s="3">
        <f>(-INDEX(Overview[b],6)+SQRT(POWER(INDEX(Overview[b],6),2)-(4*INDEX(Overview[a],6)*st_c[[#This Row],[c]])))/(2*INDEX(Overview[a],6))</f>
        <v>0.14021693174613745</v>
      </c>
      <c r="O61" s="3">
        <f t="shared" si="5"/>
        <v>7.6681777706180676E-4</v>
      </c>
      <c r="P61" s="14">
        <f t="shared" si="2"/>
        <v>15.336355541236134</v>
      </c>
    </row>
    <row r="62" spans="1:16" x14ac:dyDescent="0.25">
      <c r="A62" s="2">
        <v>5.9000000000000003E-4</v>
      </c>
      <c r="B62" s="3" cm="1">
        <f t="array" ref="B62">SQRT((4*POWER(ttotal6,2)*st_a[[#This Row],[s(ta)]])/(9*s_t))</f>
        <v>4.9274572946852113E-2</v>
      </c>
      <c r="C62" s="3">
        <f t="shared" si="3"/>
        <v>4.1936569398944717E-4</v>
      </c>
      <c r="D62" s="14">
        <f t="shared" si="0"/>
        <v>8.3873138797889428</v>
      </c>
      <c r="G62" s="8">
        <v>1.34E-3</v>
      </c>
      <c r="H62" s="3" cm="1">
        <f t="array" ref="H62">((2*ttotal6)/(3*s_t))*(st_b[[#This Row],[s(tb)]]+(s_t/4))</f>
        <v>7.7407407407407383E-2</v>
      </c>
      <c r="I62" s="3">
        <f t="shared" si="4"/>
        <v>3.7037037037035425E-4</v>
      </c>
      <c r="J62" s="14">
        <f t="shared" si="1"/>
        <v>7.407407407407085</v>
      </c>
      <c r="M62" s="8">
        <v>2.8400000000000001E-3</v>
      </c>
      <c r="N62" s="3">
        <f>(-INDEX(Overview[b],6)+SQRT(POWER(INDEX(Overview[b],6),2)-(4*INDEX(Overview[a],6)*st_c[[#This Row],[c]])))/(2*INDEX(Overview[a],6))</f>
        <v>0.14100665470268317</v>
      </c>
      <c r="O62" s="3">
        <f t="shared" si="5"/>
        <v>7.8972295654572422E-4</v>
      </c>
      <c r="P62" s="14">
        <f t="shared" si="2"/>
        <v>15.794459130914484</v>
      </c>
    </row>
    <row r="63" spans="1:16" x14ac:dyDescent="0.25">
      <c r="A63" s="2">
        <v>6.0000000000000006E-4</v>
      </c>
      <c r="B63" s="3" cm="1">
        <f t="array" ref="B63">SQRT((4*POWER(ttotal6,2)*st_a[[#This Row],[s(ta)]])/(9*s_t))</f>
        <v>4.9690399499995326E-2</v>
      </c>
      <c r="C63" s="3">
        <f t="shared" si="3"/>
        <v>4.1582655314321287E-4</v>
      </c>
      <c r="D63" s="14">
        <f t="shared" si="0"/>
        <v>8.3165310628642573</v>
      </c>
      <c r="G63" s="8">
        <v>1.3500000000000001E-3</v>
      </c>
      <c r="H63" s="3" cm="1">
        <f t="array" ref="H63">((2*ttotal6)/(3*s_t))*(st_b[[#This Row],[s(tb)]]+(s_t/4))</f>
        <v>7.7777777777777779E-2</v>
      </c>
      <c r="I63" s="3">
        <f t="shared" si="4"/>
        <v>3.7037037037039588E-4</v>
      </c>
      <c r="J63" s="14">
        <f t="shared" si="1"/>
        <v>7.4074074074079173</v>
      </c>
      <c r="M63" s="8">
        <v>2.8500000000000001E-3</v>
      </c>
      <c r="N63" s="3">
        <f>(-INDEX(Overview[b],6)+SQRT(POWER(INDEX(Overview[b],6),2)-(4*INDEX(Overview[a],6)*st_c[[#This Row],[c]])))/(2*INDEX(Overview[a],6))</f>
        <v>0.14182146691666883</v>
      </c>
      <c r="O63" s="3">
        <f t="shared" si="5"/>
        <v>8.1481221398566062E-4</v>
      </c>
      <c r="P63" s="14">
        <f t="shared" si="2"/>
        <v>16.296244279713211</v>
      </c>
    </row>
    <row r="64" spans="1:16" x14ac:dyDescent="0.25">
      <c r="A64" s="2">
        <v>6.1000000000000008E-4</v>
      </c>
      <c r="B64" s="3" cm="1">
        <f t="array" ref="B64">SQRT((4*POWER(ttotal6,2)*st_a[[#This Row],[s(ta)]])/(9*s_t))</f>
        <v>5.0102775031365496E-2</v>
      </c>
      <c r="C64" s="3">
        <f t="shared" si="3"/>
        <v>4.1237553137016963E-4</v>
      </c>
      <c r="D64" s="14">
        <f t="shared" si="0"/>
        <v>8.2475106274033916</v>
      </c>
      <c r="G64" s="8">
        <v>1.3600000000000001E-3</v>
      </c>
      <c r="H64" s="3" cm="1">
        <f t="array" ref="H64">((2*ttotal6)/(3*s_t))*(st_b[[#This Row],[s(tb)]]+(s_t/4))</f>
        <v>7.8148148148148133E-2</v>
      </c>
      <c r="I64" s="3">
        <f t="shared" si="4"/>
        <v>3.7037037037035425E-4</v>
      </c>
      <c r="J64" s="14">
        <f t="shared" si="1"/>
        <v>7.407407407407085</v>
      </c>
      <c r="M64" s="8">
        <v>2.8600000000000001E-3</v>
      </c>
      <c r="N64" s="3">
        <f>(-INDEX(Overview[b],6)+SQRT(POWER(INDEX(Overview[b],6),2)-(4*INDEX(Overview[a],6)*st_c[[#This Row],[c]])))/(2*INDEX(Overview[a],6))</f>
        <v>0.14266392333922992</v>
      </c>
      <c r="O64" s="3">
        <f t="shared" si="5"/>
        <v>8.4245642256108866E-4</v>
      </c>
      <c r="P64" s="14">
        <f t="shared" si="2"/>
        <v>16.849128451221773</v>
      </c>
    </row>
    <row r="65" spans="1:16" x14ac:dyDescent="0.25">
      <c r="A65" s="2">
        <v>6.2E-4</v>
      </c>
      <c r="B65" s="3" cm="1">
        <f t="array" ref="B65">SQRT((4*POWER(ttotal6,2)*st_a[[#This Row],[s(ta)]])/(9*s_t))</f>
        <v>5.0511784062910577E-2</v>
      </c>
      <c r="C65" s="3">
        <f t="shared" si="3"/>
        <v>4.0900903154508089E-4</v>
      </c>
      <c r="D65" s="14">
        <f t="shared" si="0"/>
        <v>8.1801806309016172</v>
      </c>
      <c r="G65" s="8">
        <v>1.3700000000000001E-3</v>
      </c>
      <c r="H65" s="3" cm="1">
        <f t="array" ref="H65">((2*ttotal6)/(3*s_t))*(st_b[[#This Row],[s(tb)]]+(s_t/4))</f>
        <v>7.8518518518518515E-2</v>
      </c>
      <c r="I65" s="3">
        <f t="shared" si="4"/>
        <v>3.7037037037038201E-4</v>
      </c>
      <c r="J65" s="14">
        <f t="shared" si="1"/>
        <v>7.4074074074076401</v>
      </c>
      <c r="M65" s="8">
        <v>2.8700000000000002E-3</v>
      </c>
      <c r="N65" s="3">
        <f>(-INDEX(Overview[b],6)+SQRT(POWER(INDEX(Overview[b],6),2)-(4*INDEX(Overview[a],6)*st_c[[#This Row],[c]])))/(2*INDEX(Overview[a],6))</f>
        <v>0.14353704445037618</v>
      </c>
      <c r="O65" s="3">
        <f t="shared" si="5"/>
        <v>8.7312111114626334E-4</v>
      </c>
      <c r="P65" s="14">
        <f t="shared" si="2"/>
        <v>17.462422222925266</v>
      </c>
    </row>
    <row r="66" spans="1:16" x14ac:dyDescent="0.25">
      <c r="A66" s="2">
        <v>6.3000000000000003E-4</v>
      </c>
      <c r="B66" s="3" cm="1">
        <f t="array" ref="B66">SQRT((4*POWER(ttotal6,2)*st_a[[#This Row],[s(ta)]])/(9*s_t))</f>
        <v>5.0917507721731557E-2</v>
      </c>
      <c r="C66" s="3">
        <f t="shared" si="3"/>
        <v>4.057236588209806E-4</v>
      </c>
      <c r="D66" s="14">
        <f t="shared" si="0"/>
        <v>8.1144731764196116</v>
      </c>
      <c r="G66" s="8">
        <v>1.3800000000000002E-3</v>
      </c>
      <c r="H66" s="3" cm="1">
        <f t="array" ref="H66">((2*ttotal6)/(3*s_t))*(st_b[[#This Row],[s(tb)]]+(s_t/4))</f>
        <v>7.888888888888887E-2</v>
      </c>
      <c r="I66" s="3">
        <f t="shared" si="4"/>
        <v>3.7037037037035425E-4</v>
      </c>
      <c r="J66" s="14">
        <f t="shared" si="1"/>
        <v>7.407407407407085</v>
      </c>
      <c r="M66" s="8">
        <v>2.8800000000000002E-3</v>
      </c>
      <c r="N66" s="3">
        <f>(-INDEX(Overview[b],6)+SQRT(POWER(INDEX(Overview[b],6),2)-(4*INDEX(Overview[a],6)*st_c[[#This Row],[c]])))/(2*INDEX(Overview[a],6))</f>
        <v>0.14444444444444435</v>
      </c>
      <c r="O66" s="3">
        <f t="shared" si="5"/>
        <v>9.073999940681643E-4</v>
      </c>
      <c r="P66" s="14">
        <f t="shared" si="2"/>
        <v>18.147999881363287</v>
      </c>
    </row>
    <row r="67" spans="1:16" x14ac:dyDescent="0.25">
      <c r="A67" s="2">
        <v>6.4000000000000005E-4</v>
      </c>
      <c r="B67" s="3" cm="1">
        <f t="array" ref="B67">SQRT((4*POWER(ttotal6,2)*st_a[[#This Row],[s(ta)]])/(9*s_t))</f>
        <v>5.1320023927966731E-2</v>
      </c>
      <c r="C67" s="3">
        <f t="shared" si="3"/>
        <v>4.0251620623517337E-4</v>
      </c>
      <c r="D67" s="14">
        <f t="shared" si="0"/>
        <v>8.0503241247034669</v>
      </c>
      <c r="G67" s="8">
        <v>1.3900000000000002E-3</v>
      </c>
      <c r="H67" s="3" cm="1">
        <f t="array" ref="H67">((2*ttotal6)/(3*s_t))*(st_b[[#This Row],[s(tb)]]+(s_t/4))</f>
        <v>7.9259259259259265E-2</v>
      </c>
      <c r="I67" s="3">
        <f t="shared" si="4"/>
        <v>3.7037037037039588E-4</v>
      </c>
      <c r="J67" s="14">
        <f t="shared" si="1"/>
        <v>7.4074074074079173</v>
      </c>
      <c r="M67" s="8">
        <v>2.8900000000000002E-3</v>
      </c>
      <c r="N67" s="3">
        <f>(-INDEX(Overview[b],6)+SQRT(POWER(INDEX(Overview[b],6),2)-(4*INDEX(Overview[a],6)*st_c[[#This Row],[c]])))/(2*INDEX(Overview[a],6))</f>
        <v>0.14539050871652567</v>
      </c>
      <c r="O67" s="3">
        <f t="shared" si="5"/>
        <v>9.4606427208132615E-4</v>
      </c>
      <c r="P67" s="14">
        <f t="shared" si="2"/>
        <v>18.921285441626523</v>
      </c>
    </row>
    <row r="68" spans="1:16" x14ac:dyDescent="0.25">
      <c r="A68" s="2">
        <v>6.5000000000000008E-4</v>
      </c>
      <c r="B68" s="3" cm="1">
        <f t="array" ref="B68">SQRT((4*POWER(ttotal6,2)*st_a[[#This Row],[s(ta)]])/(9*s_t))</f>
        <v>5.1719407569514604E-2</v>
      </c>
      <c r="C68" s="3">
        <f t="shared" si="3"/>
        <v>3.9938364154787354E-4</v>
      </c>
      <c r="D68" s="14">
        <f t="shared" ref="D68:D78" si="6">C68/0.00005</f>
        <v>7.9876728309574707</v>
      </c>
      <c r="G68" s="8">
        <v>1.4000000000000002E-3</v>
      </c>
      <c r="H68" s="3" cm="1">
        <f t="array" ref="H68">((2*ttotal6)/(3*s_t))*(st_b[[#This Row],[s(tb)]]+(s_t/4))</f>
        <v>7.962962962962962E-2</v>
      </c>
      <c r="I68" s="3">
        <f t="shared" si="4"/>
        <v>3.7037037037035425E-4</v>
      </c>
      <c r="J68" s="14">
        <f t="shared" ref="J68:J131" si="7">I68/0.00005</f>
        <v>7.407407407407085</v>
      </c>
      <c r="M68" s="8">
        <v>2.9000000000000002E-3</v>
      </c>
      <c r="N68" s="3">
        <f>(-INDEX(Overview[b],6)+SQRT(POWER(INDEX(Overview[b],6),2)-(4*INDEX(Overview[a],6)*st_c[[#This Row],[c]])))/(2*INDEX(Overview[a],6))</f>
        <v>0.14638064601832698</v>
      </c>
      <c r="O68" s="3">
        <f t="shared" si="5"/>
        <v>9.9013730180130821E-4</v>
      </c>
      <c r="P68" s="14">
        <f t="shared" ref="P68:P78" si="8">O68/0.00005</f>
        <v>19.802746036026164</v>
      </c>
    </row>
    <row r="69" spans="1:16" x14ac:dyDescent="0.25">
      <c r="A69" s="2">
        <v>6.600000000000001E-4</v>
      </c>
      <c r="B69" s="3" cm="1">
        <f t="array" ref="B69">SQRT((4*POWER(ttotal6,2)*st_a[[#This Row],[s(ta)]])/(9*s_t))</f>
        <v>5.2115730664704776E-2</v>
      </c>
      <c r="C69" s="3">
        <f t="shared" ref="C69:C78" si="9">B69-B68</f>
        <v>3.9632309519017223E-4</v>
      </c>
      <c r="D69" s="14">
        <f t="shared" si="6"/>
        <v>7.9264619038034443</v>
      </c>
      <c r="G69" s="8">
        <v>1.41E-3</v>
      </c>
      <c r="H69" s="3" cm="1">
        <f t="array" ref="H69">((2*ttotal6)/(3*s_t))*(st_b[[#This Row],[s(tb)]]+(s_t/4))</f>
        <v>7.9999999999999988E-2</v>
      </c>
      <c r="I69" s="3">
        <f t="shared" ref="I69:I132" si="10">H69-H68</f>
        <v>3.7037037037036813E-4</v>
      </c>
      <c r="J69" s="14">
        <f t="shared" si="7"/>
        <v>7.4074074074073621</v>
      </c>
      <c r="M69" s="8">
        <v>2.9100000000000003E-3</v>
      </c>
      <c r="N69" s="3">
        <f>(-INDEX(Overview[b],6)+SQRT(POWER(INDEX(Overview[b],6),2)-(4*INDEX(Overview[a],6)*st_c[[#This Row],[c]])))/(2*INDEX(Overview[a],6))</f>
        <v>0.14742165769367896</v>
      </c>
      <c r="O69" s="3">
        <f t="shared" ref="O69:O78" si="11">N69-N68</f>
        <v>1.0410116753519771E-3</v>
      </c>
      <c r="P69" s="14">
        <f t="shared" si="8"/>
        <v>20.820233507039543</v>
      </c>
    </row>
    <row r="70" spans="1:16" x14ac:dyDescent="0.25">
      <c r="A70" s="2">
        <v>6.7000000000000002E-4</v>
      </c>
      <c r="B70" s="3" cm="1">
        <f t="array" ref="B70">SQRT((4*POWER(ttotal6,2)*st_a[[#This Row],[s(ta)]])/(9*s_t))</f>
        <v>5.2509062513917876E-2</v>
      </c>
      <c r="C70" s="3">
        <f t="shared" si="9"/>
        <v>3.9333184921309938E-4</v>
      </c>
      <c r="D70" s="14">
        <f t="shared" si="6"/>
        <v>7.8666369842619872</v>
      </c>
      <c r="G70" s="8">
        <v>1.42E-3</v>
      </c>
      <c r="H70" s="3" cm="1">
        <f t="array" ref="H70">((2*ttotal6)/(3*s_t))*(st_b[[#This Row],[s(tb)]]+(s_t/4))</f>
        <v>8.0370370370370356E-2</v>
      </c>
      <c r="I70" s="3">
        <f t="shared" si="10"/>
        <v>3.7037037037036813E-4</v>
      </c>
      <c r="J70" s="14">
        <f t="shared" si="7"/>
        <v>7.4074074074073621</v>
      </c>
      <c r="M70" s="8">
        <v>2.9200000000000003E-3</v>
      </c>
      <c r="N70" s="3">
        <f>(-INDEX(Overview[b],6)+SQRT(POWER(INDEX(Overview[b],6),2)-(4*INDEX(Overview[a],6)*st_c[[#This Row],[c]])))/(2*INDEX(Overview[a],6))</f>
        <v>0.14852229820160595</v>
      </c>
      <c r="O70" s="3">
        <f t="shared" si="11"/>
        <v>1.1006405079269921E-3</v>
      </c>
      <c r="P70" s="14">
        <f t="shared" si="8"/>
        <v>22.012810158539839</v>
      </c>
    </row>
    <row r="71" spans="1:16" x14ac:dyDescent="0.25">
      <c r="A71" s="2">
        <v>6.8000000000000005E-4</v>
      </c>
      <c r="B71" s="3" cm="1">
        <f t="array" ref="B71">SQRT((4*POWER(ttotal6,2)*st_a[[#This Row],[s(ta)]])/(9*s_t))</f>
        <v>5.2899469841058151E-2</v>
      </c>
      <c r="C71" s="3">
        <f t="shared" si="9"/>
        <v>3.9040732714027554E-4</v>
      </c>
      <c r="D71" s="14">
        <f t="shared" si="6"/>
        <v>7.8081465428055106</v>
      </c>
      <c r="G71" s="8">
        <v>1.4300000000000001E-3</v>
      </c>
      <c r="H71" s="3" cm="1">
        <f t="array" ref="H71">((2*ttotal6)/(3*s_t))*(st_b[[#This Row],[s(tb)]]+(s_t/4))</f>
        <v>8.0740740740740724E-2</v>
      </c>
      <c r="I71" s="3">
        <f t="shared" si="10"/>
        <v>3.7037037037036813E-4</v>
      </c>
      <c r="J71" s="14">
        <f t="shared" si="7"/>
        <v>7.4074074074073621</v>
      </c>
      <c r="M71" s="8">
        <v>2.9300000000000003E-3</v>
      </c>
      <c r="N71" s="3">
        <f>(-INDEX(Overview[b],6)+SQRT(POWER(INDEX(Overview[b],6),2)-(4*INDEX(Overview[a],6)*st_c[[#This Row],[c]])))/(2*INDEX(Overview[a],6))</f>
        <v>0.14969416409275593</v>
      </c>
      <c r="O71" s="3">
        <f t="shared" si="11"/>
        <v>1.1718658911499813E-3</v>
      </c>
      <c r="P71" s="14">
        <f t="shared" si="8"/>
        <v>23.437317822999624</v>
      </c>
    </row>
    <row r="72" spans="1:16" x14ac:dyDescent="0.25">
      <c r="A72" s="2">
        <v>6.9000000000000008E-4</v>
      </c>
      <c r="B72" s="3" cm="1">
        <f t="array" ref="B72">SQRT((4*POWER(ttotal6,2)*st_a[[#This Row],[s(ta)]])/(9*s_t))</f>
        <v>5.3287016925696887E-2</v>
      </c>
      <c r="C72" s="3">
        <f t="shared" si="9"/>
        <v>3.875470846387355E-4</v>
      </c>
      <c r="D72" s="14">
        <f t="shared" si="6"/>
        <v>7.7509416927747097</v>
      </c>
      <c r="G72" s="8">
        <v>1.4400000000000001E-3</v>
      </c>
      <c r="H72" s="3" cm="1">
        <f t="array" ref="H72">((2*ttotal6)/(3*s_t))*(st_b[[#This Row],[s(tb)]]+(s_t/4))</f>
        <v>8.1111111111111106E-2</v>
      </c>
      <c r="I72" s="3">
        <f t="shared" si="10"/>
        <v>3.7037037037038201E-4</v>
      </c>
      <c r="J72" s="14">
        <f t="shared" si="7"/>
        <v>7.4074074074076401</v>
      </c>
      <c r="M72" s="8">
        <v>2.9400000000000003E-3</v>
      </c>
      <c r="N72" s="3">
        <f>(-INDEX(Overview[b],6)+SQRT(POWER(INDEX(Overview[b],6),2)-(4*INDEX(Overview[a],6)*st_c[[#This Row],[c]])))/(2*INDEX(Overview[a],6))</f>
        <v>0.15095318264029864</v>
      </c>
      <c r="O72" s="3">
        <f t="shared" si="11"/>
        <v>1.2590185475427063E-3</v>
      </c>
      <c r="P72" s="14">
        <f t="shared" si="8"/>
        <v>25.180370950854122</v>
      </c>
    </row>
    <row r="73" spans="1:16" x14ac:dyDescent="0.25">
      <c r="A73" s="2">
        <v>7.000000000000001E-4</v>
      </c>
      <c r="B73" s="3" cm="1">
        <f t="array" ref="B73">SQRT((4*POWER(ttotal6,2)*st_a[[#This Row],[s(ta)]])/(9*s_t))</f>
        <v>5.3671765726627553E-2</v>
      </c>
      <c r="C73" s="3">
        <f t="shared" si="9"/>
        <v>3.8474880093066627E-4</v>
      </c>
      <c r="D73" s="14">
        <f t="shared" si="6"/>
        <v>7.6949760186133247</v>
      </c>
      <c r="G73" s="8">
        <v>1.4500000000000001E-3</v>
      </c>
      <c r="H73" s="3" cm="1">
        <f t="array" ref="H73">((2*ttotal6)/(3*s_t))*(st_b[[#This Row],[s(tb)]]+(s_t/4))</f>
        <v>8.1481481481481474E-2</v>
      </c>
      <c r="I73" s="3">
        <f t="shared" si="10"/>
        <v>3.7037037037036813E-4</v>
      </c>
      <c r="J73" s="14">
        <f t="shared" si="7"/>
        <v>7.4074074074073621</v>
      </c>
      <c r="M73" s="8">
        <v>2.9500000000000004E-3</v>
      </c>
      <c r="N73" s="3">
        <f>(-INDEX(Overview[b],6)+SQRT(POWER(INDEX(Overview[b],6),2)-(4*INDEX(Overview[a],6)*st_c[[#This Row],[c]])))/(2*INDEX(Overview[a],6))</f>
        <v>0.1523222839029352</v>
      </c>
      <c r="O73" s="3">
        <f t="shared" si="11"/>
        <v>1.3691012626365628E-3</v>
      </c>
      <c r="P73" s="14">
        <f t="shared" si="8"/>
        <v>27.382025252731257</v>
      </c>
    </row>
    <row r="74" spans="1:16" x14ac:dyDescent="0.25">
      <c r="A74" s="2">
        <v>7.1000000000000002E-4</v>
      </c>
      <c r="B74" s="3" cm="1">
        <f t="array" ref="B74">SQRT((4*POWER(ttotal6,2)*st_a[[#This Row],[s(ta)]])/(9*s_t))</f>
        <v>5.4053775997505271E-2</v>
      </c>
      <c r="C74" s="3">
        <f t="shared" si="9"/>
        <v>3.8201027087771816E-4</v>
      </c>
      <c r="D74" s="14">
        <f t="shared" si="6"/>
        <v>7.6402054175543626</v>
      </c>
      <c r="G74" s="8">
        <v>1.4600000000000001E-3</v>
      </c>
      <c r="H74" s="3" cm="1">
        <f t="array" ref="H74">((2*ttotal6)/(3*s_t))*(st_b[[#This Row],[s(tb)]]+(s_t/4))</f>
        <v>8.1851851851851842E-2</v>
      </c>
      <c r="I74" s="3">
        <f t="shared" si="10"/>
        <v>3.7037037037036813E-4</v>
      </c>
      <c r="J74" s="14">
        <f t="shared" si="7"/>
        <v>7.4074074074073621</v>
      </c>
      <c r="M74" s="8">
        <v>2.9600000000000004E-3</v>
      </c>
      <c r="N74" s="3">
        <f>(-INDEX(Overview[b],6)+SQRT(POWER(INDEX(Overview[b],6),2)-(4*INDEX(Overview[a],6)*st_c[[#This Row],[c]])))/(2*INDEX(Overview[a],6))</f>
        <v>0.15383666068467475</v>
      </c>
      <c r="O74" s="3">
        <f t="shared" si="11"/>
        <v>1.5143767817395459E-3</v>
      </c>
      <c r="P74" s="14">
        <f t="shared" si="8"/>
        <v>30.287535634790917</v>
      </c>
    </row>
    <row r="75" spans="1:16" x14ac:dyDescent="0.25">
      <c r="A75" s="2">
        <v>7.2000000000000005E-4</v>
      </c>
      <c r="B75" s="3" cm="1">
        <f t="array" ref="B75">SQRT((4*POWER(ttotal6,2)*st_a[[#This Row],[s(ta)]])/(9*s_t))</f>
        <v>5.4433105395181737E-2</v>
      </c>
      <c r="C75" s="3">
        <f t="shared" si="9"/>
        <v>3.7932939767646584E-4</v>
      </c>
      <c r="D75" s="14">
        <f t="shared" si="6"/>
        <v>7.5865879535293166</v>
      </c>
      <c r="G75" s="8">
        <v>1.4700000000000002E-3</v>
      </c>
      <c r="H75" s="3" cm="1">
        <f t="array" ref="H75">((2*ttotal6)/(3*s_t))*(st_b[[#This Row],[s(tb)]]+(s_t/4))</f>
        <v>8.222222222222221E-2</v>
      </c>
      <c r="I75" s="3">
        <f t="shared" si="10"/>
        <v>3.7037037037036813E-4</v>
      </c>
      <c r="J75" s="14">
        <f t="shared" si="7"/>
        <v>7.4074074074073621</v>
      </c>
      <c r="M75" s="8">
        <v>2.9700000000000004E-3</v>
      </c>
      <c r="N75" s="3">
        <f>(-INDEX(Overview[b],6)+SQRT(POWER(INDEX(Overview[b],6),2)-(4*INDEX(Overview[a],6)*st_c[[#This Row],[c]])))/(2*INDEX(Overview[a],6))</f>
        <v>0.1555555555555552</v>
      </c>
      <c r="O75" s="3">
        <f t="shared" si="11"/>
        <v>1.7188948708804497E-3</v>
      </c>
      <c r="P75" s="14">
        <f t="shared" si="8"/>
        <v>34.377897417608992</v>
      </c>
    </row>
    <row r="76" spans="1:16" x14ac:dyDescent="0.25">
      <c r="A76" s="2">
        <v>7.3000000000000007E-4</v>
      </c>
      <c r="B76" s="3" cm="1">
        <f t="array" ref="B76">SQRT((4*POWER(ttotal6,2)*st_a[[#This Row],[s(ta)]])/(9*s_t))</f>
        <v>5.4809809581291641E-2</v>
      </c>
      <c r="C76" s="3">
        <f t="shared" si="9"/>
        <v>3.767041861099038E-4</v>
      </c>
      <c r="D76" s="14">
        <f t="shared" si="6"/>
        <v>7.5340837221980754</v>
      </c>
      <c r="G76" s="8">
        <v>1.4800000000000002E-3</v>
      </c>
      <c r="H76" s="3" cm="1">
        <f t="array" ref="H76">((2*ttotal6)/(3*s_t))*(st_b[[#This Row],[s(tb)]]+(s_t/4))</f>
        <v>8.2592592592592592E-2</v>
      </c>
      <c r="I76" s="3">
        <f t="shared" si="10"/>
        <v>3.7037037037038201E-4</v>
      </c>
      <c r="J76" s="14">
        <f t="shared" si="7"/>
        <v>7.4074074074076401</v>
      </c>
      <c r="M76" s="8">
        <v>2.9800000000000004E-3</v>
      </c>
      <c r="N76" s="3">
        <f>(-INDEX(Overview[b],6)+SQRT(POWER(INDEX(Overview[b],6),2)-(4*INDEX(Overview[a],6)*st_c[[#This Row],[c]])))/(2*INDEX(Overview[a],6))</f>
        <v>0.15759448243413582</v>
      </c>
      <c r="O76" s="3">
        <f t="shared" si="11"/>
        <v>2.0389268785806214E-3</v>
      </c>
      <c r="P76" s="14">
        <f t="shared" si="8"/>
        <v>40.778537571612425</v>
      </c>
    </row>
    <row r="77" spans="1:16" x14ac:dyDescent="0.25">
      <c r="A77" s="2">
        <v>7.400000000000001E-4</v>
      </c>
      <c r="B77" s="3" cm="1">
        <f t="array" ref="B77">SQRT((4*POWER(ttotal6,2)*st_a[[#This Row],[s(ta)]])/(9*s_t))</f>
        <v>5.5183942317597559E-2</v>
      </c>
      <c r="C77" s="3">
        <f t="shared" si="9"/>
        <v>3.7413273630591826E-4</v>
      </c>
      <c r="D77" s="14">
        <f t="shared" si="6"/>
        <v>7.4826547261183647</v>
      </c>
      <c r="G77" s="8">
        <v>1.4900000000000002E-3</v>
      </c>
      <c r="H77" s="3" cm="1">
        <f t="array" ref="H77">((2*ttotal6)/(3*s_t))*(st_b[[#This Row],[s(tb)]]+(s_t/4))</f>
        <v>8.2962962962962961E-2</v>
      </c>
      <c r="I77" s="3">
        <f t="shared" si="10"/>
        <v>3.7037037037036813E-4</v>
      </c>
      <c r="J77" s="14">
        <f t="shared" si="7"/>
        <v>7.4074074074073621</v>
      </c>
      <c r="M77" s="8">
        <v>2.99E-3</v>
      </c>
      <c r="N77" s="3">
        <f>(-INDEX(Overview[b],6)+SQRT(POWER(INDEX(Overview[b],6),2)-(4*INDEX(Overview[a],6)*st_c[[#This Row],[c]])))/(2*INDEX(Overview[a],6))</f>
        <v>0.16025166367567015</v>
      </c>
      <c r="O77" s="3">
        <f t="shared" si="11"/>
        <v>2.6571812415343288E-3</v>
      </c>
      <c r="P77" s="14">
        <f t="shared" si="8"/>
        <v>53.143624830686576</v>
      </c>
    </row>
    <row r="78" spans="1:16" x14ac:dyDescent="0.25">
      <c r="A78" s="2">
        <v>7.5000000000000002E-4</v>
      </c>
      <c r="B78" s="3" cm="1">
        <f t="array" ref="B78">SQRT((4*POWER(ttotal6,2)*st_a[[#This Row],[s(ta)]])/(9*s_t))</f>
        <v>5.5555555555555552E-2</v>
      </c>
      <c r="C78" s="3">
        <f t="shared" si="9"/>
        <v>3.7161323795799339E-4</v>
      </c>
      <c r="D78" s="14">
        <f t="shared" si="6"/>
        <v>7.4322647591598674</v>
      </c>
      <c r="G78" s="8">
        <v>1.5E-3</v>
      </c>
      <c r="H78" s="3" cm="1">
        <f t="array" ref="H78">((2*ttotal6)/(3*s_t))*(st_b[[#This Row],[s(tb)]]+(s_t/4))</f>
        <v>8.3333333333333329E-2</v>
      </c>
      <c r="I78" s="3">
        <f t="shared" si="10"/>
        <v>3.7037037037036813E-4</v>
      </c>
      <c r="J78" s="14">
        <f t="shared" si="7"/>
        <v>7.4074074074073621</v>
      </c>
      <c r="M78" s="8">
        <v>3.0000000000000001E-3</v>
      </c>
      <c r="N78" s="3">
        <f>(-INDEX(Overview[b],6)+SQRT(POWER(INDEX(Overview[b],6),2)-(4*INDEX(Overview[a],6)*st_c[[#This Row],[c]])))/(2*INDEX(Overview[a],6))</f>
        <v>0.16666666395660698</v>
      </c>
      <c r="O78" s="3">
        <f t="shared" si="11"/>
        <v>6.4150002809368334E-3</v>
      </c>
      <c r="P78" s="14">
        <f t="shared" si="8"/>
        <v>128.30000561873666</v>
      </c>
    </row>
    <row r="79" spans="1:16" x14ac:dyDescent="0.25">
      <c r="G79" s="8">
        <v>1.5100000000000001E-3</v>
      </c>
      <c r="H79" s="3" cm="1">
        <f t="array" ref="H79">((2*ttotal6)/(3*s_t))*(st_b[[#This Row],[s(tb)]]+(s_t/4))</f>
        <v>8.3703703703703683E-2</v>
      </c>
      <c r="I79" s="3">
        <f t="shared" si="10"/>
        <v>3.7037037037035425E-4</v>
      </c>
      <c r="J79" s="14">
        <f t="shared" si="7"/>
        <v>7.407407407407085</v>
      </c>
    </row>
    <row r="80" spans="1:16" x14ac:dyDescent="0.25">
      <c r="G80" s="8">
        <v>1.5200000000000001E-3</v>
      </c>
      <c r="H80" s="3" cm="1">
        <f t="array" ref="H80">((2*ttotal6)/(3*s_t))*(st_b[[#This Row],[s(tb)]]+(s_t/4))</f>
        <v>8.4074074074074079E-2</v>
      </c>
      <c r="I80" s="3">
        <f t="shared" si="10"/>
        <v>3.7037037037039588E-4</v>
      </c>
      <c r="J80" s="14">
        <f t="shared" si="7"/>
        <v>7.4074074074079173</v>
      </c>
    </row>
    <row r="81" spans="7:10" x14ac:dyDescent="0.25">
      <c r="G81" s="8">
        <v>1.5300000000000001E-3</v>
      </c>
      <c r="H81" s="3" cm="1">
        <f t="array" ref="H81">((2*ttotal6)/(3*s_t))*(st_b[[#This Row],[s(tb)]]+(s_t/4))</f>
        <v>8.4444444444444433E-2</v>
      </c>
      <c r="I81" s="3">
        <f t="shared" si="10"/>
        <v>3.7037037037035425E-4</v>
      </c>
      <c r="J81" s="14">
        <f t="shared" si="7"/>
        <v>7.407407407407085</v>
      </c>
    </row>
    <row r="82" spans="7:10" x14ac:dyDescent="0.25">
      <c r="G82" s="8">
        <v>1.5400000000000001E-3</v>
      </c>
      <c r="H82" s="3" cm="1">
        <f t="array" ref="H82">((2*ttotal6)/(3*s_t))*(st_b[[#This Row],[s(tb)]]+(s_t/4))</f>
        <v>8.4814814814814815E-2</v>
      </c>
      <c r="I82" s="3">
        <f t="shared" si="10"/>
        <v>3.7037037037038201E-4</v>
      </c>
      <c r="J82" s="14">
        <f t="shared" si="7"/>
        <v>7.4074074074076401</v>
      </c>
    </row>
    <row r="83" spans="7:10" x14ac:dyDescent="0.25">
      <c r="G83" s="8">
        <v>1.5500000000000002E-3</v>
      </c>
      <c r="H83" s="3" cm="1">
        <f t="array" ref="H83">((2*ttotal6)/(3*s_t))*(st_b[[#This Row],[s(tb)]]+(s_t/4))</f>
        <v>8.5185185185185169E-2</v>
      </c>
      <c r="I83" s="3">
        <f t="shared" si="10"/>
        <v>3.7037037037035425E-4</v>
      </c>
      <c r="J83" s="14">
        <f t="shared" si="7"/>
        <v>7.407407407407085</v>
      </c>
    </row>
    <row r="84" spans="7:10" x14ac:dyDescent="0.25">
      <c r="G84" s="8">
        <v>1.5600000000000002E-3</v>
      </c>
      <c r="H84" s="3" cm="1">
        <f t="array" ref="H84">((2*ttotal6)/(3*s_t))*(st_b[[#This Row],[s(tb)]]+(s_t/4))</f>
        <v>8.5555555555555551E-2</v>
      </c>
      <c r="I84" s="3">
        <f t="shared" si="10"/>
        <v>3.7037037037038201E-4</v>
      </c>
      <c r="J84" s="14">
        <f t="shared" si="7"/>
        <v>7.4074074074076401</v>
      </c>
    </row>
    <row r="85" spans="7:10" x14ac:dyDescent="0.25">
      <c r="G85" s="8">
        <v>1.5700000000000002E-3</v>
      </c>
      <c r="H85" s="3" cm="1">
        <f t="array" ref="H85">((2*ttotal6)/(3*s_t))*(st_b[[#This Row],[s(tb)]]+(s_t/4))</f>
        <v>8.5925925925925906E-2</v>
      </c>
      <c r="I85" s="3">
        <f t="shared" si="10"/>
        <v>3.7037037037035425E-4</v>
      </c>
      <c r="J85" s="14">
        <f t="shared" si="7"/>
        <v>7.407407407407085</v>
      </c>
    </row>
    <row r="86" spans="7:10" x14ac:dyDescent="0.25">
      <c r="G86" s="8">
        <v>1.58E-3</v>
      </c>
      <c r="H86" s="3" cm="1">
        <f t="array" ref="H86">((2*ttotal6)/(3*s_t))*(st_b[[#This Row],[s(tb)]]+(s_t/4))</f>
        <v>8.6296296296296288E-2</v>
      </c>
      <c r="I86" s="3">
        <f t="shared" si="10"/>
        <v>3.7037037037038201E-4</v>
      </c>
      <c r="J86" s="14">
        <f t="shared" si="7"/>
        <v>7.4074074074076401</v>
      </c>
    </row>
    <row r="87" spans="7:10" x14ac:dyDescent="0.25">
      <c r="G87" s="8">
        <v>1.5900000000000001E-3</v>
      </c>
      <c r="H87" s="3" cm="1">
        <f t="array" ref="H87">((2*ttotal6)/(3*s_t))*(st_b[[#This Row],[s(tb)]]+(s_t/4))</f>
        <v>8.6666666666666656E-2</v>
      </c>
      <c r="I87" s="3">
        <f t="shared" si="10"/>
        <v>3.7037037037036813E-4</v>
      </c>
      <c r="J87" s="14">
        <f t="shared" si="7"/>
        <v>7.4074074074073621</v>
      </c>
    </row>
    <row r="88" spans="7:10" x14ac:dyDescent="0.25">
      <c r="G88" s="8">
        <v>1.6000000000000001E-3</v>
      </c>
      <c r="H88" s="3" cm="1">
        <f t="array" ref="H88">((2*ttotal6)/(3*s_t))*(st_b[[#This Row],[s(tb)]]+(s_t/4))</f>
        <v>8.7037037037037024E-2</v>
      </c>
      <c r="I88" s="3">
        <f t="shared" si="10"/>
        <v>3.7037037037036813E-4</v>
      </c>
      <c r="J88" s="14">
        <f t="shared" si="7"/>
        <v>7.4074074074073621</v>
      </c>
    </row>
    <row r="89" spans="7:10" x14ac:dyDescent="0.25">
      <c r="G89" s="8">
        <v>1.6100000000000001E-3</v>
      </c>
      <c r="H89" s="3" cm="1">
        <f t="array" ref="H89">((2*ttotal6)/(3*s_t))*(st_b[[#This Row],[s(tb)]]+(s_t/4))</f>
        <v>8.7407407407407392E-2</v>
      </c>
      <c r="I89" s="3">
        <f t="shared" si="10"/>
        <v>3.7037037037036813E-4</v>
      </c>
      <c r="J89" s="14">
        <f t="shared" si="7"/>
        <v>7.4074074074073621</v>
      </c>
    </row>
    <row r="90" spans="7:10" x14ac:dyDescent="0.25">
      <c r="G90" s="8">
        <v>1.6200000000000001E-3</v>
      </c>
      <c r="H90" s="3" cm="1">
        <f t="array" ref="H90">((2*ttotal6)/(3*s_t))*(st_b[[#This Row],[s(tb)]]+(s_t/4))</f>
        <v>8.7777777777777774E-2</v>
      </c>
      <c r="I90" s="3">
        <f t="shared" si="10"/>
        <v>3.7037037037038201E-4</v>
      </c>
      <c r="J90" s="14">
        <f t="shared" si="7"/>
        <v>7.4074074074076401</v>
      </c>
    </row>
    <row r="91" spans="7:10" x14ac:dyDescent="0.25">
      <c r="G91" s="8">
        <v>1.6300000000000002E-3</v>
      </c>
      <c r="H91" s="3" cm="1">
        <f t="array" ref="H91">((2*ttotal6)/(3*s_t))*(st_b[[#This Row],[s(tb)]]+(s_t/4))</f>
        <v>8.8148148148148142E-2</v>
      </c>
      <c r="I91" s="3">
        <f t="shared" si="10"/>
        <v>3.7037037037036813E-4</v>
      </c>
      <c r="J91" s="14">
        <f t="shared" si="7"/>
        <v>7.4074074074073621</v>
      </c>
    </row>
    <row r="92" spans="7:10" x14ac:dyDescent="0.25">
      <c r="G92" s="8">
        <v>1.6400000000000002E-3</v>
      </c>
      <c r="H92" s="3" cm="1">
        <f t="array" ref="H92">((2*ttotal6)/(3*s_t))*(st_b[[#This Row],[s(tb)]]+(s_t/4))</f>
        <v>8.851851851851851E-2</v>
      </c>
      <c r="I92" s="3">
        <f t="shared" si="10"/>
        <v>3.7037037037036813E-4</v>
      </c>
      <c r="J92" s="14">
        <f t="shared" si="7"/>
        <v>7.4074074074073621</v>
      </c>
    </row>
    <row r="93" spans="7:10" x14ac:dyDescent="0.25">
      <c r="G93" s="8">
        <v>1.6500000000000002E-3</v>
      </c>
      <c r="H93" s="3" cm="1">
        <f t="array" ref="H93">((2*ttotal6)/(3*s_t))*(st_b[[#This Row],[s(tb)]]+(s_t/4))</f>
        <v>8.8888888888888878E-2</v>
      </c>
      <c r="I93" s="3">
        <f t="shared" si="10"/>
        <v>3.7037037037036813E-4</v>
      </c>
      <c r="J93" s="14">
        <f t="shared" si="7"/>
        <v>7.4074074074073621</v>
      </c>
    </row>
    <row r="94" spans="7:10" x14ac:dyDescent="0.25">
      <c r="G94" s="8">
        <v>1.6600000000000002E-3</v>
      </c>
      <c r="H94" s="3" cm="1">
        <f t="array" ref="H94">((2*ttotal6)/(3*s_t))*(st_b[[#This Row],[s(tb)]]+(s_t/4))</f>
        <v>8.925925925925926E-2</v>
      </c>
      <c r="I94" s="3">
        <f t="shared" si="10"/>
        <v>3.7037037037038201E-4</v>
      </c>
      <c r="J94" s="14">
        <f t="shared" si="7"/>
        <v>7.4074074074076401</v>
      </c>
    </row>
    <row r="95" spans="7:10" x14ac:dyDescent="0.25">
      <c r="G95" s="8">
        <v>1.67E-3</v>
      </c>
      <c r="H95" s="3" cm="1">
        <f t="array" ref="H95">((2*ttotal6)/(3*s_t))*(st_b[[#This Row],[s(tb)]]+(s_t/4))</f>
        <v>8.9629629629629629E-2</v>
      </c>
      <c r="I95" s="3">
        <f t="shared" si="10"/>
        <v>3.7037037037036813E-4</v>
      </c>
      <c r="J95" s="14">
        <f t="shared" si="7"/>
        <v>7.4074074074073621</v>
      </c>
    </row>
    <row r="96" spans="7:10" x14ac:dyDescent="0.25">
      <c r="G96" s="8">
        <v>1.6800000000000001E-3</v>
      </c>
      <c r="H96" s="3" cm="1">
        <f t="array" ref="H96">((2*ttotal6)/(3*s_t))*(st_b[[#This Row],[s(tb)]]+(s_t/4))</f>
        <v>8.9999999999999983E-2</v>
      </c>
      <c r="I96" s="3">
        <f t="shared" si="10"/>
        <v>3.7037037037035425E-4</v>
      </c>
      <c r="J96" s="14">
        <f t="shared" si="7"/>
        <v>7.407407407407085</v>
      </c>
    </row>
    <row r="97" spans="7:10" x14ac:dyDescent="0.25">
      <c r="G97" s="8">
        <v>1.6900000000000001E-3</v>
      </c>
      <c r="H97" s="3" cm="1">
        <f t="array" ref="H97">((2*ttotal6)/(3*s_t))*(st_b[[#This Row],[s(tb)]]+(s_t/4))</f>
        <v>9.0370370370370365E-2</v>
      </c>
      <c r="I97" s="3">
        <f t="shared" si="10"/>
        <v>3.7037037037038201E-4</v>
      </c>
      <c r="J97" s="14">
        <f t="shared" si="7"/>
        <v>7.4074074074076401</v>
      </c>
    </row>
    <row r="98" spans="7:10" x14ac:dyDescent="0.25">
      <c r="G98" s="8">
        <v>1.7000000000000001E-3</v>
      </c>
      <c r="H98" s="3" cm="1">
        <f t="array" ref="H98">((2*ttotal6)/(3*s_t))*(st_b[[#This Row],[s(tb)]]+(s_t/4))</f>
        <v>9.0740740740740719E-2</v>
      </c>
      <c r="I98" s="3">
        <f t="shared" si="10"/>
        <v>3.7037037037035425E-4</v>
      </c>
      <c r="J98" s="14">
        <f t="shared" si="7"/>
        <v>7.407407407407085</v>
      </c>
    </row>
    <row r="99" spans="7:10" x14ac:dyDescent="0.25">
      <c r="G99" s="8">
        <v>1.7100000000000001E-3</v>
      </c>
      <c r="H99" s="3" cm="1">
        <f t="array" ref="H99">((2*ttotal6)/(3*s_t))*(st_b[[#This Row],[s(tb)]]+(s_t/4))</f>
        <v>9.1111111111111115E-2</v>
      </c>
      <c r="I99" s="3">
        <f t="shared" si="10"/>
        <v>3.7037037037039588E-4</v>
      </c>
      <c r="J99" s="14">
        <f t="shared" si="7"/>
        <v>7.4074074074079173</v>
      </c>
    </row>
    <row r="100" spans="7:10" x14ac:dyDescent="0.25">
      <c r="G100" s="8">
        <v>1.7200000000000002E-3</v>
      </c>
      <c r="H100" s="3" cm="1">
        <f t="array" ref="H100">((2*ttotal6)/(3*s_t))*(st_b[[#This Row],[s(tb)]]+(s_t/4))</f>
        <v>9.1481481481481469E-2</v>
      </c>
      <c r="I100" s="3">
        <f t="shared" si="10"/>
        <v>3.7037037037035425E-4</v>
      </c>
      <c r="J100" s="14">
        <f t="shared" si="7"/>
        <v>7.407407407407085</v>
      </c>
    </row>
    <row r="101" spans="7:10" x14ac:dyDescent="0.25">
      <c r="G101" s="8">
        <v>1.7300000000000002E-3</v>
      </c>
      <c r="H101" s="3" cm="1">
        <f t="array" ref="H101">((2*ttotal6)/(3*s_t))*(st_b[[#This Row],[s(tb)]]+(s_t/4))</f>
        <v>9.1851851851851851E-2</v>
      </c>
      <c r="I101" s="3">
        <f t="shared" si="10"/>
        <v>3.7037037037038201E-4</v>
      </c>
      <c r="J101" s="14">
        <f t="shared" si="7"/>
        <v>7.4074074074076401</v>
      </c>
    </row>
    <row r="102" spans="7:10" x14ac:dyDescent="0.25">
      <c r="G102" s="8">
        <v>1.7400000000000002E-3</v>
      </c>
      <c r="H102" s="3" cm="1">
        <f t="array" ref="H102">((2*ttotal6)/(3*s_t))*(st_b[[#This Row],[s(tb)]]+(s_t/4))</f>
        <v>9.2222222222222205E-2</v>
      </c>
      <c r="I102" s="3">
        <f t="shared" si="10"/>
        <v>3.7037037037035425E-4</v>
      </c>
      <c r="J102" s="14">
        <f t="shared" si="7"/>
        <v>7.407407407407085</v>
      </c>
    </row>
    <row r="103" spans="7:10" x14ac:dyDescent="0.25">
      <c r="G103" s="8">
        <v>1.75E-3</v>
      </c>
      <c r="H103" s="3" cm="1">
        <f t="array" ref="H103">((2*ttotal6)/(3*s_t))*(st_b[[#This Row],[s(tb)]]+(s_t/4))</f>
        <v>9.2592592592592574E-2</v>
      </c>
      <c r="I103" s="3">
        <f t="shared" si="10"/>
        <v>3.7037037037036813E-4</v>
      </c>
      <c r="J103" s="14">
        <f t="shared" si="7"/>
        <v>7.4074074074073621</v>
      </c>
    </row>
    <row r="104" spans="7:10" x14ac:dyDescent="0.25">
      <c r="G104" s="8">
        <v>1.7600000000000001E-3</v>
      </c>
      <c r="H104" s="3" cm="1">
        <f t="array" ref="H104">((2*ttotal6)/(3*s_t))*(st_b[[#This Row],[s(tb)]]+(s_t/4))</f>
        <v>9.2962962962962956E-2</v>
      </c>
      <c r="I104" s="3">
        <f t="shared" si="10"/>
        <v>3.7037037037038201E-4</v>
      </c>
      <c r="J104" s="14">
        <f t="shared" si="7"/>
        <v>7.4074074074076401</v>
      </c>
    </row>
    <row r="105" spans="7:10" x14ac:dyDescent="0.25">
      <c r="G105" s="8">
        <v>1.7700000000000001E-3</v>
      </c>
      <c r="H105" s="3" cm="1">
        <f t="array" ref="H105">((2*ttotal6)/(3*s_t))*(st_b[[#This Row],[s(tb)]]+(s_t/4))</f>
        <v>9.3333333333333324E-2</v>
      </c>
      <c r="I105" s="3">
        <f t="shared" si="10"/>
        <v>3.7037037037036813E-4</v>
      </c>
      <c r="J105" s="14">
        <f t="shared" si="7"/>
        <v>7.4074074074073621</v>
      </c>
    </row>
    <row r="106" spans="7:10" x14ac:dyDescent="0.25">
      <c r="G106" s="8">
        <v>1.7800000000000001E-3</v>
      </c>
      <c r="H106" s="3" cm="1">
        <f t="array" ref="H106">((2*ttotal6)/(3*s_t))*(st_b[[#This Row],[s(tb)]]+(s_t/4))</f>
        <v>9.3703703703703692E-2</v>
      </c>
      <c r="I106" s="3">
        <f t="shared" si="10"/>
        <v>3.7037037037036813E-4</v>
      </c>
      <c r="J106" s="14">
        <f t="shared" si="7"/>
        <v>7.4074074074073621</v>
      </c>
    </row>
    <row r="107" spans="7:10" x14ac:dyDescent="0.25">
      <c r="G107" s="8">
        <v>1.7900000000000001E-3</v>
      </c>
      <c r="H107" s="3" cm="1">
        <f t="array" ref="H107">((2*ttotal6)/(3*s_t))*(st_b[[#This Row],[s(tb)]]+(s_t/4))</f>
        <v>9.407407407407406E-2</v>
      </c>
      <c r="I107" s="3">
        <f t="shared" si="10"/>
        <v>3.7037037037036813E-4</v>
      </c>
      <c r="J107" s="14">
        <f t="shared" si="7"/>
        <v>7.4074074074073621</v>
      </c>
    </row>
    <row r="108" spans="7:10" x14ac:dyDescent="0.25">
      <c r="G108" s="8">
        <v>1.8000000000000002E-3</v>
      </c>
      <c r="H108" s="3" cm="1">
        <f t="array" ref="H108">((2*ttotal6)/(3*s_t))*(st_b[[#This Row],[s(tb)]]+(s_t/4))</f>
        <v>9.4444444444444442E-2</v>
      </c>
      <c r="I108" s="3">
        <f t="shared" si="10"/>
        <v>3.7037037037038201E-4</v>
      </c>
      <c r="J108" s="14">
        <f t="shared" si="7"/>
        <v>7.4074074074076401</v>
      </c>
    </row>
    <row r="109" spans="7:10" x14ac:dyDescent="0.25">
      <c r="G109" s="8">
        <v>1.8100000000000002E-3</v>
      </c>
      <c r="H109" s="3" cm="1">
        <f t="array" ref="H109">((2*ttotal6)/(3*s_t))*(st_b[[#This Row],[s(tb)]]+(s_t/4))</f>
        <v>9.481481481481481E-2</v>
      </c>
      <c r="I109" s="3">
        <f t="shared" si="10"/>
        <v>3.7037037037036813E-4</v>
      </c>
      <c r="J109" s="14">
        <f t="shared" si="7"/>
        <v>7.4074074074073621</v>
      </c>
    </row>
    <row r="110" spans="7:10" x14ac:dyDescent="0.25">
      <c r="G110" s="8">
        <v>1.8200000000000002E-3</v>
      </c>
      <c r="H110" s="3" cm="1">
        <f t="array" ref="H110">((2*ttotal6)/(3*s_t))*(st_b[[#This Row],[s(tb)]]+(s_t/4))</f>
        <v>9.5185185185185178E-2</v>
      </c>
      <c r="I110" s="3">
        <f t="shared" si="10"/>
        <v>3.7037037037036813E-4</v>
      </c>
      <c r="J110" s="14">
        <f t="shared" si="7"/>
        <v>7.4074074074073621</v>
      </c>
    </row>
    <row r="111" spans="7:10" x14ac:dyDescent="0.25">
      <c r="G111" s="8">
        <v>1.8300000000000002E-3</v>
      </c>
      <c r="H111" s="3" cm="1">
        <f t="array" ref="H111">((2*ttotal6)/(3*s_t))*(st_b[[#This Row],[s(tb)]]+(s_t/4))</f>
        <v>9.5555555555555546E-2</v>
      </c>
      <c r="I111" s="3">
        <f t="shared" si="10"/>
        <v>3.7037037037036813E-4</v>
      </c>
      <c r="J111" s="14">
        <f t="shared" si="7"/>
        <v>7.4074074074073621</v>
      </c>
    </row>
    <row r="112" spans="7:10" x14ac:dyDescent="0.25">
      <c r="G112" s="8">
        <v>1.8400000000000001E-3</v>
      </c>
      <c r="H112" s="3" cm="1">
        <f t="array" ref="H112">((2*ttotal6)/(3*s_t))*(st_b[[#This Row],[s(tb)]]+(s_t/4))</f>
        <v>9.5925925925925914E-2</v>
      </c>
      <c r="I112" s="3">
        <f t="shared" si="10"/>
        <v>3.7037037037036813E-4</v>
      </c>
      <c r="J112" s="14">
        <f t="shared" si="7"/>
        <v>7.4074074074073621</v>
      </c>
    </row>
    <row r="113" spans="7:10" x14ac:dyDescent="0.25">
      <c r="G113" s="8">
        <v>1.8500000000000001E-3</v>
      </c>
      <c r="H113" s="3" cm="1">
        <f t="array" ref="H113">((2*ttotal6)/(3*s_t))*(st_b[[#This Row],[s(tb)]]+(s_t/4))</f>
        <v>9.6296296296296283E-2</v>
      </c>
      <c r="I113" s="3">
        <f t="shared" si="10"/>
        <v>3.7037037037036813E-4</v>
      </c>
      <c r="J113" s="14">
        <f t="shared" si="7"/>
        <v>7.4074074074073621</v>
      </c>
    </row>
    <row r="114" spans="7:10" x14ac:dyDescent="0.25">
      <c r="G114" s="8">
        <v>1.8600000000000001E-3</v>
      </c>
      <c r="H114" s="3" cm="1">
        <f t="array" ref="H114">((2*ttotal6)/(3*s_t))*(st_b[[#This Row],[s(tb)]]+(s_t/4))</f>
        <v>9.6666666666666665E-2</v>
      </c>
      <c r="I114" s="3">
        <f t="shared" si="10"/>
        <v>3.7037037037038201E-4</v>
      </c>
      <c r="J114" s="14">
        <f t="shared" si="7"/>
        <v>7.4074074074076401</v>
      </c>
    </row>
    <row r="115" spans="7:10" x14ac:dyDescent="0.25">
      <c r="G115" s="8">
        <v>1.8700000000000001E-3</v>
      </c>
      <c r="H115" s="3" cm="1">
        <f t="array" ref="H115">((2*ttotal6)/(3*s_t))*(st_b[[#This Row],[s(tb)]]+(s_t/4))</f>
        <v>9.7037037037037019E-2</v>
      </c>
      <c r="I115" s="3">
        <f t="shared" si="10"/>
        <v>3.7037037037035425E-4</v>
      </c>
      <c r="J115" s="14">
        <f t="shared" si="7"/>
        <v>7.407407407407085</v>
      </c>
    </row>
    <row r="116" spans="7:10" x14ac:dyDescent="0.25">
      <c r="G116" s="8">
        <v>1.8800000000000002E-3</v>
      </c>
      <c r="H116" s="3" cm="1">
        <f t="array" ref="H116">((2*ttotal6)/(3*s_t))*(st_b[[#This Row],[s(tb)]]+(s_t/4))</f>
        <v>9.7407407407407401E-2</v>
      </c>
      <c r="I116" s="3">
        <f t="shared" si="10"/>
        <v>3.7037037037038201E-4</v>
      </c>
      <c r="J116" s="14">
        <f t="shared" si="7"/>
        <v>7.4074074074076401</v>
      </c>
    </row>
    <row r="117" spans="7:10" x14ac:dyDescent="0.25">
      <c r="G117" s="8">
        <v>1.8900000000000002E-3</v>
      </c>
      <c r="H117" s="3" cm="1">
        <f t="array" ref="H117">((2*ttotal6)/(3*s_t))*(st_b[[#This Row],[s(tb)]]+(s_t/4))</f>
        <v>9.7777777777777755E-2</v>
      </c>
      <c r="I117" s="3">
        <f t="shared" si="10"/>
        <v>3.7037037037035425E-4</v>
      </c>
      <c r="J117" s="14">
        <f t="shared" si="7"/>
        <v>7.407407407407085</v>
      </c>
    </row>
    <row r="118" spans="7:10" x14ac:dyDescent="0.25">
      <c r="G118" s="8">
        <v>1.9000000000000002E-3</v>
      </c>
      <c r="H118" s="3" cm="1">
        <f t="array" ref="H118">((2*ttotal6)/(3*s_t))*(st_b[[#This Row],[s(tb)]]+(s_t/4))</f>
        <v>9.8148148148148151E-2</v>
      </c>
      <c r="I118" s="3">
        <f t="shared" si="10"/>
        <v>3.7037037037039588E-4</v>
      </c>
      <c r="J118" s="14">
        <f t="shared" si="7"/>
        <v>7.4074074074079173</v>
      </c>
    </row>
    <row r="119" spans="7:10" x14ac:dyDescent="0.25">
      <c r="G119" s="8">
        <v>1.9100000000000002E-3</v>
      </c>
      <c r="H119" s="3" cm="1">
        <f t="array" ref="H119">((2*ttotal6)/(3*s_t))*(st_b[[#This Row],[s(tb)]]+(s_t/4))</f>
        <v>9.8518518518518505E-2</v>
      </c>
      <c r="I119" s="3">
        <f t="shared" si="10"/>
        <v>3.7037037037035425E-4</v>
      </c>
      <c r="J119" s="14">
        <f t="shared" si="7"/>
        <v>7.407407407407085</v>
      </c>
    </row>
    <row r="120" spans="7:10" x14ac:dyDescent="0.25">
      <c r="G120" s="8">
        <v>1.9200000000000003E-3</v>
      </c>
      <c r="H120" s="3" cm="1">
        <f t="array" ref="H120">((2*ttotal6)/(3*s_t))*(st_b[[#This Row],[s(tb)]]+(s_t/4))</f>
        <v>9.8888888888888887E-2</v>
      </c>
      <c r="I120" s="3">
        <f t="shared" si="10"/>
        <v>3.7037037037038201E-4</v>
      </c>
      <c r="J120" s="14">
        <f t="shared" si="7"/>
        <v>7.4074074074076401</v>
      </c>
    </row>
    <row r="121" spans="7:10" x14ac:dyDescent="0.25">
      <c r="G121" s="8">
        <v>1.9300000000000001E-3</v>
      </c>
      <c r="H121" s="3" cm="1">
        <f t="array" ref="H121">((2*ttotal6)/(3*s_t))*(st_b[[#This Row],[s(tb)]]+(s_t/4))</f>
        <v>9.9259259259259242E-2</v>
      </c>
      <c r="I121" s="3">
        <f t="shared" si="10"/>
        <v>3.7037037037035425E-4</v>
      </c>
      <c r="J121" s="14">
        <f t="shared" si="7"/>
        <v>7.407407407407085</v>
      </c>
    </row>
    <row r="122" spans="7:10" x14ac:dyDescent="0.25">
      <c r="G122" s="8">
        <v>1.9400000000000001E-3</v>
      </c>
      <c r="H122" s="3" cm="1">
        <f t="array" ref="H122">((2*ttotal6)/(3*s_t))*(st_b[[#This Row],[s(tb)]]+(s_t/4))</f>
        <v>9.9629629629629624E-2</v>
      </c>
      <c r="I122" s="3">
        <f t="shared" si="10"/>
        <v>3.7037037037038201E-4</v>
      </c>
      <c r="J122" s="14">
        <f t="shared" si="7"/>
        <v>7.4074074074076401</v>
      </c>
    </row>
    <row r="123" spans="7:10" x14ac:dyDescent="0.25">
      <c r="G123" s="8">
        <v>1.9500000000000001E-3</v>
      </c>
      <c r="H123" s="3" cm="1">
        <f t="array" ref="H123">((2*ttotal6)/(3*s_t))*(st_b[[#This Row],[s(tb)]]+(s_t/4))</f>
        <v>9.9999999999999992E-2</v>
      </c>
      <c r="I123" s="3">
        <f t="shared" si="10"/>
        <v>3.7037037037036813E-4</v>
      </c>
      <c r="J123" s="14">
        <f t="shared" si="7"/>
        <v>7.4074074074073621</v>
      </c>
    </row>
    <row r="124" spans="7:10" x14ac:dyDescent="0.25">
      <c r="G124" s="8">
        <v>1.9600000000000004E-3</v>
      </c>
      <c r="H124" s="3" cm="1">
        <f t="array" ref="H124">((2*ttotal6)/(3*s_t))*(st_b[[#This Row],[s(tb)]]+(s_t/4))</f>
        <v>0.10037037037037037</v>
      </c>
      <c r="I124" s="3">
        <f t="shared" si="10"/>
        <v>3.7037037037038201E-4</v>
      </c>
      <c r="J124" s="14">
        <f t="shared" si="7"/>
        <v>7.4074074074076401</v>
      </c>
    </row>
    <row r="125" spans="7:10" x14ac:dyDescent="0.25">
      <c r="G125" s="8">
        <v>1.97E-3</v>
      </c>
      <c r="H125" s="3" cm="1">
        <f t="array" ref="H125">((2*ttotal6)/(3*s_t))*(st_b[[#This Row],[s(tb)]]+(s_t/4))</f>
        <v>0.10074074074074073</v>
      </c>
      <c r="I125" s="3">
        <f t="shared" si="10"/>
        <v>3.7037037037035425E-4</v>
      </c>
      <c r="J125" s="14">
        <f t="shared" si="7"/>
        <v>7.407407407407085</v>
      </c>
    </row>
    <row r="126" spans="7:10" x14ac:dyDescent="0.25">
      <c r="G126" s="8">
        <v>1.98E-3</v>
      </c>
      <c r="H126" s="3" cm="1">
        <f t="array" ref="H126">((2*ttotal6)/(3*s_t))*(st_b[[#This Row],[s(tb)]]+(s_t/4))</f>
        <v>0.10111111111111108</v>
      </c>
      <c r="I126" s="3">
        <f t="shared" si="10"/>
        <v>3.7037037037035425E-4</v>
      </c>
      <c r="J126" s="14">
        <f t="shared" si="7"/>
        <v>7.407407407407085</v>
      </c>
    </row>
    <row r="127" spans="7:10" x14ac:dyDescent="0.25">
      <c r="G127" s="8">
        <v>1.99E-3</v>
      </c>
      <c r="H127" s="3" cm="1">
        <f t="array" ref="H127">((2*ttotal6)/(3*s_t))*(st_b[[#This Row],[s(tb)]]+(s_t/4))</f>
        <v>0.10148148148148148</v>
      </c>
      <c r="I127" s="3">
        <f t="shared" si="10"/>
        <v>3.7037037037039588E-4</v>
      </c>
      <c r="J127" s="14">
        <f t="shared" si="7"/>
        <v>7.4074074074079173</v>
      </c>
    </row>
    <row r="128" spans="7:10" x14ac:dyDescent="0.25">
      <c r="G128" s="8">
        <v>2E-3</v>
      </c>
      <c r="H128" s="3" cm="1">
        <f t="array" ref="H128">((2*ttotal6)/(3*s_t))*(st_b[[#This Row],[s(tb)]]+(s_t/4))</f>
        <v>0.10185185185185183</v>
      </c>
      <c r="I128" s="3">
        <f t="shared" si="10"/>
        <v>3.7037037037035425E-4</v>
      </c>
      <c r="J128" s="14">
        <f t="shared" si="7"/>
        <v>7.407407407407085</v>
      </c>
    </row>
    <row r="129" spans="7:10" x14ac:dyDescent="0.25">
      <c r="G129" s="8">
        <v>2.0100000000000001E-3</v>
      </c>
      <c r="H129" s="3" cm="1">
        <f t="array" ref="H129">((2*ttotal6)/(3*s_t))*(st_b[[#This Row],[s(tb)]]+(s_t/4))</f>
        <v>0.10222222222222221</v>
      </c>
      <c r="I129" s="3">
        <f t="shared" si="10"/>
        <v>3.7037037037038201E-4</v>
      </c>
      <c r="J129" s="14">
        <f t="shared" si="7"/>
        <v>7.4074074074076401</v>
      </c>
    </row>
    <row r="130" spans="7:10" x14ac:dyDescent="0.25">
      <c r="G130" s="8">
        <v>2.0200000000000001E-3</v>
      </c>
      <c r="H130" s="3" cm="1">
        <f t="array" ref="H130">((2*ttotal6)/(3*s_t))*(st_b[[#This Row],[s(tb)]]+(s_t/4))</f>
        <v>0.10259259259259257</v>
      </c>
      <c r="I130" s="3">
        <f t="shared" si="10"/>
        <v>3.7037037037035425E-4</v>
      </c>
      <c r="J130" s="14">
        <f t="shared" si="7"/>
        <v>7.407407407407085</v>
      </c>
    </row>
    <row r="131" spans="7:10" x14ac:dyDescent="0.25">
      <c r="G131" s="8">
        <v>2.0300000000000001E-3</v>
      </c>
      <c r="H131" s="3" cm="1">
        <f t="array" ref="H131">((2*ttotal6)/(3*s_t))*(st_b[[#This Row],[s(tb)]]+(s_t/4))</f>
        <v>0.10296296296296296</v>
      </c>
      <c r="I131" s="3">
        <f t="shared" si="10"/>
        <v>3.7037037037039588E-4</v>
      </c>
      <c r="J131" s="14">
        <f t="shared" si="7"/>
        <v>7.4074074074079173</v>
      </c>
    </row>
    <row r="132" spans="7:10" x14ac:dyDescent="0.25">
      <c r="G132" s="8">
        <v>2.0400000000000001E-3</v>
      </c>
      <c r="H132" s="3" cm="1">
        <f t="array" ref="H132">((2*ttotal6)/(3*s_t))*(st_b[[#This Row],[s(tb)]]+(s_t/4))</f>
        <v>0.10333333333333332</v>
      </c>
      <c r="I132" s="3">
        <f t="shared" si="10"/>
        <v>3.7037037037035425E-4</v>
      </c>
      <c r="J132" s="14">
        <f t="shared" ref="J132:J153" si="12">I132/0.00005</f>
        <v>7.407407407407085</v>
      </c>
    </row>
    <row r="133" spans="7:10" x14ac:dyDescent="0.25">
      <c r="G133" s="8">
        <v>2.0500000000000002E-3</v>
      </c>
      <c r="H133" s="3" cm="1">
        <f t="array" ref="H133">((2*ttotal6)/(3*s_t))*(st_b[[#This Row],[s(tb)]]+(s_t/4))</f>
        <v>0.1037037037037037</v>
      </c>
      <c r="I133" s="3">
        <f t="shared" ref="I133:I153" si="13">H133-H132</f>
        <v>3.7037037037038201E-4</v>
      </c>
      <c r="J133" s="14">
        <f t="shared" si="12"/>
        <v>7.4074074074076401</v>
      </c>
    </row>
    <row r="134" spans="7:10" x14ac:dyDescent="0.25">
      <c r="G134" s="8">
        <v>2.0600000000000002E-3</v>
      </c>
      <c r="H134" s="3" cm="1">
        <f t="array" ref="H134">((2*ttotal6)/(3*s_t))*(st_b[[#This Row],[s(tb)]]+(s_t/4))</f>
        <v>0.10407407407407405</v>
      </c>
      <c r="I134" s="3">
        <f t="shared" si="13"/>
        <v>3.7037037037035425E-4</v>
      </c>
      <c r="J134" s="14">
        <f t="shared" si="12"/>
        <v>7.407407407407085</v>
      </c>
    </row>
    <row r="135" spans="7:10" x14ac:dyDescent="0.25">
      <c r="G135" s="8">
        <v>2.0700000000000002E-3</v>
      </c>
      <c r="H135" s="3" cm="1">
        <f t="array" ref="H135">((2*ttotal6)/(3*s_t))*(st_b[[#This Row],[s(tb)]]+(s_t/4))</f>
        <v>0.10444444444444445</v>
      </c>
      <c r="I135" s="3">
        <f t="shared" si="13"/>
        <v>3.7037037037039588E-4</v>
      </c>
      <c r="J135" s="14">
        <f t="shared" si="12"/>
        <v>7.4074074074079173</v>
      </c>
    </row>
    <row r="136" spans="7:10" x14ac:dyDescent="0.25">
      <c r="G136" s="8">
        <v>2.0800000000000003E-3</v>
      </c>
      <c r="H136" s="3" cm="1">
        <f t="array" ref="H136">((2*ttotal6)/(3*s_t))*(st_b[[#This Row],[s(tb)]]+(s_t/4))</f>
        <v>0.10481481481481481</v>
      </c>
      <c r="I136" s="3">
        <f t="shared" si="13"/>
        <v>3.7037037037035425E-4</v>
      </c>
      <c r="J136" s="14">
        <f t="shared" si="12"/>
        <v>7.407407407407085</v>
      </c>
    </row>
    <row r="137" spans="7:10" x14ac:dyDescent="0.25">
      <c r="G137" s="8">
        <v>2.0900000000000003E-3</v>
      </c>
      <c r="H137" s="3" cm="1">
        <f t="array" ref="H137">((2*ttotal6)/(3*s_t))*(st_b[[#This Row],[s(tb)]]+(s_t/4))</f>
        <v>0.10518518518518519</v>
      </c>
      <c r="I137" s="3">
        <f t="shared" si="13"/>
        <v>3.7037037037038201E-4</v>
      </c>
      <c r="J137" s="14">
        <f t="shared" si="12"/>
        <v>7.4074074074076401</v>
      </c>
    </row>
    <row r="138" spans="7:10" x14ac:dyDescent="0.25">
      <c r="G138" s="8">
        <v>2.1000000000000003E-3</v>
      </c>
      <c r="H138" s="3" cm="1">
        <f t="array" ref="H138">((2*ttotal6)/(3*s_t))*(st_b[[#This Row],[s(tb)]]+(s_t/4))</f>
        <v>0.10555555555555554</v>
      </c>
      <c r="I138" s="3">
        <f t="shared" si="13"/>
        <v>3.7037037037035425E-4</v>
      </c>
      <c r="J138" s="14">
        <f t="shared" si="12"/>
        <v>7.407407407407085</v>
      </c>
    </row>
    <row r="139" spans="7:10" x14ac:dyDescent="0.25">
      <c r="G139" s="8">
        <v>2.1100000000000003E-3</v>
      </c>
      <c r="H139" s="3" cm="1">
        <f t="array" ref="H139">((2*ttotal6)/(3*s_t))*(st_b[[#This Row],[s(tb)]]+(s_t/4))</f>
        <v>0.10592592592592592</v>
      </c>
      <c r="I139" s="3">
        <f t="shared" si="13"/>
        <v>3.7037037037038201E-4</v>
      </c>
      <c r="J139" s="14">
        <f t="shared" si="12"/>
        <v>7.4074074074076401</v>
      </c>
    </row>
    <row r="140" spans="7:10" x14ac:dyDescent="0.25">
      <c r="G140" s="8">
        <v>2.1200000000000004E-3</v>
      </c>
      <c r="H140" s="3" cm="1">
        <f t="array" ref="H140">((2*ttotal6)/(3*s_t))*(st_b[[#This Row],[s(tb)]]+(s_t/4))</f>
        <v>0.10629629629629629</v>
      </c>
      <c r="I140" s="3">
        <f t="shared" si="13"/>
        <v>3.7037037037036813E-4</v>
      </c>
      <c r="J140" s="14">
        <f t="shared" si="12"/>
        <v>7.4074074074073621</v>
      </c>
    </row>
    <row r="141" spans="7:10" x14ac:dyDescent="0.25">
      <c r="G141" s="8">
        <v>2.1300000000000004E-3</v>
      </c>
      <c r="H141" s="3" cm="1">
        <f t="array" ref="H141">((2*ttotal6)/(3*s_t))*(st_b[[#This Row],[s(tb)]]+(s_t/4))</f>
        <v>0.10666666666666667</v>
      </c>
      <c r="I141" s="3">
        <f t="shared" si="13"/>
        <v>3.7037037037038201E-4</v>
      </c>
      <c r="J141" s="14">
        <f t="shared" si="12"/>
        <v>7.4074074074076401</v>
      </c>
    </row>
    <row r="142" spans="7:10" x14ac:dyDescent="0.25">
      <c r="G142" s="8">
        <v>2.14E-3</v>
      </c>
      <c r="H142" s="3" cm="1">
        <f t="array" ref="H142">((2*ttotal6)/(3*s_t))*(st_b[[#This Row],[s(tb)]]+(s_t/4))</f>
        <v>0.10703703703703703</v>
      </c>
      <c r="I142" s="3">
        <f t="shared" si="13"/>
        <v>3.7037037037035425E-4</v>
      </c>
      <c r="J142" s="14">
        <f t="shared" si="12"/>
        <v>7.407407407407085</v>
      </c>
    </row>
    <row r="143" spans="7:10" x14ac:dyDescent="0.25">
      <c r="G143" s="8">
        <v>2.15E-3</v>
      </c>
      <c r="H143" s="3" cm="1">
        <f t="array" ref="H143">((2*ttotal6)/(3*s_t))*(st_b[[#This Row],[s(tb)]]+(s_t/4))</f>
        <v>0.10740740740740738</v>
      </c>
      <c r="I143" s="3">
        <f t="shared" si="13"/>
        <v>3.7037037037035425E-4</v>
      </c>
      <c r="J143" s="14">
        <f t="shared" si="12"/>
        <v>7.407407407407085</v>
      </c>
    </row>
    <row r="144" spans="7:10" x14ac:dyDescent="0.25">
      <c r="G144" s="8">
        <v>2.16E-3</v>
      </c>
      <c r="H144" s="3" cm="1">
        <f t="array" ref="H144">((2*ttotal6)/(3*s_t))*(st_b[[#This Row],[s(tb)]]+(s_t/4))</f>
        <v>0.10777777777777776</v>
      </c>
      <c r="I144" s="3">
        <f t="shared" si="13"/>
        <v>3.7037037037038201E-4</v>
      </c>
      <c r="J144" s="14">
        <f t="shared" si="12"/>
        <v>7.4074074074076401</v>
      </c>
    </row>
    <row r="145" spans="7:10" x14ac:dyDescent="0.25">
      <c r="G145" s="8">
        <v>2.1700000000000001E-3</v>
      </c>
      <c r="H145" s="3" cm="1">
        <f t="array" ref="H145">((2*ttotal6)/(3*s_t))*(st_b[[#This Row],[s(tb)]]+(s_t/4))</f>
        <v>0.10814814814814812</v>
      </c>
      <c r="I145" s="3">
        <f t="shared" si="13"/>
        <v>3.7037037037035425E-4</v>
      </c>
      <c r="J145" s="14">
        <f t="shared" si="12"/>
        <v>7.407407407407085</v>
      </c>
    </row>
    <row r="146" spans="7:10" x14ac:dyDescent="0.25">
      <c r="G146" s="8">
        <v>2.1800000000000001E-3</v>
      </c>
      <c r="H146" s="3" cm="1">
        <f t="array" ref="H146">((2*ttotal6)/(3*s_t))*(st_b[[#This Row],[s(tb)]]+(s_t/4))</f>
        <v>0.10851851851851851</v>
      </c>
      <c r="I146" s="3">
        <f t="shared" si="13"/>
        <v>3.7037037037039588E-4</v>
      </c>
      <c r="J146" s="14">
        <f t="shared" si="12"/>
        <v>7.4074074074079173</v>
      </c>
    </row>
    <row r="147" spans="7:10" x14ac:dyDescent="0.25">
      <c r="G147" s="8">
        <v>2.1900000000000001E-3</v>
      </c>
      <c r="H147" s="3" cm="1">
        <f t="array" ref="H147">((2*ttotal6)/(3*s_t))*(st_b[[#This Row],[s(tb)]]+(s_t/4))</f>
        <v>0.10888888888888887</v>
      </c>
      <c r="I147" s="3">
        <f t="shared" si="13"/>
        <v>3.7037037037035425E-4</v>
      </c>
      <c r="J147" s="14">
        <f t="shared" si="12"/>
        <v>7.407407407407085</v>
      </c>
    </row>
    <row r="148" spans="7:10" x14ac:dyDescent="0.25">
      <c r="G148" s="8">
        <v>2.2000000000000001E-3</v>
      </c>
      <c r="H148" s="3" cm="1">
        <f t="array" ref="H148">((2*ttotal6)/(3*s_t))*(st_b[[#This Row],[s(tb)]]+(s_t/4))</f>
        <v>0.10925925925925925</v>
      </c>
      <c r="I148" s="3">
        <f t="shared" si="13"/>
        <v>3.7037037037038201E-4</v>
      </c>
      <c r="J148" s="14">
        <f t="shared" si="12"/>
        <v>7.4074074074076401</v>
      </c>
    </row>
    <row r="149" spans="7:10" x14ac:dyDescent="0.25">
      <c r="G149" s="8">
        <v>2.2100000000000002E-3</v>
      </c>
      <c r="H149" s="3" cm="1">
        <f t="array" ref="H149">((2*ttotal6)/(3*s_t))*(st_b[[#This Row],[s(tb)]]+(s_t/4))</f>
        <v>0.1096296296296296</v>
      </c>
      <c r="I149" s="3">
        <f t="shared" si="13"/>
        <v>3.7037037037035425E-4</v>
      </c>
      <c r="J149" s="14">
        <f t="shared" si="12"/>
        <v>7.407407407407085</v>
      </c>
    </row>
    <row r="150" spans="7:10" x14ac:dyDescent="0.25">
      <c r="G150" s="8">
        <v>2.2200000000000002E-3</v>
      </c>
      <c r="H150" s="3" cm="1">
        <f t="array" ref="H150">((2*ttotal6)/(3*s_t))*(st_b[[#This Row],[s(tb)]]+(s_t/4))</f>
        <v>0.11</v>
      </c>
      <c r="I150" s="3">
        <f t="shared" si="13"/>
        <v>3.7037037037039588E-4</v>
      </c>
      <c r="J150" s="14">
        <f t="shared" si="12"/>
        <v>7.4074074074079173</v>
      </c>
    </row>
    <row r="151" spans="7:10" x14ac:dyDescent="0.25">
      <c r="G151" s="8">
        <v>2.2300000000000002E-3</v>
      </c>
      <c r="H151" s="3" cm="1">
        <f t="array" ref="H151">((2*ttotal6)/(3*s_t))*(st_b[[#This Row],[s(tb)]]+(s_t/4))</f>
        <v>0.11037037037037035</v>
      </c>
      <c r="I151" s="3">
        <f t="shared" si="13"/>
        <v>3.7037037037035425E-4</v>
      </c>
      <c r="J151" s="14">
        <f t="shared" si="12"/>
        <v>7.407407407407085</v>
      </c>
    </row>
    <row r="152" spans="7:10" x14ac:dyDescent="0.25">
      <c r="G152" s="8">
        <v>2.2400000000000002E-3</v>
      </c>
      <c r="H152" s="3" cm="1">
        <f t="array" ref="H152">((2*ttotal6)/(3*s_t))*(st_b[[#This Row],[s(tb)]]+(s_t/4))</f>
        <v>0.11074074074074074</v>
      </c>
      <c r="I152" s="3">
        <f t="shared" si="13"/>
        <v>3.7037037037038201E-4</v>
      </c>
      <c r="J152" s="14">
        <f t="shared" si="12"/>
        <v>7.4074074074076401</v>
      </c>
    </row>
    <row r="153" spans="7:10" x14ac:dyDescent="0.25">
      <c r="G153" s="8">
        <v>2.2500000000000003E-3</v>
      </c>
      <c r="H153" s="3" cm="1">
        <f t="array" ref="H153">((2*ttotal6)/(3*s_t))*(st_b[[#This Row],[s(tb)]]+(s_t/4))</f>
        <v>0.11111111111111109</v>
      </c>
      <c r="I153" s="3">
        <f t="shared" si="13"/>
        <v>3.7037037037035425E-4</v>
      </c>
      <c r="J153" s="14">
        <f t="shared" si="12"/>
        <v>7.407407407407085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1CC16-F3C0-4423-8D33-AFCA0CA8FC51}">
  <sheetPr codeName="Sheet11"/>
  <dimension ref="A2:P153"/>
  <sheetViews>
    <sheetView workbookViewId="0">
      <selection activeCell="K1" sqref="K1:K1048576"/>
    </sheetView>
  </sheetViews>
  <sheetFormatPr defaultRowHeight="15" x14ac:dyDescent="0.25"/>
  <cols>
    <col min="1" max="1" width="8.42578125" style="2" customWidth="1"/>
    <col min="2" max="2" width="11.5703125" style="3" bestFit="1" customWidth="1"/>
    <col min="3" max="3" width="12.85546875" customWidth="1"/>
    <col min="4" max="4" width="9.5703125" style="14" bestFit="1" customWidth="1"/>
    <col min="5" max="5" width="9.5703125" style="14" customWidth="1"/>
    <col min="7" max="7" width="10.28515625" style="8" customWidth="1"/>
    <col min="8" max="8" width="11.28515625" style="3" bestFit="1" customWidth="1"/>
    <col min="9" max="9" width="11.28515625" bestFit="1" customWidth="1"/>
    <col min="10" max="10" width="11.28515625" style="14" bestFit="1" customWidth="1"/>
    <col min="11" max="11" width="11.28515625" style="14" customWidth="1"/>
    <col min="13" max="13" width="10.28515625" style="8" customWidth="1"/>
    <col min="14" max="14" width="11.28515625" style="3" bestFit="1" customWidth="1"/>
    <col min="15" max="15" width="11.28515625" bestFit="1" customWidth="1"/>
    <col min="16" max="16" width="11.7109375" style="14" customWidth="1"/>
  </cols>
  <sheetData>
    <row r="2" spans="1:16" s="15" customFormat="1" x14ac:dyDescent="0.25">
      <c r="A2" s="15" t="s">
        <v>34</v>
      </c>
      <c r="B2" s="3" t="s">
        <v>30</v>
      </c>
      <c r="C2" s="15" t="s">
        <v>55</v>
      </c>
      <c r="D2" s="15" t="s">
        <v>56</v>
      </c>
      <c r="G2" s="15" t="s">
        <v>35</v>
      </c>
      <c r="H2" s="13" t="s">
        <v>30</v>
      </c>
      <c r="I2" s="15" t="s">
        <v>55</v>
      </c>
      <c r="J2" s="17" t="s">
        <v>56</v>
      </c>
      <c r="K2" s="17"/>
      <c r="M2" s="15" t="s">
        <v>36</v>
      </c>
      <c r="N2" s="13" t="s">
        <v>30</v>
      </c>
      <c r="O2" s="15" t="s">
        <v>55</v>
      </c>
      <c r="P2" s="17" t="s">
        <v>56</v>
      </c>
    </row>
    <row r="3" spans="1:16" x14ac:dyDescent="0.25">
      <c r="A3" s="2">
        <v>0</v>
      </c>
      <c r="B3" s="3" cm="1">
        <f t="array" ref="B3">SQRT((4*POWER(ttotal7,2)*st_a[[#This Row],[s(ta)]])/(9*s_t))</f>
        <v>0</v>
      </c>
      <c r="C3" s="3">
        <v>0</v>
      </c>
      <c r="D3" s="14">
        <f>C3/0.00005</f>
        <v>0</v>
      </c>
      <c r="G3" s="8">
        <v>7.5000000000000002E-4</v>
      </c>
      <c r="H3" s="3" cm="1">
        <f t="array" ref="H3">((2*ttotal7)/(3*s_t))*(st_b[[#This Row],[s(tb)]]+(s_t/4))</f>
        <v>4.7619047619047609E-2</v>
      </c>
      <c r="I3" s="3">
        <f>C78</f>
        <v>3.1852563253542687E-4</v>
      </c>
      <c r="J3" s="14">
        <f>I3/0.00005</f>
        <v>6.3705126507085374</v>
      </c>
      <c r="M3" s="8">
        <v>2.2500000000000003E-3</v>
      </c>
      <c r="N3" s="3">
        <f>(-INDEX(Overview[b],7)+SQRT(POWER(INDEX(Overview[b],7),2)-(4*INDEX(Overview[a],7)*st_c[[#This Row],[c]])))/(2*INDEX(Overview[a],7))</f>
        <v>9.5238095238095233E-2</v>
      </c>
      <c r="O3" s="3">
        <f>I153</f>
        <v>3.1746031746029968E-4</v>
      </c>
      <c r="P3" s="14">
        <f>O3/0.00005</f>
        <v>6.3492063492059936</v>
      </c>
    </row>
    <row r="4" spans="1:16" x14ac:dyDescent="0.25">
      <c r="A4" s="2">
        <v>1.0000000000000001E-5</v>
      </c>
      <c r="B4" s="3" cm="1">
        <f t="array" ref="B4">SQRT((4*POWER(ttotal7,2)*st_a[[#This Row],[s(ta)]])/(9*s_t))</f>
        <v>5.4985739922821502E-3</v>
      </c>
      <c r="C4" s="3">
        <f>B4-B3</f>
        <v>5.4985739922821502E-3</v>
      </c>
      <c r="D4" s="14">
        <f t="shared" ref="D4:D67" si="0">C4/0.00005</f>
        <v>109.971479845643</v>
      </c>
      <c r="G4" s="8">
        <v>7.6000000000000004E-4</v>
      </c>
      <c r="H4" s="3" cm="1">
        <f t="array" ref="H4">((2*ttotal7)/(3*s_t))*(st_b[[#This Row],[s(tb)]]+(s_t/4))</f>
        <v>4.793650793650793E-2</v>
      </c>
      <c r="I4" s="3">
        <f>H4-H3</f>
        <v>3.174603174603205E-4</v>
      </c>
      <c r="J4" s="14">
        <f t="shared" ref="J4:J67" si="1">I4/0.00005</f>
        <v>6.3492063492064093</v>
      </c>
      <c r="M4" s="8">
        <v>2.2600000000000003E-3</v>
      </c>
      <c r="N4" s="3">
        <f>(-INDEX(Overview[b],7)+SQRT(POWER(INDEX(Overview[b],7),2)-(4*INDEX(Overview[a],7)*st_c[[#This Row],[c]])))/(2*INDEX(Overview[a],7))</f>
        <v>9.555662087063066E-2</v>
      </c>
      <c r="O4" s="3">
        <f>N4-N3</f>
        <v>3.1852563253542687E-4</v>
      </c>
      <c r="P4" s="14">
        <f t="shared" ref="P4:P67" si="2">O4/0.00005</f>
        <v>6.3705126507085374</v>
      </c>
    </row>
    <row r="5" spans="1:16" x14ac:dyDescent="0.25">
      <c r="A5" s="2">
        <v>2.0000000000000002E-5</v>
      </c>
      <c r="B5" s="3" cm="1">
        <f t="array" ref="B5">SQRT((4*POWER(ttotal7,2)*st_a[[#This Row],[s(ta)]])/(9*s_t))</f>
        <v>7.776157913597391E-3</v>
      </c>
      <c r="C5" s="3">
        <f t="shared" ref="C5:C68" si="3">B5-B4</f>
        <v>2.2775839213152408E-3</v>
      </c>
      <c r="D5" s="14">
        <f t="shared" si="0"/>
        <v>45.551678426304811</v>
      </c>
      <c r="G5" s="8">
        <v>7.7000000000000007E-4</v>
      </c>
      <c r="H5" s="3" cm="1">
        <f t="array" ref="H5">((2*ttotal7)/(3*s_t))*(st_b[[#This Row],[s(tb)]]+(s_t/4))</f>
        <v>4.825396825396825E-2</v>
      </c>
      <c r="I5" s="3">
        <f t="shared" ref="I5:I68" si="4">H5-H4</f>
        <v>3.174603174603205E-4</v>
      </c>
      <c r="J5" s="14">
        <f t="shared" si="1"/>
        <v>6.3492063492064093</v>
      </c>
      <c r="M5" s="8">
        <v>2.2700000000000003E-3</v>
      </c>
      <c r="N5" s="3">
        <f>(-INDEX(Overview[b],7)+SQRT(POWER(INDEX(Overview[b],7),2)-(4*INDEX(Overview[a],7)*st_c[[#This Row],[c]])))/(2*INDEX(Overview[a],7))</f>
        <v>9.5877306073178598E-2</v>
      </c>
      <c r="O5" s="3">
        <f t="shared" ref="O5:O68" si="5">N5-N4</f>
        <v>3.2068520254793786E-4</v>
      </c>
      <c r="P5" s="14">
        <f t="shared" si="2"/>
        <v>6.4137040509587573</v>
      </c>
    </row>
    <row r="6" spans="1:16" x14ac:dyDescent="0.25">
      <c r="A6" s="2">
        <v>3.0000000000000004E-5</v>
      </c>
      <c r="B6" s="3" cm="1">
        <f t="array" ref="B6">SQRT((4*POWER(ttotal7,2)*st_a[[#This Row],[s(ta)]])/(9*s_t))</f>
        <v>9.5238095238095247E-3</v>
      </c>
      <c r="C6" s="3">
        <f t="shared" si="3"/>
        <v>1.7476516102121337E-3</v>
      </c>
      <c r="D6" s="14">
        <f t="shared" si="0"/>
        <v>34.953032204242675</v>
      </c>
      <c r="G6" s="8">
        <v>7.8000000000000009E-4</v>
      </c>
      <c r="H6" s="3" cm="1">
        <f t="array" ref="H6">((2*ttotal7)/(3*s_t))*(st_b[[#This Row],[s(tb)]]+(s_t/4))</f>
        <v>4.8571428571428564E-2</v>
      </c>
      <c r="I6" s="3">
        <f t="shared" si="4"/>
        <v>3.1746031746031356E-4</v>
      </c>
      <c r="J6" s="14">
        <f t="shared" si="1"/>
        <v>6.3492063492062707</v>
      </c>
      <c r="M6" s="8">
        <v>2.2800000000000003E-3</v>
      </c>
      <c r="N6" s="3">
        <f>(-INDEX(Overview[b],7)+SQRT(POWER(INDEX(Overview[b],7),2)-(4*INDEX(Overview[a],7)*st_c[[#This Row],[c]])))/(2*INDEX(Overview[a],7))</f>
        <v>9.6200195375558559E-2</v>
      </c>
      <c r="O6" s="3">
        <f t="shared" si="5"/>
        <v>3.2288930237996116E-4</v>
      </c>
      <c r="P6" s="14">
        <f t="shared" si="2"/>
        <v>6.4577860475992228</v>
      </c>
    </row>
    <row r="7" spans="1:16" x14ac:dyDescent="0.25">
      <c r="A7" s="2">
        <v>4.0000000000000003E-5</v>
      </c>
      <c r="B7" s="3" cm="1">
        <f t="array" ref="B7">SQRT((4*POWER(ttotal7,2)*st_a[[#This Row],[s(ta)]])/(9*s_t))</f>
        <v>1.09971479845643E-2</v>
      </c>
      <c r="C7" s="3">
        <f t="shared" si="3"/>
        <v>1.4733384607547757E-3</v>
      </c>
      <c r="D7" s="14">
        <f t="shared" si="0"/>
        <v>29.466769215095514</v>
      </c>
      <c r="G7" s="8">
        <v>7.9000000000000001E-4</v>
      </c>
      <c r="H7" s="3" cm="1">
        <f t="array" ref="H7">((2*ttotal7)/(3*s_t))*(st_b[[#This Row],[s(tb)]]+(s_t/4))</f>
        <v>4.8888888888888885E-2</v>
      </c>
      <c r="I7" s="3">
        <f t="shared" si="4"/>
        <v>3.174603174603205E-4</v>
      </c>
      <c r="J7" s="14">
        <f t="shared" si="1"/>
        <v>6.3492063492064093</v>
      </c>
      <c r="M7" s="8">
        <v>2.2900000000000004E-3</v>
      </c>
      <c r="N7" s="3">
        <f>(-INDEX(Overview[b],7)+SQRT(POWER(INDEX(Overview[b],7),2)-(4*INDEX(Overview[a],7)*st_c[[#This Row],[c]])))/(2*INDEX(Overview[a],7))</f>
        <v>9.6525334859281206E-2</v>
      </c>
      <c r="O7" s="3">
        <f t="shared" si="5"/>
        <v>3.2513948372264734E-4</v>
      </c>
      <c r="P7" s="14">
        <f t="shared" si="2"/>
        <v>6.5027896744529468</v>
      </c>
    </row>
    <row r="8" spans="1:16" x14ac:dyDescent="0.25">
      <c r="A8" s="2">
        <v>5.0000000000000002E-5</v>
      </c>
      <c r="B8" s="3" cm="1">
        <f t="array" ref="B8">SQRT((4*POWER(ttotal7,2)*st_a[[#This Row],[s(ta)]])/(9*s_t))</f>
        <v>1.2295185226055291E-2</v>
      </c>
      <c r="C8" s="3">
        <f t="shared" si="3"/>
        <v>1.2980372414909905E-3</v>
      </c>
      <c r="D8" s="14">
        <f t="shared" si="0"/>
        <v>25.960744829819809</v>
      </c>
      <c r="G8" s="8">
        <v>8.0000000000000004E-4</v>
      </c>
      <c r="H8" s="3" cm="1">
        <f t="array" ref="H8">((2*ttotal7)/(3*s_t))*(st_b[[#This Row],[s(tb)]]+(s_t/4))</f>
        <v>4.9206349206349205E-2</v>
      </c>
      <c r="I8" s="3">
        <f t="shared" si="4"/>
        <v>3.174603174603205E-4</v>
      </c>
      <c r="J8" s="14">
        <f t="shared" si="1"/>
        <v>6.3492063492064093</v>
      </c>
      <c r="M8" s="8">
        <v>2.3000000000000004E-3</v>
      </c>
      <c r="N8" s="3">
        <f>(-INDEX(Overview[b],7)+SQRT(POWER(INDEX(Overview[b],7),2)-(4*INDEX(Overview[a],7)*st_c[[#This Row],[c]])))/(2*INDEX(Overview[a],7))</f>
        <v>9.6852772234319248E-2</v>
      </c>
      <c r="O8" s="3">
        <f t="shared" si="5"/>
        <v>3.2743737503804216E-4</v>
      </c>
      <c r="P8" s="14">
        <f t="shared" si="2"/>
        <v>6.5487475007608431</v>
      </c>
    </row>
    <row r="9" spans="1:16" x14ac:dyDescent="0.25">
      <c r="A9" s="2">
        <v>6.0000000000000008E-5</v>
      </c>
      <c r="B9" s="3" cm="1">
        <f t="array" ref="B9">SQRT((4*POWER(ttotal7,2)*st_a[[#This Row],[s(ta)]])/(9*s_t))</f>
        <v>1.3468700594029477E-2</v>
      </c>
      <c r="C9" s="3">
        <f t="shared" si="3"/>
        <v>1.1735153679741858E-3</v>
      </c>
      <c r="D9" s="14">
        <f t="shared" si="0"/>
        <v>23.470307359483716</v>
      </c>
      <c r="G9" s="8">
        <v>8.1000000000000006E-4</v>
      </c>
      <c r="H9" s="3" cm="1">
        <f t="array" ref="H9">((2*ttotal7)/(3*s_t))*(st_b[[#This Row],[s(tb)]]+(s_t/4))</f>
        <v>4.9523809523809519E-2</v>
      </c>
      <c r="I9" s="3">
        <f t="shared" si="4"/>
        <v>3.1746031746031356E-4</v>
      </c>
      <c r="J9" s="14">
        <f t="shared" si="1"/>
        <v>6.3492063492062707</v>
      </c>
      <c r="M9" s="8">
        <v>2.31E-3</v>
      </c>
      <c r="N9" s="3">
        <f>(-INDEX(Overview[b],7)+SQRT(POWER(INDEX(Overview[b],7),2)-(4*INDEX(Overview[a],7)*st_c[[#This Row],[c]])))/(2*INDEX(Overview[a],7))</f>
        <v>9.7182556920831234E-2</v>
      </c>
      <c r="O9" s="3">
        <f t="shared" si="5"/>
        <v>3.2978468651198578E-4</v>
      </c>
      <c r="P9" s="14">
        <f t="shared" si="2"/>
        <v>6.5956937302397156</v>
      </c>
    </row>
    <row r="10" spans="1:16" x14ac:dyDescent="0.25">
      <c r="A10" s="2">
        <v>7.0000000000000007E-5</v>
      </c>
      <c r="B10" s="3" cm="1">
        <f t="array" ref="B10">SQRT((4*POWER(ttotal7,2)*st_a[[#This Row],[s(ta)]])/(9*s_t))</f>
        <v>1.4547859349066159E-2</v>
      </c>
      <c r="C10" s="3">
        <f t="shared" si="3"/>
        <v>1.0791587550366827E-3</v>
      </c>
      <c r="D10" s="14">
        <f t="shared" si="0"/>
        <v>21.583175100733651</v>
      </c>
      <c r="G10" s="8">
        <v>8.2000000000000009E-4</v>
      </c>
      <c r="H10" s="3" cm="1">
        <f t="array" ref="H10">((2*ttotal7)/(3*s_t))*(st_b[[#This Row],[s(tb)]]+(s_t/4))</f>
        <v>4.9841269841269839E-2</v>
      </c>
      <c r="I10" s="3">
        <f t="shared" si="4"/>
        <v>3.174603174603205E-4</v>
      </c>
      <c r="J10" s="14">
        <f t="shared" si="1"/>
        <v>6.3492063492064093</v>
      </c>
      <c r="M10" s="8">
        <v>2.32E-3</v>
      </c>
      <c r="N10" s="3">
        <f>(-INDEX(Overview[b],7)+SQRT(POWER(INDEX(Overview[b],7),2)-(4*INDEX(Overview[a],7)*st_c[[#This Row],[c]])))/(2*INDEX(Overview[a],7))</f>
        <v>9.7514740136235858E-2</v>
      </c>
      <c r="O10" s="3">
        <f t="shared" si="5"/>
        <v>3.3218321540462448E-4</v>
      </c>
      <c r="P10" s="14">
        <f t="shared" si="2"/>
        <v>6.6436643080924895</v>
      </c>
    </row>
    <row r="11" spans="1:16" x14ac:dyDescent="0.25">
      <c r="A11" s="2">
        <v>8.0000000000000007E-5</v>
      </c>
      <c r="B11" s="3" cm="1">
        <f t="array" ref="B11">SQRT((4*POWER(ttotal7,2)*st_a[[#This Row],[s(ta)]])/(9*s_t))</f>
        <v>1.5552315827194782E-2</v>
      </c>
      <c r="C11" s="3">
        <f t="shared" si="3"/>
        <v>1.0044564781286226E-3</v>
      </c>
      <c r="D11" s="14">
        <f t="shared" si="0"/>
        <v>20.089129562572449</v>
      </c>
      <c r="G11" s="8">
        <v>8.3000000000000012E-4</v>
      </c>
      <c r="H11" s="3" cm="1">
        <f t="array" ref="H11">((2*ttotal7)/(3*s_t))*(st_b[[#This Row],[s(tb)]]+(s_t/4))</f>
        <v>5.015873015873016E-2</v>
      </c>
      <c r="I11" s="3">
        <f t="shared" si="4"/>
        <v>3.174603174603205E-4</v>
      </c>
      <c r="J11" s="14">
        <f t="shared" si="1"/>
        <v>6.3492063492064093</v>
      </c>
      <c r="M11" s="8">
        <v>2.33E-3</v>
      </c>
      <c r="N11" s="3">
        <f>(-INDEX(Overview[b],7)+SQRT(POWER(INDEX(Overview[b],7),2)-(4*INDEX(Overview[a],7)*st_c[[#This Row],[c]])))/(2*INDEX(Overview[a],7))</f>
        <v>9.784937498807042E-2</v>
      </c>
      <c r="O11" s="3">
        <f t="shared" si="5"/>
        <v>3.3463485183456154E-4</v>
      </c>
      <c r="P11" s="14">
        <f t="shared" si="2"/>
        <v>6.6926970366912304</v>
      </c>
    </row>
    <row r="12" spans="1:16" x14ac:dyDescent="0.25">
      <c r="A12" s="2">
        <v>9.0000000000000006E-5</v>
      </c>
      <c r="B12" s="3" cm="1">
        <f t="array" ref="B12">SQRT((4*POWER(ttotal7,2)*st_a[[#This Row],[s(ta)]])/(9*s_t))</f>
        <v>1.6495721976846449E-2</v>
      </c>
      <c r="C12" s="3">
        <f t="shared" si="3"/>
        <v>9.4340614965166686E-4</v>
      </c>
      <c r="D12" s="14">
        <f t="shared" si="0"/>
        <v>18.868122993033335</v>
      </c>
      <c r="G12" s="8">
        <v>8.4000000000000003E-4</v>
      </c>
      <c r="H12" s="3" cm="1">
        <f t="array" ref="H12">((2*ttotal7)/(3*s_t))*(st_b[[#This Row],[s(tb)]]+(s_t/4))</f>
        <v>5.0476190476190466E-2</v>
      </c>
      <c r="I12" s="3">
        <f t="shared" si="4"/>
        <v>3.1746031746030662E-4</v>
      </c>
      <c r="J12" s="14">
        <f t="shared" si="1"/>
        <v>6.3492063492061321</v>
      </c>
      <c r="M12" s="8">
        <v>2.3400000000000001E-3</v>
      </c>
      <c r="N12" s="3">
        <f>(-INDEX(Overview[b],7)+SQRT(POWER(INDEX(Overview[b],7),2)-(4*INDEX(Overview[a],7)*st_c[[#This Row],[c]])))/(2*INDEX(Overview[a],7))</f>
        <v>9.81865165731102E-2</v>
      </c>
      <c r="O12" s="3">
        <f t="shared" si="5"/>
        <v>3.3714158503977965E-4</v>
      </c>
      <c r="P12" s="14">
        <f t="shared" si="2"/>
        <v>6.7428317007955929</v>
      </c>
    </row>
    <row r="13" spans="1:16" x14ac:dyDescent="0.25">
      <c r="A13" s="2">
        <v>1E-4</v>
      </c>
      <c r="B13" s="3" cm="1">
        <f t="array" ref="B13">SQRT((4*POWER(ttotal7,2)*st_a[[#This Row],[s(ta)]])/(9*s_t))</f>
        <v>1.7388017698576702E-2</v>
      </c>
      <c r="C13" s="3">
        <f t="shared" si="3"/>
        <v>8.9229572173025323E-4</v>
      </c>
      <c r="D13" s="14">
        <f t="shared" si="0"/>
        <v>17.845914434605064</v>
      </c>
      <c r="G13" s="8">
        <v>8.5000000000000006E-4</v>
      </c>
      <c r="H13" s="3" cm="1">
        <f t="array" ref="H13">((2*ttotal7)/(3*s_t))*(st_b[[#This Row],[s(tb)]]+(s_t/4))</f>
        <v>5.0793650793650787E-2</v>
      </c>
      <c r="I13" s="3">
        <f t="shared" si="4"/>
        <v>3.174603174603205E-4</v>
      </c>
      <c r="J13" s="14">
        <f t="shared" si="1"/>
        <v>6.3492063492064093</v>
      </c>
      <c r="M13" s="8">
        <v>2.3500000000000001E-3</v>
      </c>
      <c r="N13" s="3">
        <f>(-INDEX(Overview[b],7)+SQRT(POWER(INDEX(Overview[b],7),2)-(4*INDEX(Overview[a],7)*st_c[[#This Row],[c]])))/(2*INDEX(Overview[a],7))</f>
        <v>9.8526222083273191E-2</v>
      </c>
      <c r="O13" s="3">
        <f t="shared" si="5"/>
        <v>3.3970551016299089E-4</v>
      </c>
      <c r="P13" s="14">
        <f t="shared" si="2"/>
        <v>6.7941102032598177</v>
      </c>
    </row>
    <row r="14" spans="1:16" x14ac:dyDescent="0.25">
      <c r="A14" s="2">
        <v>1.1E-4</v>
      </c>
      <c r="B14" s="3" cm="1">
        <f t="array" ref="B14">SQRT((4*POWER(ttotal7,2)*st_a[[#This Row],[s(ta)]])/(9*s_t))</f>
        <v>1.823670681440644E-2</v>
      </c>
      <c r="C14" s="3">
        <f t="shared" si="3"/>
        <v>8.4868911582973786E-4</v>
      </c>
      <c r="D14" s="14">
        <f t="shared" si="0"/>
        <v>16.973782316594757</v>
      </c>
      <c r="G14" s="8">
        <v>8.6000000000000009E-4</v>
      </c>
      <c r="H14" s="3" cm="1">
        <f t="array" ref="H14">((2*ttotal7)/(3*s_t))*(st_b[[#This Row],[s(tb)]]+(s_t/4))</f>
        <v>5.1111111111111107E-2</v>
      </c>
      <c r="I14" s="3">
        <f t="shared" si="4"/>
        <v>3.174603174603205E-4</v>
      </c>
      <c r="J14" s="14">
        <f t="shared" si="1"/>
        <v>6.3492063492064093</v>
      </c>
      <c r="M14" s="8">
        <v>2.3600000000000001E-3</v>
      </c>
      <c r="N14" s="3">
        <f>(-INDEX(Overview[b],7)+SQRT(POWER(INDEX(Overview[b],7),2)-(4*INDEX(Overview[a],7)*st_c[[#This Row],[c]])))/(2*INDEX(Overview[a],7))</f>
        <v>9.886855091888562E-2</v>
      </c>
      <c r="O14" s="3">
        <f t="shared" si="5"/>
        <v>3.4232883561242933E-4</v>
      </c>
      <c r="P14" s="14">
        <f t="shared" si="2"/>
        <v>6.8465767122485861</v>
      </c>
    </row>
    <row r="15" spans="1:16" x14ac:dyDescent="0.25">
      <c r="A15" s="2">
        <v>1.2000000000000002E-4</v>
      </c>
      <c r="B15" s="3" cm="1">
        <f t="array" ref="B15">SQRT((4*POWER(ttotal7,2)*st_a[[#This Row],[s(ta)]])/(9*s_t))</f>
        <v>1.9047619047619049E-2</v>
      </c>
      <c r="C15" s="3">
        <f t="shared" si="3"/>
        <v>8.1091223321260938E-4</v>
      </c>
      <c r="D15" s="14">
        <f t="shared" si="0"/>
        <v>16.218244664252186</v>
      </c>
      <c r="G15" s="8">
        <v>8.7000000000000011E-4</v>
      </c>
      <c r="H15" s="3" cm="1">
        <f t="array" ref="H15">((2*ttotal7)/(3*s_t))*(st_b[[#This Row],[s(tb)]]+(s_t/4))</f>
        <v>5.1428571428571421E-2</v>
      </c>
      <c r="I15" s="3">
        <f t="shared" si="4"/>
        <v>3.1746031746031356E-4</v>
      </c>
      <c r="J15" s="14">
        <f t="shared" si="1"/>
        <v>6.3492063492062707</v>
      </c>
      <c r="M15" s="8">
        <v>2.3700000000000001E-3</v>
      </c>
      <c r="N15" s="3">
        <f>(-INDEX(Overview[b],7)+SQRT(POWER(INDEX(Overview[b],7),2)-(4*INDEX(Overview[a],7)*st_c[[#This Row],[c]])))/(2*INDEX(Overview[a],7))</f>
        <v>9.9213564809944393E-2</v>
      </c>
      <c r="O15" s="3">
        <f t="shared" si="5"/>
        <v>3.4501389105877356E-4</v>
      </c>
      <c r="P15" s="14">
        <f t="shared" si="2"/>
        <v>6.9002778211754707</v>
      </c>
    </row>
    <row r="16" spans="1:16" x14ac:dyDescent="0.25">
      <c r="A16" s="2">
        <v>1.3000000000000002E-4</v>
      </c>
      <c r="B16" s="3" cm="1">
        <f t="array" ref="B16">SQRT((4*POWER(ttotal7,2)*st_a[[#This Row],[s(ta)]])/(9*s_t))</f>
        <v>1.9825390471106027E-2</v>
      </c>
      <c r="C16" s="3">
        <f t="shared" si="3"/>
        <v>7.7777142348697814E-4</v>
      </c>
      <c r="D16" s="14">
        <f t="shared" si="0"/>
        <v>15.555428469739562</v>
      </c>
      <c r="G16" s="8">
        <v>8.8000000000000003E-4</v>
      </c>
      <c r="H16" s="3" cm="1">
        <f t="array" ref="H16">((2*ttotal7)/(3*s_t))*(st_b[[#This Row],[s(tb)]]+(s_t/4))</f>
        <v>5.1746031746031734E-2</v>
      </c>
      <c r="I16" s="3">
        <f t="shared" si="4"/>
        <v>3.1746031746031356E-4</v>
      </c>
      <c r="J16" s="14">
        <f t="shared" si="1"/>
        <v>6.3492063492062707</v>
      </c>
      <c r="M16" s="8">
        <v>2.3800000000000002E-3</v>
      </c>
      <c r="N16" s="3">
        <f>(-INDEX(Overview[b],7)+SQRT(POWER(INDEX(Overview[b],7),2)-(4*INDEX(Overview[a],7)*st_c[[#This Row],[c]])))/(2*INDEX(Overview[a],7))</f>
        <v>9.9561327946076639E-2</v>
      </c>
      <c r="O16" s="3">
        <f t="shared" si="5"/>
        <v>3.477631361322453E-4</v>
      </c>
      <c r="P16" s="14">
        <f t="shared" si="2"/>
        <v>6.955262722644906</v>
      </c>
    </row>
    <row r="17" spans="1:16" x14ac:dyDescent="0.25">
      <c r="A17" s="2">
        <v>1.4000000000000001E-4</v>
      </c>
      <c r="B17" s="3" cm="1">
        <f t="array" ref="B17">SQRT((4*POWER(ttotal7,2)*st_a[[#This Row],[s(ta)]])/(9*s_t))</f>
        <v>2.0573779994945588E-2</v>
      </c>
      <c r="C17" s="3">
        <f t="shared" si="3"/>
        <v>7.4838952383956062E-4</v>
      </c>
      <c r="D17" s="14">
        <f t="shared" si="0"/>
        <v>14.967790476791212</v>
      </c>
      <c r="G17" s="8">
        <v>8.9000000000000006E-4</v>
      </c>
      <c r="H17" s="3" cm="1">
        <f t="array" ref="H17">((2*ttotal7)/(3*s_t))*(st_b[[#This Row],[s(tb)]]+(s_t/4))</f>
        <v>5.2063492063492055E-2</v>
      </c>
      <c r="I17" s="3">
        <f t="shared" si="4"/>
        <v>3.174603174603205E-4</v>
      </c>
      <c r="J17" s="14">
        <f t="shared" si="1"/>
        <v>6.3492063492064093</v>
      </c>
      <c r="M17" s="8">
        <v>2.3900000000000002E-3</v>
      </c>
      <c r="N17" s="3">
        <f>(-INDEX(Overview[b],7)+SQRT(POWER(INDEX(Overview[b],7),2)-(4*INDEX(Overview[a],7)*st_c[[#This Row],[c]])))/(2*INDEX(Overview[a],7))</f>
        <v>9.991190711597242E-2</v>
      </c>
      <c r="O17" s="3">
        <f t="shared" si="5"/>
        <v>3.5057916989578164E-4</v>
      </c>
      <c r="P17" s="14">
        <f t="shared" si="2"/>
        <v>7.0115833979156328</v>
      </c>
    </row>
    <row r="18" spans="1:16" x14ac:dyDescent="0.25">
      <c r="A18" s="2">
        <v>1.5000000000000001E-4</v>
      </c>
      <c r="B18" s="3" cm="1">
        <f t="array" ref="B18">SQRT((4*POWER(ttotal7,2)*st_a[[#This Row],[s(ta)]])/(9*s_t))</f>
        <v>2.1295885499997998E-2</v>
      </c>
      <c r="C18" s="3">
        <f t="shared" si="3"/>
        <v>7.2210550505241028E-4</v>
      </c>
      <c r="D18" s="14">
        <f t="shared" si="0"/>
        <v>14.442110101048204</v>
      </c>
      <c r="G18" s="8">
        <v>9.0000000000000008E-4</v>
      </c>
      <c r="H18" s="3" cm="1">
        <f t="array" ref="H18">((2*ttotal7)/(3*s_t))*(st_b[[#This Row],[s(tb)]]+(s_t/4))</f>
        <v>5.2380952380952368E-2</v>
      </c>
      <c r="I18" s="3">
        <f t="shared" si="4"/>
        <v>3.1746031746031356E-4</v>
      </c>
      <c r="J18" s="14">
        <f t="shared" si="1"/>
        <v>6.3492063492062707</v>
      </c>
      <c r="M18" s="8">
        <v>2.4000000000000002E-3</v>
      </c>
      <c r="N18" s="3">
        <f>(-INDEX(Overview[b],7)+SQRT(POWER(INDEX(Overview[b],7),2)-(4*INDEX(Overview[a],7)*st_c[[#This Row],[c]])))/(2*INDEX(Overview[a],7))</f>
        <v>0.10026537185714687</v>
      </c>
      <c r="O18" s="3">
        <f t="shared" si="5"/>
        <v>3.5346474117445292E-4</v>
      </c>
      <c r="P18" s="14">
        <f t="shared" si="2"/>
        <v>7.0692948234890585</v>
      </c>
    </row>
    <row r="19" spans="1:16" x14ac:dyDescent="0.25">
      <c r="A19" s="2">
        <v>1.6000000000000001E-4</v>
      </c>
      <c r="B19" s="3" cm="1">
        <f t="array" ref="B19">SQRT((4*POWER(ttotal7,2)*st_a[[#This Row],[s(ta)]])/(9*s_t))</f>
        <v>2.1994295969128601E-2</v>
      </c>
      <c r="C19" s="3">
        <f t="shared" si="3"/>
        <v>6.9841046913060242E-4</v>
      </c>
      <c r="D19" s="14">
        <f t="shared" si="0"/>
        <v>13.968209382612049</v>
      </c>
      <c r="G19" s="8">
        <v>9.1000000000000011E-4</v>
      </c>
      <c r="H19" s="3" cm="1">
        <f t="array" ref="H19">((2*ttotal7)/(3*s_t))*(st_b[[#This Row],[s(tb)]]+(s_t/4))</f>
        <v>5.2698412698412689E-2</v>
      </c>
      <c r="I19" s="3">
        <f t="shared" si="4"/>
        <v>3.174603174603205E-4</v>
      </c>
      <c r="J19" s="14">
        <f t="shared" si="1"/>
        <v>6.3492063492064093</v>
      </c>
      <c r="M19" s="8">
        <v>2.4100000000000002E-3</v>
      </c>
      <c r="N19" s="3">
        <f>(-INDEX(Overview[b],7)+SQRT(POWER(INDEX(Overview[b],7),2)-(4*INDEX(Overview[a],7)*st_c[[#This Row],[c]])))/(2*INDEX(Overview[a],7))</f>
        <v>0.10062179461698391</v>
      </c>
      <c r="O19" s="3">
        <f t="shared" si="5"/>
        <v>3.5642275983703564E-4</v>
      </c>
      <c r="P19" s="14">
        <f t="shared" si="2"/>
        <v>7.1284551967407124</v>
      </c>
    </row>
    <row r="20" spans="1:16" x14ac:dyDescent="0.25">
      <c r="A20" s="2">
        <v>1.7000000000000001E-4</v>
      </c>
      <c r="B20" s="3" cm="1">
        <f t="array" ref="B20">SQRT((4*POWER(ttotal7,2)*st_a[[#This Row],[s(ta)]])/(9*s_t))</f>
        <v>2.2671201360453492E-2</v>
      </c>
      <c r="C20" s="3">
        <f t="shared" si="3"/>
        <v>6.7690539132489111E-4</v>
      </c>
      <c r="D20" s="14">
        <f t="shared" si="0"/>
        <v>13.538107826497821</v>
      </c>
      <c r="G20" s="8">
        <v>9.2000000000000003E-4</v>
      </c>
      <c r="H20" s="3" cm="1">
        <f t="array" ref="H20">((2*ttotal7)/(3*s_t))*(st_b[[#This Row],[s(tb)]]+(s_t/4))</f>
        <v>5.3015873015873009E-2</v>
      </c>
      <c r="I20" s="3">
        <f t="shared" si="4"/>
        <v>3.174603174603205E-4</v>
      </c>
      <c r="J20" s="14">
        <f t="shared" si="1"/>
        <v>6.3492063492064093</v>
      </c>
      <c r="M20" s="8">
        <v>2.4200000000000003E-3</v>
      </c>
      <c r="N20" s="3">
        <f>(-INDEX(Overview[b],7)+SQRT(POWER(INDEX(Overview[b],7),2)-(4*INDEX(Overview[a],7)*st_c[[#This Row],[c]])))/(2*INDEX(Overview[a],7))</f>
        <v>0.1009812509261177</v>
      </c>
      <c r="O20" s="3">
        <f t="shared" si="5"/>
        <v>3.59456309133796E-4</v>
      </c>
      <c r="P20" s="14">
        <f t="shared" si="2"/>
        <v>7.1891261826759196</v>
      </c>
    </row>
    <row r="21" spans="1:16" x14ac:dyDescent="0.25">
      <c r="A21" s="2">
        <v>1.8000000000000001E-4</v>
      </c>
      <c r="B21" s="3" cm="1">
        <f t="array" ref="B21">SQRT((4*POWER(ttotal7,2)*st_a[[#This Row],[s(ta)]])/(9*s_t))</f>
        <v>2.3328473740792173E-2</v>
      </c>
      <c r="C21" s="3">
        <f t="shared" si="3"/>
        <v>6.572723803386811E-4</v>
      </c>
      <c r="D21" s="14">
        <f t="shared" si="0"/>
        <v>13.145447606773621</v>
      </c>
      <c r="G21" s="8">
        <v>9.3000000000000005E-4</v>
      </c>
      <c r="H21" s="3" cm="1">
        <f t="array" ref="H21">((2*ttotal7)/(3*s_t))*(st_b[[#This Row],[s(tb)]]+(s_t/4))</f>
        <v>5.3333333333333323E-2</v>
      </c>
      <c r="I21" s="3">
        <f t="shared" si="4"/>
        <v>3.1746031746031356E-4</v>
      </c>
      <c r="J21" s="14">
        <f t="shared" si="1"/>
        <v>6.3492063492062707</v>
      </c>
      <c r="M21" s="8">
        <v>2.4300000000000003E-3</v>
      </c>
      <c r="N21" s="3">
        <f>(-INDEX(Overview[b],7)+SQRT(POWER(INDEX(Overview[b],7),2)-(4*INDEX(Overview[a],7)*st_c[[#This Row],[c]])))/(2*INDEX(Overview[a],7))</f>
        <v>0.10134381958532689</v>
      </c>
      <c r="O21" s="3">
        <f t="shared" si="5"/>
        <v>3.6256865920918091E-4</v>
      </c>
      <c r="P21" s="14">
        <f t="shared" si="2"/>
        <v>7.2513731841836178</v>
      </c>
    </row>
    <row r="22" spans="1:16" x14ac:dyDescent="0.25">
      <c r="A22" s="2">
        <v>1.9000000000000001E-4</v>
      </c>
      <c r="B22" s="3" cm="1">
        <f t="array" ref="B22">SQRT((4*POWER(ttotal7,2)*st_a[[#This Row],[s(ta)]])/(9*s_t))</f>
        <v>2.3967728365938887E-2</v>
      </c>
      <c r="C22" s="3">
        <f t="shared" si="3"/>
        <v>6.3925462514671447E-4</v>
      </c>
      <c r="D22" s="14">
        <f t="shared" si="0"/>
        <v>12.785092502934289</v>
      </c>
      <c r="G22" s="8">
        <v>9.4000000000000008E-4</v>
      </c>
      <c r="H22" s="3" cm="1">
        <f t="array" ref="H22">((2*ttotal7)/(3*s_t))*(st_b[[#This Row],[s(tb)]]+(s_t/4))</f>
        <v>5.3650793650793643E-2</v>
      </c>
      <c r="I22" s="3">
        <f t="shared" si="4"/>
        <v>3.174603174603205E-4</v>
      </c>
      <c r="J22" s="14">
        <f t="shared" si="1"/>
        <v>6.3492063492064093</v>
      </c>
      <c r="M22" s="8">
        <v>2.4400000000000003E-3</v>
      </c>
      <c r="N22" s="3">
        <f>(-INDEX(Overview[b],7)+SQRT(POWER(INDEX(Overview[b],7),2)-(4*INDEX(Overview[a],7)*st_c[[#This Row],[c]])))/(2*INDEX(Overview[a],7))</f>
        <v>0.10170958286725168</v>
      </c>
      <c r="O22" s="3">
        <f t="shared" si="5"/>
        <v>3.6576328192479413E-4</v>
      </c>
      <c r="P22" s="14">
        <f t="shared" si="2"/>
        <v>7.3152656384958821</v>
      </c>
    </row>
    <row r="23" spans="1:16" x14ac:dyDescent="0.25">
      <c r="A23" s="2">
        <v>2.0000000000000001E-4</v>
      </c>
      <c r="B23" s="3" cm="1">
        <f t="array" ref="B23">SQRT((4*POWER(ttotal7,2)*st_a[[#This Row],[s(ta)]])/(9*s_t))</f>
        <v>2.4590370452110582E-2</v>
      </c>
      <c r="C23" s="3">
        <f t="shared" si="3"/>
        <v>6.2264208617169442E-4</v>
      </c>
      <c r="D23" s="14">
        <f t="shared" si="0"/>
        <v>12.452841723433888</v>
      </c>
      <c r="G23" s="8">
        <v>9.5000000000000011E-4</v>
      </c>
      <c r="H23" s="3" cm="1">
        <f t="array" ref="H23">((2*ttotal7)/(3*s_t))*(st_b[[#This Row],[s(tb)]]+(s_t/4))</f>
        <v>5.3968253968253964E-2</v>
      </c>
      <c r="I23" s="3">
        <f t="shared" si="4"/>
        <v>3.174603174603205E-4</v>
      </c>
      <c r="J23" s="14">
        <f t="shared" si="1"/>
        <v>6.3492063492064093</v>
      </c>
      <c r="M23" s="8">
        <v>2.4500000000000004E-3</v>
      </c>
      <c r="N23" s="3">
        <f>(-INDEX(Overview[b],7)+SQRT(POWER(INDEX(Overview[b],7),2)-(4*INDEX(Overview[a],7)*st_c[[#This Row],[c]])))/(2*INDEX(Overview[a],7))</f>
        <v>0.10207862673439644</v>
      </c>
      <c r="O23" s="3">
        <f t="shared" si="5"/>
        <v>3.6904386714475823E-4</v>
      </c>
      <c r="P23" s="14">
        <f t="shared" si="2"/>
        <v>7.3808773428951646</v>
      </c>
    </row>
    <row r="24" spans="1:16" x14ac:dyDescent="0.25">
      <c r="A24" s="2">
        <v>2.1000000000000001E-4</v>
      </c>
      <c r="B24" s="3" cm="1">
        <f t="array" ref="B24">SQRT((4*POWER(ttotal7,2)*st_a[[#This Row],[s(ta)]])/(9*s_t))</f>
        <v>2.5197631533948481E-2</v>
      </c>
      <c r="C24" s="3">
        <f t="shared" si="3"/>
        <v>6.0726108183789887E-4</v>
      </c>
      <c r="D24" s="14">
        <f t="shared" si="0"/>
        <v>12.145221636757977</v>
      </c>
      <c r="G24" s="8">
        <v>9.6000000000000013E-4</v>
      </c>
      <c r="H24" s="3" cm="1">
        <f t="array" ref="H24">((2*ttotal7)/(3*s_t))*(st_b[[#This Row],[s(tb)]]+(s_t/4))</f>
        <v>5.4285714285714277E-2</v>
      </c>
      <c r="I24" s="3">
        <f t="shared" si="4"/>
        <v>3.1746031746031356E-4</v>
      </c>
      <c r="J24" s="14">
        <f t="shared" si="1"/>
        <v>6.3492063492062707</v>
      </c>
      <c r="M24" s="8">
        <v>2.4600000000000004E-3</v>
      </c>
      <c r="N24" s="3">
        <f>(-INDEX(Overview[b],7)+SQRT(POWER(INDEX(Overview[b],7),2)-(4*INDEX(Overview[a],7)*st_c[[#This Row],[c]])))/(2*INDEX(Overview[a],7))</f>
        <v>0.10245104107505446</v>
      </c>
      <c r="O24" s="3">
        <f t="shared" si="5"/>
        <v>3.7241434065801715E-4</v>
      </c>
      <c r="P24" s="14">
        <f t="shared" si="2"/>
        <v>7.448286813160343</v>
      </c>
    </row>
    <row r="25" spans="1:16" x14ac:dyDescent="0.25">
      <c r="A25" s="2">
        <v>2.2000000000000001E-4</v>
      </c>
      <c r="B25" s="3" cm="1">
        <f t="array" ref="B25">SQRT((4*POWER(ttotal7,2)*st_a[[#This Row],[s(ta)]])/(9*s_t))</f>
        <v>2.5790598109955428E-2</v>
      </c>
      <c r="C25" s="3">
        <f t="shared" si="3"/>
        <v>5.9296657600694733E-4</v>
      </c>
      <c r="D25" s="14">
        <f t="shared" si="0"/>
        <v>11.859331520138946</v>
      </c>
      <c r="G25" s="8">
        <v>9.7000000000000005E-4</v>
      </c>
      <c r="H25" s="3" cm="1">
        <f t="array" ref="H25">((2*ttotal7)/(3*s_t))*(st_b[[#This Row],[s(tb)]]+(s_t/4))</f>
        <v>5.4603174603174598E-2</v>
      </c>
      <c r="I25" s="3">
        <f t="shared" si="4"/>
        <v>3.174603174603205E-4</v>
      </c>
      <c r="J25" s="14">
        <f t="shared" si="1"/>
        <v>6.3492063492064093</v>
      </c>
      <c r="M25" s="8">
        <v>2.4700000000000004E-3</v>
      </c>
      <c r="N25" s="3">
        <f>(-INDEX(Overview[b],7)+SQRT(POWER(INDEX(Overview[b],7),2)-(4*INDEX(Overview[a],7)*st_c[[#This Row],[c]])))/(2*INDEX(Overview[a],7))</f>
        <v>0.10282691995898893</v>
      </c>
      <c r="O25" s="3">
        <f t="shared" si="5"/>
        <v>3.7587888393447733E-4</v>
      </c>
      <c r="P25" s="14">
        <f t="shared" si="2"/>
        <v>7.5175776786895465</v>
      </c>
    </row>
    <row r="26" spans="1:16" x14ac:dyDescent="0.25">
      <c r="A26" s="2">
        <v>2.3000000000000001E-4</v>
      </c>
      <c r="B26" s="3" cm="1">
        <f t="array" ref="B26">SQRT((4*POWER(ttotal7,2)*st_a[[#This Row],[s(ta)]])/(9*s_t))</f>
        <v>2.6370234485454207E-2</v>
      </c>
      <c r="C26" s="3">
        <f t="shared" si="3"/>
        <v>5.7963637549877933E-4</v>
      </c>
      <c r="D26" s="14">
        <f t="shared" si="0"/>
        <v>11.592727509975585</v>
      </c>
      <c r="G26" s="8">
        <v>9.8000000000000019E-4</v>
      </c>
      <c r="H26" s="3" cm="1">
        <f t="array" ref="H26">((2*ttotal7)/(3*s_t))*(st_b[[#This Row],[s(tb)]]+(s_t/4))</f>
        <v>5.4920634920634918E-2</v>
      </c>
      <c r="I26" s="3">
        <f t="shared" si="4"/>
        <v>3.174603174603205E-4</v>
      </c>
      <c r="J26" s="14">
        <f t="shared" si="1"/>
        <v>6.3492063492064093</v>
      </c>
      <c r="M26" s="8">
        <v>2.48E-3</v>
      </c>
      <c r="N26" s="3">
        <f>(-INDEX(Overview[b],7)+SQRT(POWER(INDEX(Overview[b],7),2)-(4*INDEX(Overview[a],7)*st_c[[#This Row],[c]])))/(2*INDEX(Overview[a],7))</f>
        <v>0.10320636191493079</v>
      </c>
      <c r="O26" s="3">
        <f t="shared" si="5"/>
        <v>3.7944195594186159E-4</v>
      </c>
      <c r="P26" s="14">
        <f t="shared" si="2"/>
        <v>7.5888391188372317</v>
      </c>
    </row>
    <row r="27" spans="1:16" x14ac:dyDescent="0.25">
      <c r="A27" s="2">
        <v>2.4000000000000003E-4</v>
      </c>
      <c r="B27" s="3" cm="1">
        <f t="array" ref="B27">SQRT((4*POWER(ttotal7,2)*st_a[[#This Row],[s(ta)]])/(9*s_t))</f>
        <v>2.6937401188058954E-2</v>
      </c>
      <c r="C27" s="3">
        <f t="shared" si="3"/>
        <v>5.6716670260474611E-4</v>
      </c>
      <c r="D27" s="14">
        <f t="shared" si="0"/>
        <v>11.343334052094921</v>
      </c>
      <c r="G27" s="8">
        <v>9.8999999999999999E-4</v>
      </c>
      <c r="H27" s="3" cm="1">
        <f t="array" ref="H27">((2*ttotal7)/(3*s_t))*(st_b[[#This Row],[s(tb)]]+(s_t/4))</f>
        <v>5.5238095238095225E-2</v>
      </c>
      <c r="I27" s="3">
        <f t="shared" si="4"/>
        <v>3.1746031746030662E-4</v>
      </c>
      <c r="J27" s="14">
        <f t="shared" si="1"/>
        <v>6.3492063492061321</v>
      </c>
      <c r="M27" s="8">
        <v>2.49E-3</v>
      </c>
      <c r="N27" s="3">
        <f>(-INDEX(Overview[b],7)+SQRT(POWER(INDEX(Overview[b],7),2)-(4*INDEX(Overview[a],7)*st_c[[#This Row],[c]])))/(2*INDEX(Overview[a],7))</f>
        <v>0.10358947023221274</v>
      </c>
      <c r="O27" s="3">
        <f t="shared" si="5"/>
        <v>3.8310831728194383E-4</v>
      </c>
      <c r="P27" s="14">
        <f t="shared" si="2"/>
        <v>7.6621663456388767</v>
      </c>
    </row>
    <row r="28" spans="1:16" x14ac:dyDescent="0.25">
      <c r="A28" s="2">
        <v>2.5000000000000001E-4</v>
      </c>
      <c r="B28" s="3" cm="1">
        <f t="array" ref="B28">SQRT((4*POWER(ttotal7,2)*st_a[[#This Row],[s(ta)]])/(9*s_t))</f>
        <v>2.7492869961410753E-2</v>
      </c>
      <c r="C28" s="3">
        <f t="shared" si="3"/>
        <v>5.554687733517992E-4</v>
      </c>
      <c r="D28" s="14">
        <f t="shared" si="0"/>
        <v>11.109375467035983</v>
      </c>
      <c r="G28" s="8">
        <v>1E-3</v>
      </c>
      <c r="H28" s="3" cm="1">
        <f t="array" ref="H28">((2*ttotal7)/(3*s_t))*(st_b[[#This Row],[s(tb)]]+(s_t/4))</f>
        <v>5.5555555555555546E-2</v>
      </c>
      <c r="I28" s="3">
        <f t="shared" si="4"/>
        <v>3.174603174603205E-4</v>
      </c>
      <c r="J28" s="14">
        <f t="shared" si="1"/>
        <v>6.3492063492064093</v>
      </c>
      <c r="M28" s="8">
        <v>2.5000000000000001E-3</v>
      </c>
      <c r="N28" s="3">
        <f>(-INDEX(Overview[b],7)+SQRT(POWER(INDEX(Overview[b],7),2)-(4*INDEX(Overview[a],7)*st_c[[#This Row],[c]])))/(2*INDEX(Overview[a],7))</f>
        <v>0.10397635328915592</v>
      </c>
      <c r="O28" s="3">
        <f t="shared" si="5"/>
        <v>3.8688305694317693E-4</v>
      </c>
      <c r="P28" s="14">
        <f t="shared" si="2"/>
        <v>7.7376611388635386</v>
      </c>
    </row>
    <row r="29" spans="1:16" x14ac:dyDescent="0.25">
      <c r="A29" s="2">
        <v>2.6000000000000003E-4</v>
      </c>
      <c r="B29" s="3" cm="1">
        <f t="array" ref="B29">SQRT((4*POWER(ttotal7,2)*st_a[[#This Row],[s(ta)]])/(9*s_t))</f>
        <v>2.8037336083580465E-2</v>
      </c>
      <c r="C29" s="3">
        <f t="shared" si="3"/>
        <v>5.4446612216971224E-4</v>
      </c>
      <c r="D29" s="14">
        <f t="shared" si="0"/>
        <v>10.889322443394244</v>
      </c>
      <c r="G29" s="8">
        <v>1.01E-3</v>
      </c>
      <c r="H29" s="3" cm="1">
        <f t="array" ref="H29">((2*ttotal7)/(3*s_t))*(st_b[[#This Row],[s(tb)]]+(s_t/4))</f>
        <v>5.5873015873015866E-2</v>
      </c>
      <c r="I29" s="3">
        <f t="shared" si="4"/>
        <v>3.174603174603205E-4</v>
      </c>
      <c r="J29" s="14">
        <f t="shared" si="1"/>
        <v>6.3492063492064093</v>
      </c>
      <c r="M29" s="8">
        <v>2.5100000000000001E-3</v>
      </c>
      <c r="N29" s="3">
        <f>(-INDEX(Overview[b],7)+SQRT(POWER(INDEX(Overview[b],7),2)-(4*INDEX(Overview[a],7)*st_c[[#This Row],[c]])))/(2*INDEX(Overview[a],7))</f>
        <v>0.10436712491116781</v>
      </c>
      <c r="O29" s="3">
        <f t="shared" si="5"/>
        <v>3.9077162201189841E-4</v>
      </c>
      <c r="P29" s="14">
        <f t="shared" si="2"/>
        <v>7.8154324402379682</v>
      </c>
    </row>
    <row r="30" spans="1:16" x14ac:dyDescent="0.25">
      <c r="A30" s="2">
        <v>2.7E-4</v>
      </c>
      <c r="B30" s="3" cm="1">
        <f t="array" ref="B30">SQRT((4*POWER(ttotal7,2)*st_a[[#This Row],[s(ta)]])/(9*s_t))</f>
        <v>2.8571428571428571E-2</v>
      </c>
      <c r="C30" s="3">
        <f t="shared" si="3"/>
        <v>5.3409248784810556E-4</v>
      </c>
      <c r="D30" s="14">
        <f t="shared" si="0"/>
        <v>10.68184975696211</v>
      </c>
      <c r="G30" s="8">
        <v>1.0200000000000001E-3</v>
      </c>
      <c r="H30" s="3" cm="1">
        <f t="array" ref="H30">((2*ttotal7)/(3*s_t))*(st_b[[#This Row],[s(tb)]]+(s_t/4))</f>
        <v>5.619047619047618E-2</v>
      </c>
      <c r="I30" s="3">
        <f t="shared" si="4"/>
        <v>3.1746031746031356E-4</v>
      </c>
      <c r="J30" s="14">
        <f t="shared" si="1"/>
        <v>6.3492063492062707</v>
      </c>
      <c r="M30" s="8">
        <v>2.5200000000000001E-3</v>
      </c>
      <c r="N30" s="3">
        <f>(-INDEX(Overview[b],7)+SQRT(POWER(INDEX(Overview[b],7),2)-(4*INDEX(Overview[a],7)*st_c[[#This Row],[c]])))/(2*INDEX(Overview[a],7))</f>
        <v>0.10476190476190475</v>
      </c>
      <c r="O30" s="3">
        <f t="shared" si="5"/>
        <v>3.9477985073693711E-4</v>
      </c>
      <c r="P30" s="14">
        <f t="shared" si="2"/>
        <v>7.8955970147387422</v>
      </c>
    </row>
    <row r="31" spans="1:16" x14ac:dyDescent="0.25">
      <c r="A31" s="2">
        <v>2.8000000000000003E-4</v>
      </c>
      <c r="B31" s="3" cm="1">
        <f t="array" ref="B31">SQRT((4*POWER(ttotal7,2)*st_a[[#This Row],[s(ta)]])/(9*s_t))</f>
        <v>2.9095718698132319E-2</v>
      </c>
      <c r="C31" s="3">
        <f t="shared" si="3"/>
        <v>5.2429012670374836E-4</v>
      </c>
      <c r="D31" s="14">
        <f t="shared" si="0"/>
        <v>10.485802534074967</v>
      </c>
      <c r="G31" s="8">
        <v>1.0300000000000001E-3</v>
      </c>
      <c r="H31" s="3" cm="1">
        <f t="array" ref="H31">((2*ttotal7)/(3*s_t))*(st_b[[#This Row],[s(tb)]]+(s_t/4))</f>
        <v>5.65079365079365E-2</v>
      </c>
      <c r="I31" s="3">
        <f t="shared" si="4"/>
        <v>3.174603174603205E-4</v>
      </c>
      <c r="J31" s="14">
        <f t="shared" si="1"/>
        <v>6.3492063492064093</v>
      </c>
      <c r="M31" s="8">
        <v>2.5300000000000001E-3</v>
      </c>
      <c r="N31" s="3">
        <f>(-INDEX(Overview[b],7)+SQRT(POWER(INDEX(Overview[b],7),2)-(4*INDEX(Overview[a],7)*st_c[[#This Row],[c]])))/(2*INDEX(Overview[a],7))</f>
        <v>0.10516081877130817</v>
      </c>
      <c r="O31" s="3">
        <f t="shared" si="5"/>
        <v>3.989140094034227E-4</v>
      </c>
      <c r="P31" s="14">
        <f t="shared" si="2"/>
        <v>7.978280188068454</v>
      </c>
    </row>
    <row r="32" spans="1:16" x14ac:dyDescent="0.25">
      <c r="A32" s="2">
        <v>2.9E-4</v>
      </c>
      <c r="B32" s="3" cm="1">
        <f t="array" ref="B32">SQRT((4*POWER(ttotal7,2)*st_a[[#This Row],[s(ta)]])/(9*s_t))</f>
        <v>2.9610727152662903E-2</v>
      </c>
      <c r="C32" s="3">
        <f t="shared" si="3"/>
        <v>5.1500845453058414E-4</v>
      </c>
      <c r="D32" s="14">
        <f t="shared" si="0"/>
        <v>10.300169090611682</v>
      </c>
      <c r="G32" s="8">
        <v>1.0400000000000001E-3</v>
      </c>
      <c r="H32" s="3" cm="1">
        <f t="array" ref="H32">((2*ttotal7)/(3*s_t))*(st_b[[#This Row],[s(tb)]]+(s_t/4))</f>
        <v>5.6825396825396821E-2</v>
      </c>
      <c r="I32" s="3">
        <f t="shared" si="4"/>
        <v>3.174603174603205E-4</v>
      </c>
      <c r="J32" s="14">
        <f t="shared" si="1"/>
        <v>6.3492063492064093</v>
      </c>
      <c r="M32" s="8">
        <v>2.5400000000000002E-3</v>
      </c>
      <c r="N32" s="3">
        <f>(-INDEX(Overview[b],7)+SQRT(POWER(INDEX(Overview[b],7),2)-(4*INDEX(Overview[a],7)*st_c[[#This Row],[c]])))/(2*INDEX(Overview[a],7))</f>
        <v>0.10556399960485482</v>
      </c>
      <c r="O32" s="3">
        <f t="shared" si="5"/>
        <v>4.0318083354665135E-4</v>
      </c>
      <c r="P32" s="14">
        <f t="shared" si="2"/>
        <v>8.0636166709330261</v>
      </c>
    </row>
    <row r="33" spans="1:16" x14ac:dyDescent="0.25">
      <c r="A33" s="2">
        <v>3.0000000000000003E-4</v>
      </c>
      <c r="B33" s="3" cm="1">
        <f t="array" ref="B33">SQRT((4*POWER(ttotal7,2)*st_a[[#This Row],[s(ta)]])/(9*s_t))</f>
        <v>3.0116930096841708E-2</v>
      </c>
      <c r="C33" s="3">
        <f t="shared" si="3"/>
        <v>5.0620294417880532E-4</v>
      </c>
      <c r="D33" s="14">
        <f t="shared" si="0"/>
        <v>10.124058883576106</v>
      </c>
      <c r="G33" s="8">
        <v>1.0500000000000002E-3</v>
      </c>
      <c r="H33" s="3" cm="1">
        <f t="array" ref="H33">((2*ttotal7)/(3*s_t))*(st_b[[#This Row],[s(tb)]]+(s_t/4))</f>
        <v>5.7142857142857134E-2</v>
      </c>
      <c r="I33" s="3">
        <f t="shared" si="4"/>
        <v>3.1746031746031356E-4</v>
      </c>
      <c r="J33" s="14">
        <f t="shared" si="1"/>
        <v>6.3492063492062707</v>
      </c>
      <c r="M33" s="8">
        <v>2.5500000000000002E-3</v>
      </c>
      <c r="N33" s="3">
        <f>(-INDEX(Overview[b],7)+SQRT(POWER(INDEX(Overview[b],7),2)-(4*INDEX(Overview[a],7)*st_c[[#This Row],[c]])))/(2*INDEX(Overview[a],7))</f>
        <v>0.10597158717897698</v>
      </c>
      <c r="O33" s="3">
        <f t="shared" si="5"/>
        <v>4.0758757412215352E-4</v>
      </c>
      <c r="P33" s="14">
        <f t="shared" si="2"/>
        <v>8.1517514824430695</v>
      </c>
    </row>
    <row r="34" spans="1:16" x14ac:dyDescent="0.25">
      <c r="A34" s="2">
        <v>3.1E-4</v>
      </c>
      <c r="B34" s="3" cm="1">
        <f t="array" ref="B34">SQRT((4*POWER(ttotal7,2)*st_a[[#This Row],[s(ta)]])/(9*s_t))</f>
        <v>3.0614764320612553E-2</v>
      </c>
      <c r="C34" s="3">
        <f t="shared" si="3"/>
        <v>4.9783422377084469E-4</v>
      </c>
      <c r="D34" s="14">
        <f t="shared" si="0"/>
        <v>9.9566844754168926</v>
      </c>
      <c r="G34" s="8">
        <v>1.0600000000000002E-3</v>
      </c>
      <c r="H34" s="3" cm="1">
        <f t="array" ref="H34">((2*ttotal7)/(3*s_t))*(st_b[[#This Row],[s(tb)]]+(s_t/4))</f>
        <v>5.7460317460317455E-2</v>
      </c>
      <c r="I34" s="3">
        <f t="shared" si="4"/>
        <v>3.174603174603205E-4</v>
      </c>
      <c r="J34" s="14">
        <f t="shared" si="1"/>
        <v>6.3492063492064093</v>
      </c>
      <c r="M34" s="8">
        <v>2.5600000000000002E-3</v>
      </c>
      <c r="N34" s="3">
        <f>(-INDEX(Overview[b],7)+SQRT(POWER(INDEX(Overview[b],7),2)-(4*INDEX(Overview[a],7)*st_c[[#This Row],[c]])))/(2*INDEX(Overview[a],7))</f>
        <v>0.10638372922832995</v>
      </c>
      <c r="O34" s="3">
        <f t="shared" si="5"/>
        <v>4.1214204935297039E-4</v>
      </c>
      <c r="P34" s="14">
        <f t="shared" si="2"/>
        <v>8.2428409870594077</v>
      </c>
    </row>
    <row r="35" spans="1:16" x14ac:dyDescent="0.25">
      <c r="A35" s="2">
        <v>3.2000000000000003E-4</v>
      </c>
      <c r="B35" s="3" cm="1">
        <f t="array" ref="B35">SQRT((4*POWER(ttotal7,2)*st_a[[#This Row],[s(ta)]])/(9*s_t))</f>
        <v>3.1104631654389564E-2</v>
      </c>
      <c r="C35" s="3">
        <f t="shared" si="3"/>
        <v>4.8986733377701097E-4</v>
      </c>
      <c r="D35" s="14">
        <f t="shared" si="0"/>
        <v>9.7973466755402185</v>
      </c>
      <c r="G35" s="8">
        <v>1.07E-3</v>
      </c>
      <c r="H35" s="3" cm="1">
        <f t="array" ref="H35">((2*ttotal7)/(3*s_t))*(st_b[[#This Row],[s(tb)]]+(s_t/4))</f>
        <v>5.7777777777777768E-2</v>
      </c>
      <c r="I35" s="3">
        <f t="shared" si="4"/>
        <v>3.1746031746031356E-4</v>
      </c>
      <c r="J35" s="14">
        <f t="shared" si="1"/>
        <v>6.3492063492062707</v>
      </c>
      <c r="M35" s="8">
        <v>2.5700000000000002E-3</v>
      </c>
      <c r="N35" s="3">
        <f>(-INDEX(Overview[b],7)+SQRT(POWER(INDEX(Overview[b],7),2)-(4*INDEX(Overview[a],7)*st_c[[#This Row],[c]])))/(2*INDEX(Overview[a],7))</f>
        <v>0.10680058193142684</v>
      </c>
      <c r="O35" s="3">
        <f t="shared" si="5"/>
        <v>4.1685270309689548E-4</v>
      </c>
      <c r="P35" s="14">
        <f t="shared" si="2"/>
        <v>8.3370540619379092</v>
      </c>
    </row>
    <row r="36" spans="1:16" x14ac:dyDescent="0.25">
      <c r="A36" s="2">
        <v>3.3000000000000005E-4</v>
      </c>
      <c r="B36" s="3" cm="1">
        <f t="array" ref="B36">SQRT((4*POWER(ttotal7,2)*st_a[[#This Row],[s(ta)]])/(9*s_t))</f>
        <v>3.1586902765289526E-2</v>
      </c>
      <c r="C36" s="3">
        <f t="shared" si="3"/>
        <v>4.8227111089996222E-4</v>
      </c>
      <c r="D36" s="14">
        <f t="shared" si="0"/>
        <v>9.6454222179992435</v>
      </c>
      <c r="G36" s="8">
        <v>1.08E-3</v>
      </c>
      <c r="H36" s="3" cm="1">
        <f t="array" ref="H36">((2*ttotal7)/(3*s_t))*(st_b[[#This Row],[s(tb)]]+(s_t/4))</f>
        <v>5.8095238095238082E-2</v>
      </c>
      <c r="I36" s="3">
        <f t="shared" si="4"/>
        <v>3.1746031746031356E-4</v>
      </c>
      <c r="J36" s="14">
        <f t="shared" si="1"/>
        <v>6.3492063492062707</v>
      </c>
      <c r="M36" s="8">
        <v>2.5800000000000003E-3</v>
      </c>
      <c r="N36" s="3">
        <f>(-INDEX(Overview[b],7)+SQRT(POWER(INDEX(Overview[b],7),2)-(4*INDEX(Overview[a],7)*st_c[[#This Row],[c]])))/(2*INDEX(Overview[a],7))</f>
        <v>0.10722231060215295</v>
      </c>
      <c r="O36" s="3">
        <f t="shared" si="5"/>
        <v>4.2172867072610976E-4</v>
      </c>
      <c r="P36" s="14">
        <f t="shared" si="2"/>
        <v>8.4345734145221947</v>
      </c>
    </row>
    <row r="37" spans="1:16" x14ac:dyDescent="0.25">
      <c r="A37" s="2">
        <v>3.4000000000000002E-4</v>
      </c>
      <c r="B37" s="3" cm="1">
        <f t="array" ref="B37">SQRT((4*POWER(ttotal7,2)*st_a[[#This Row],[s(ta)]])/(9*s_t))</f>
        <v>3.206192043924469E-2</v>
      </c>
      <c r="C37" s="3">
        <f t="shared" si="3"/>
        <v>4.750176739551637E-4</v>
      </c>
      <c r="D37" s="14">
        <f t="shared" si="0"/>
        <v>9.5003534791032731</v>
      </c>
      <c r="G37" s="8">
        <v>1.09E-3</v>
      </c>
      <c r="H37" s="3" cm="1">
        <f t="array" ref="H37">((2*ttotal7)/(3*s_t))*(st_b[[#This Row],[s(tb)]]+(s_t/4))</f>
        <v>5.8412698412698402E-2</v>
      </c>
      <c r="I37" s="3">
        <f t="shared" si="4"/>
        <v>3.174603174603205E-4</v>
      </c>
      <c r="J37" s="14">
        <f t="shared" si="1"/>
        <v>6.3492063492064093</v>
      </c>
      <c r="M37" s="8">
        <v>2.5900000000000003E-3</v>
      </c>
      <c r="N37" s="3">
        <f>(-INDEX(Overview[b],7)+SQRT(POWER(INDEX(Overview[b],7),2)-(4*INDEX(Overview[a],7)*st_c[[#This Row],[c]])))/(2*INDEX(Overview[a],7))</f>
        <v>0.1076490904558431</v>
      </c>
      <c r="O37" s="3">
        <f t="shared" si="5"/>
        <v>4.2677985369014848E-4</v>
      </c>
      <c r="P37" s="14">
        <f t="shared" si="2"/>
        <v>8.5355970738029701</v>
      </c>
    </row>
    <row r="38" spans="1:16" x14ac:dyDescent="0.25">
      <c r="A38" s="2">
        <v>3.5000000000000005E-4</v>
      </c>
      <c r="B38" s="3" cm="1">
        <f t="array" ref="B38">SQRT((4*POWER(ttotal7,2)*st_a[[#This Row],[s(ta)]])/(9*s_t))</f>
        <v>3.2530002431617772E-2</v>
      </c>
      <c r="C38" s="3">
        <f t="shared" si="3"/>
        <v>4.6808199237308168E-4</v>
      </c>
      <c r="D38" s="14">
        <f t="shared" si="0"/>
        <v>9.3616398474616336</v>
      </c>
      <c r="G38" s="8">
        <v>1.1000000000000001E-3</v>
      </c>
      <c r="H38" s="3" cm="1">
        <f t="array" ref="H38">((2*ttotal7)/(3*s_t))*(st_b[[#This Row],[s(tb)]]+(s_t/4))</f>
        <v>5.8730158730158723E-2</v>
      </c>
      <c r="I38" s="3">
        <f t="shared" si="4"/>
        <v>3.174603174603205E-4</v>
      </c>
      <c r="J38" s="14">
        <f t="shared" si="1"/>
        <v>6.3492063492064093</v>
      </c>
      <c r="M38" s="8">
        <v>2.6000000000000003E-3</v>
      </c>
      <c r="N38" s="3">
        <f>(-INDEX(Overview[b],7)+SQRT(POWER(INDEX(Overview[b],7),2)-(4*INDEX(Overview[a],7)*st_c[[#This Row],[c]])))/(2*INDEX(Overview[a],7))</f>
        <v>0.10808110745998943</v>
      </c>
      <c r="O38" s="3">
        <f t="shared" si="5"/>
        <v>4.3201700414632893E-4</v>
      </c>
      <c r="P38" s="14">
        <f t="shared" si="2"/>
        <v>8.6403400829265777</v>
      </c>
    </row>
    <row r="39" spans="1:16" x14ac:dyDescent="0.25">
      <c r="A39" s="2">
        <v>3.6000000000000002E-4</v>
      </c>
      <c r="B39" s="3" cm="1">
        <f t="array" ref="B39">SQRT((4*POWER(ttotal7,2)*st_a[[#This Row],[s(ta)]])/(9*s_t))</f>
        <v>3.2991443953692898E-2</v>
      </c>
      <c r="C39" s="3">
        <f t="shared" si="3"/>
        <v>4.6144152207512612E-4</v>
      </c>
      <c r="D39" s="14">
        <f t="shared" si="0"/>
        <v>9.228830441502522</v>
      </c>
      <c r="G39" s="8">
        <v>1.1100000000000001E-3</v>
      </c>
      <c r="H39" s="3" cm="1">
        <f t="array" ref="H39">((2*ttotal7)/(3*s_t))*(st_b[[#This Row],[s(tb)]]+(s_t/4))</f>
        <v>5.9047619047619036E-2</v>
      </c>
      <c r="I39" s="3">
        <f t="shared" si="4"/>
        <v>3.1746031746031356E-4</v>
      </c>
      <c r="J39" s="14">
        <f t="shared" si="1"/>
        <v>6.3492063492062707</v>
      </c>
      <c r="M39" s="8">
        <v>2.6100000000000003E-3</v>
      </c>
      <c r="N39" s="3">
        <f>(-INDEX(Overview[b],7)+SQRT(POWER(INDEX(Overview[b],7),2)-(4*INDEX(Overview[a],7)*st_c[[#This Row],[c]])))/(2*INDEX(Overview[a],7))</f>
        <v>0.10851855928129536</v>
      </c>
      <c r="O39" s="3">
        <f t="shared" si="5"/>
        <v>4.3745182130593141E-4</v>
      </c>
      <c r="P39" s="14">
        <f t="shared" si="2"/>
        <v>8.7490364261186286</v>
      </c>
    </row>
    <row r="40" spans="1:16" x14ac:dyDescent="0.25">
      <c r="A40" s="2">
        <v>3.7000000000000005E-4</v>
      </c>
      <c r="B40" s="3" cm="1">
        <f t="array" ref="B40">SQRT((4*POWER(ttotal7,2)*st_a[[#This Row],[s(ta)]])/(9*s_t))</f>
        <v>3.3446519850326158E-2</v>
      </c>
      <c r="C40" s="3">
        <f t="shared" si="3"/>
        <v>4.5507589663325992E-4</v>
      </c>
      <c r="D40" s="14">
        <f t="shared" si="0"/>
        <v>9.1015179326651978</v>
      </c>
      <c r="G40" s="8">
        <v>1.1200000000000001E-3</v>
      </c>
      <c r="H40" s="3" cm="1">
        <f t="array" ref="H40">((2*ttotal7)/(3*s_t))*(st_b[[#This Row],[s(tb)]]+(s_t/4))</f>
        <v>5.9365079365079357E-2</v>
      </c>
      <c r="I40" s="3">
        <f t="shared" si="4"/>
        <v>3.174603174603205E-4</v>
      </c>
      <c r="J40" s="14">
        <f t="shared" si="1"/>
        <v>6.3492063492064093</v>
      </c>
      <c r="M40" s="8">
        <v>2.6200000000000004E-3</v>
      </c>
      <c r="N40" s="3">
        <f>(-INDEX(Overview[b],7)+SQRT(POWER(INDEX(Overview[b],7),2)-(4*INDEX(Overview[a],7)*st_c[[#This Row],[c]])))/(2*INDEX(Overview[a],7))</f>
        <v>0.1089616563427578</v>
      </c>
      <c r="O40" s="3">
        <f t="shared" si="5"/>
        <v>4.4309706146243577E-4</v>
      </c>
      <c r="P40" s="14">
        <f t="shared" si="2"/>
        <v>8.8619412292487159</v>
      </c>
    </row>
    <row r="41" spans="1:16" x14ac:dyDescent="0.25">
      <c r="A41" s="2">
        <v>3.8000000000000002E-4</v>
      </c>
      <c r="B41" s="3" cm="1">
        <f t="array" ref="B41">SQRT((4*POWER(ttotal7,2)*st_a[[#This Row],[s(ta)]])/(9*s_t))</f>
        <v>3.3895486514385113E-2</v>
      </c>
      <c r="C41" s="3">
        <f t="shared" si="3"/>
        <v>4.4896666405895569E-4</v>
      </c>
      <c r="D41" s="14">
        <f t="shared" si="0"/>
        <v>8.9793332811791142</v>
      </c>
      <c r="G41" s="8">
        <v>1.1300000000000001E-3</v>
      </c>
      <c r="H41" s="3" cm="1">
        <f t="array" ref="H41">((2*ttotal7)/(3*s_t))*(st_b[[#This Row],[s(tb)]]+(s_t/4))</f>
        <v>5.9682539682539677E-2</v>
      </c>
      <c r="I41" s="3">
        <f t="shared" si="4"/>
        <v>3.174603174603205E-4</v>
      </c>
      <c r="J41" s="14">
        <f t="shared" si="1"/>
        <v>6.3492063492064093</v>
      </c>
      <c r="M41" s="8">
        <v>2.6300000000000004E-3</v>
      </c>
      <c r="N41" s="3">
        <f>(-INDEX(Overview[b],7)+SQRT(POWER(INDEX(Overview[b],7),2)-(4*INDEX(Overview[a],7)*st_c[[#This Row],[c]])))/(2*INDEX(Overview[a],7))</f>
        <v>0.10941062300681674</v>
      </c>
      <c r="O41" s="3">
        <f t="shared" si="5"/>
        <v>4.4896666405894181E-4</v>
      </c>
      <c r="P41" s="14">
        <f t="shared" si="2"/>
        <v>8.9793332811788353</v>
      </c>
    </row>
    <row r="42" spans="1:16" x14ac:dyDescent="0.25">
      <c r="A42" s="2">
        <v>3.9000000000000005E-4</v>
      </c>
      <c r="B42" s="3" cm="1">
        <f t="array" ref="B42">SQRT((4*POWER(ttotal7,2)*st_a[[#This Row],[s(ta)]])/(9*s_t))</f>
        <v>3.4338583575847521E-2</v>
      </c>
      <c r="C42" s="3">
        <f t="shared" si="3"/>
        <v>4.4309706146240802E-4</v>
      </c>
      <c r="D42" s="14">
        <f t="shared" si="0"/>
        <v>8.8619412292481599</v>
      </c>
      <c r="G42" s="8">
        <v>1.1400000000000002E-3</v>
      </c>
      <c r="H42" s="3" cm="1">
        <f t="array" ref="H42">((2*ttotal7)/(3*s_t))*(st_b[[#This Row],[s(tb)]]+(s_t/4))</f>
        <v>5.9999999999999991E-2</v>
      </c>
      <c r="I42" s="3">
        <f t="shared" si="4"/>
        <v>3.1746031746031356E-4</v>
      </c>
      <c r="J42" s="14">
        <f t="shared" si="1"/>
        <v>6.3492063492062707</v>
      </c>
      <c r="M42" s="8">
        <v>2.6400000000000004E-3</v>
      </c>
      <c r="N42" s="3">
        <f>(-INDEX(Overview[b],7)+SQRT(POWER(INDEX(Overview[b],7),2)-(4*INDEX(Overview[a],7)*st_c[[#This Row],[c]])))/(2*INDEX(Overview[a],7))</f>
        <v>0.10986569890344998</v>
      </c>
      <c r="O42" s="3">
        <f t="shared" si="5"/>
        <v>4.5507589663323911E-4</v>
      </c>
      <c r="P42" s="14">
        <f t="shared" si="2"/>
        <v>9.1015179326647822</v>
      </c>
    </row>
    <row r="43" spans="1:16" x14ac:dyDescent="0.25">
      <c r="A43" s="2">
        <v>4.0000000000000002E-4</v>
      </c>
      <c r="B43" s="3" cm="1">
        <f t="array" ref="B43">SQRT((4*POWER(ttotal7,2)*st_a[[#This Row],[s(ta)]])/(9*s_t))</f>
        <v>3.4776035397153404E-2</v>
      </c>
      <c r="C43" s="3">
        <f t="shared" si="3"/>
        <v>4.3745182130588284E-4</v>
      </c>
      <c r="D43" s="14">
        <f t="shared" si="0"/>
        <v>8.749036426117657</v>
      </c>
      <c r="G43" s="8">
        <v>1.1500000000000002E-3</v>
      </c>
      <c r="H43" s="3" cm="1">
        <f t="array" ref="H43">((2*ttotal7)/(3*s_t))*(st_b[[#This Row],[s(tb)]]+(s_t/4))</f>
        <v>6.0317460317460311E-2</v>
      </c>
      <c r="I43" s="3">
        <f t="shared" si="4"/>
        <v>3.174603174603205E-4</v>
      </c>
      <c r="J43" s="14">
        <f t="shared" si="1"/>
        <v>6.3492063492064093</v>
      </c>
      <c r="M43" s="8">
        <v>2.65E-3</v>
      </c>
      <c r="N43" s="3">
        <f>(-INDEX(Overview[b],7)+SQRT(POWER(INDEX(Overview[b],7),2)-(4*INDEX(Overview[a],7)*st_c[[#This Row],[c]])))/(2*INDEX(Overview[a],7))</f>
        <v>0.11032714042552509</v>
      </c>
      <c r="O43" s="3">
        <f t="shared" si="5"/>
        <v>4.6144152207511224E-4</v>
      </c>
      <c r="P43" s="14">
        <f t="shared" si="2"/>
        <v>9.2288304415022449</v>
      </c>
    </row>
    <row r="44" spans="1:16" x14ac:dyDescent="0.25">
      <c r="A44" s="2">
        <v>4.1000000000000005E-4</v>
      </c>
      <c r="B44" s="3" cm="1">
        <f t="array" ref="B44">SQRT((4*POWER(ttotal7,2)*st_a[[#This Row],[s(ta)]])/(9*s_t))</f>
        <v>3.520805240129974E-2</v>
      </c>
      <c r="C44" s="3">
        <f t="shared" si="3"/>
        <v>4.3201700414633587E-4</v>
      </c>
      <c r="D44" s="14">
        <f t="shared" si="0"/>
        <v>8.6403400829267163</v>
      </c>
      <c r="G44" s="8">
        <v>1.16E-3</v>
      </c>
      <c r="H44" s="3" cm="1">
        <f t="array" ref="H44">((2*ttotal7)/(3*s_t))*(st_b[[#This Row],[s(tb)]]+(s_t/4))</f>
        <v>6.0634920634920625E-2</v>
      </c>
      <c r="I44" s="3">
        <f t="shared" si="4"/>
        <v>3.1746031746031356E-4</v>
      </c>
      <c r="J44" s="14">
        <f t="shared" si="1"/>
        <v>6.3492063492062707</v>
      </c>
      <c r="M44" s="8">
        <v>2.66E-3</v>
      </c>
      <c r="N44" s="3">
        <f>(-INDEX(Overview[b],7)+SQRT(POWER(INDEX(Overview[b],7),2)-(4*INDEX(Overview[a],7)*st_c[[#This Row],[c]])))/(2*INDEX(Overview[a],7))</f>
        <v>0.11079522241789816</v>
      </c>
      <c r="O44" s="3">
        <f t="shared" si="5"/>
        <v>4.680819923730678E-4</v>
      </c>
      <c r="P44" s="14">
        <f t="shared" si="2"/>
        <v>9.3616398474613547</v>
      </c>
    </row>
    <row r="45" spans="1:16" x14ac:dyDescent="0.25">
      <c r="A45" s="2">
        <v>4.2000000000000002E-4</v>
      </c>
      <c r="B45" s="3" cm="1">
        <f t="array" ref="B45">SQRT((4*POWER(ttotal7,2)*st_a[[#This Row],[s(ta)]])/(9*s_t))</f>
        <v>3.5634832254989916E-2</v>
      </c>
      <c r="C45" s="3">
        <f t="shared" si="3"/>
        <v>4.2677985369017624E-4</v>
      </c>
      <c r="D45" s="14">
        <f t="shared" si="0"/>
        <v>8.5355970738035243</v>
      </c>
      <c r="G45" s="8">
        <v>1.17E-3</v>
      </c>
      <c r="H45" s="3" cm="1">
        <f t="array" ref="H45">((2*ttotal7)/(3*s_t))*(st_b[[#This Row],[s(tb)]]+(s_t/4))</f>
        <v>6.0952380952380945E-2</v>
      </c>
      <c r="I45" s="3">
        <f t="shared" si="4"/>
        <v>3.174603174603205E-4</v>
      </c>
      <c r="J45" s="14">
        <f t="shared" si="1"/>
        <v>6.3492063492064093</v>
      </c>
      <c r="M45" s="8">
        <v>2.6700000000000001E-3</v>
      </c>
      <c r="N45" s="3">
        <f>(-INDEX(Overview[b],7)+SQRT(POWER(INDEX(Overview[b],7),2)-(4*INDEX(Overview[a],7)*st_c[[#This Row],[c]])))/(2*INDEX(Overview[a],7))</f>
        <v>0.11127024009185335</v>
      </c>
      <c r="O45" s="3">
        <f t="shared" si="5"/>
        <v>4.7501767395519146E-4</v>
      </c>
      <c r="P45" s="14">
        <f t="shared" si="2"/>
        <v>9.5003534791038291</v>
      </c>
    </row>
    <row r="46" spans="1:16" x14ac:dyDescent="0.25">
      <c r="A46" s="2">
        <v>4.3000000000000004E-4</v>
      </c>
      <c r="B46" s="3" cm="1">
        <f t="array" ref="B46">SQRT((4*POWER(ttotal7,2)*st_a[[#This Row],[s(ta)]])/(9*s_t))</f>
        <v>3.6056560925716026E-2</v>
      </c>
      <c r="C46" s="3">
        <f t="shared" si="3"/>
        <v>4.2172867072610976E-4</v>
      </c>
      <c r="D46" s="14">
        <f t="shared" si="0"/>
        <v>8.4345734145221947</v>
      </c>
      <c r="G46" s="8">
        <v>1.1800000000000001E-3</v>
      </c>
      <c r="H46" s="3" cm="1">
        <f t="array" ref="H46">((2*ttotal7)/(3*s_t))*(st_b[[#This Row],[s(tb)]]+(s_t/4))</f>
        <v>6.1269841269841259E-2</v>
      </c>
      <c r="I46" s="3">
        <f t="shared" si="4"/>
        <v>3.1746031746031356E-4</v>
      </c>
      <c r="J46" s="14">
        <f t="shared" si="1"/>
        <v>6.3492063492062707</v>
      </c>
      <c r="M46" s="8">
        <v>2.6800000000000001E-3</v>
      </c>
      <c r="N46" s="3">
        <f>(-INDEX(Overview[b],7)+SQRT(POWER(INDEX(Overview[b],7),2)-(4*INDEX(Overview[a],7)*st_c[[#This Row],[c]])))/(2*INDEX(Overview[a],7))</f>
        <v>0.11175251120275331</v>
      </c>
      <c r="O46" s="3">
        <f t="shared" si="5"/>
        <v>4.8227111089996222E-4</v>
      </c>
      <c r="P46" s="14">
        <f t="shared" si="2"/>
        <v>9.6454222179992435</v>
      </c>
    </row>
    <row r="47" spans="1:16" x14ac:dyDescent="0.25">
      <c r="A47" s="2">
        <v>4.4000000000000002E-4</v>
      </c>
      <c r="B47" s="3" cm="1">
        <f t="array" ref="B47">SQRT((4*POWER(ttotal7,2)*st_a[[#This Row],[s(ta)]])/(9*s_t))</f>
        <v>3.647341362881288E-2</v>
      </c>
      <c r="C47" s="3">
        <f t="shared" si="3"/>
        <v>4.1685270309685385E-4</v>
      </c>
      <c r="D47" s="14">
        <f t="shared" si="0"/>
        <v>8.3370540619370761</v>
      </c>
      <c r="G47" s="8">
        <v>1.1900000000000001E-3</v>
      </c>
      <c r="H47" s="3" cm="1">
        <f t="array" ref="H47">((2*ttotal7)/(3*s_t))*(st_b[[#This Row],[s(tb)]]+(s_t/4))</f>
        <v>6.1587301587301579E-2</v>
      </c>
      <c r="I47" s="3">
        <f t="shared" si="4"/>
        <v>3.174603174603205E-4</v>
      </c>
      <c r="J47" s="14">
        <f t="shared" si="1"/>
        <v>6.3492063492064093</v>
      </c>
      <c r="M47" s="8">
        <v>2.6900000000000001E-3</v>
      </c>
      <c r="N47" s="3">
        <f>(-INDEX(Overview[b],7)+SQRT(POWER(INDEX(Overview[b],7),2)-(4*INDEX(Overview[a],7)*st_c[[#This Row],[c]])))/(2*INDEX(Overview[a],7))</f>
        <v>0.11224237853653031</v>
      </c>
      <c r="O47" s="3">
        <f t="shared" si="5"/>
        <v>4.8986733377699709E-4</v>
      </c>
      <c r="P47" s="14">
        <f t="shared" si="2"/>
        <v>9.7973466755399414</v>
      </c>
    </row>
    <row r="48" spans="1:16" x14ac:dyDescent="0.25">
      <c r="A48" s="2">
        <v>4.5000000000000004E-4</v>
      </c>
      <c r="B48" s="3" cm="1">
        <f t="array" ref="B48">SQRT((4*POWER(ttotal7,2)*st_a[[#This Row],[s(ta)]])/(9*s_t))</f>
        <v>3.6885555678165878E-2</v>
      </c>
      <c r="C48" s="3">
        <f t="shared" si="3"/>
        <v>4.1214204935299814E-4</v>
      </c>
      <c r="D48" s="14">
        <f t="shared" si="0"/>
        <v>8.2428409870599619</v>
      </c>
      <c r="G48" s="8">
        <v>1.2000000000000001E-3</v>
      </c>
      <c r="H48" s="3" cm="1">
        <f t="array" ref="H48">((2*ttotal7)/(3*s_t))*(st_b[[#This Row],[s(tb)]]+(s_t/4))</f>
        <v>6.19047619047619E-2</v>
      </c>
      <c r="I48" s="3">
        <f t="shared" si="4"/>
        <v>3.174603174603205E-4</v>
      </c>
      <c r="J48" s="14">
        <f t="shared" si="1"/>
        <v>6.3492063492064093</v>
      </c>
      <c r="M48" s="8">
        <v>2.7000000000000001E-3</v>
      </c>
      <c r="N48" s="3">
        <f>(-INDEX(Overview[b],7)+SQRT(POWER(INDEX(Overview[b],7),2)-(4*INDEX(Overview[a],7)*st_c[[#This Row],[c]])))/(2*INDEX(Overview[a],7))</f>
        <v>0.11274021276030111</v>
      </c>
      <c r="O48" s="3">
        <f t="shared" si="5"/>
        <v>4.9783422377079611E-4</v>
      </c>
      <c r="P48" s="14">
        <f t="shared" si="2"/>
        <v>9.9566844754159209</v>
      </c>
    </row>
    <row r="49" spans="1:16" x14ac:dyDescent="0.25">
      <c r="A49" s="2">
        <v>4.6000000000000001E-4</v>
      </c>
      <c r="B49" s="3" cm="1">
        <f t="array" ref="B49">SQRT((4*POWER(ttotal7,2)*st_a[[#This Row],[s(ta)]])/(9*s_t))</f>
        <v>3.7293143252288032E-2</v>
      </c>
      <c r="C49" s="3">
        <f t="shared" si="3"/>
        <v>4.0758757412215352E-4</v>
      </c>
      <c r="D49" s="14">
        <f t="shared" si="0"/>
        <v>8.1517514824430695</v>
      </c>
      <c r="G49" s="8">
        <v>1.2100000000000001E-3</v>
      </c>
      <c r="H49" s="3" cm="1">
        <f t="array" ref="H49">((2*ttotal7)/(3*s_t))*(st_b[[#This Row],[s(tb)]]+(s_t/4))</f>
        <v>6.2222222222222207E-2</v>
      </c>
      <c r="I49" s="3">
        <f t="shared" si="4"/>
        <v>3.1746031746030662E-4</v>
      </c>
      <c r="J49" s="14">
        <f t="shared" si="1"/>
        <v>6.3492063492061321</v>
      </c>
      <c r="M49" s="8">
        <v>2.7100000000000002E-3</v>
      </c>
      <c r="N49" s="3">
        <f>(-INDEX(Overview[b],7)+SQRT(POWER(INDEX(Overview[b],7),2)-(4*INDEX(Overview[a],7)*st_c[[#This Row],[c]])))/(2*INDEX(Overview[a],7))</f>
        <v>0.11324641570447998</v>
      </c>
      <c r="O49" s="3">
        <f t="shared" si="5"/>
        <v>5.0620294417887124E-4</v>
      </c>
      <c r="P49" s="14">
        <f t="shared" si="2"/>
        <v>10.124058883577424</v>
      </c>
    </row>
    <row r="50" spans="1:16" x14ac:dyDescent="0.25">
      <c r="A50" s="2">
        <v>4.7000000000000004E-4</v>
      </c>
      <c r="B50" s="3" cm="1">
        <f t="array" ref="B50">SQRT((4*POWER(ttotal7,2)*st_a[[#This Row],[s(ta)]])/(9*s_t))</f>
        <v>3.7696324085834662E-2</v>
      </c>
      <c r="C50" s="3">
        <f t="shared" si="3"/>
        <v>4.0318083354663053E-4</v>
      </c>
      <c r="D50" s="14">
        <f t="shared" si="0"/>
        <v>8.0636166709326105</v>
      </c>
      <c r="G50" s="8">
        <v>1.2200000000000002E-3</v>
      </c>
      <c r="H50" s="3" cm="1">
        <f t="array" ref="H50">((2*ttotal7)/(3*s_t))*(st_b[[#This Row],[s(tb)]]+(s_t/4))</f>
        <v>6.2539682539682534E-2</v>
      </c>
      <c r="I50" s="3">
        <f t="shared" si="4"/>
        <v>3.1746031746032743E-4</v>
      </c>
      <c r="J50" s="14">
        <f t="shared" si="1"/>
        <v>6.3492063492065487</v>
      </c>
      <c r="M50" s="8">
        <v>2.7200000000000002E-3</v>
      </c>
      <c r="N50" s="3">
        <f>(-INDEX(Overview[b],7)+SQRT(POWER(INDEX(Overview[b],7),2)-(4*INDEX(Overview[a],7)*st_c[[#This Row],[c]])))/(2*INDEX(Overview[a],7))</f>
        <v>0.11376142415901053</v>
      </c>
      <c r="O50" s="3">
        <f t="shared" si="5"/>
        <v>5.1500845453054944E-4</v>
      </c>
      <c r="P50" s="14">
        <f t="shared" si="2"/>
        <v>10.300169090610988</v>
      </c>
    </row>
    <row r="51" spans="1:16" x14ac:dyDescent="0.25">
      <c r="A51" s="2">
        <v>4.8000000000000007E-4</v>
      </c>
      <c r="B51" s="3" cm="1">
        <f t="array" ref="B51">SQRT((4*POWER(ttotal7,2)*st_a[[#This Row],[s(ta)]])/(9*s_t))</f>
        <v>3.8095238095238099E-2</v>
      </c>
      <c r="C51" s="3">
        <f t="shared" si="3"/>
        <v>3.9891400940343658E-4</v>
      </c>
      <c r="D51" s="14">
        <f t="shared" si="0"/>
        <v>7.9782801880687311</v>
      </c>
      <c r="G51" s="8">
        <v>1.2300000000000002E-3</v>
      </c>
      <c r="H51" s="3" cm="1">
        <f t="array" ref="H51">((2*ttotal7)/(3*s_t))*(st_b[[#This Row],[s(tb)]]+(s_t/4))</f>
        <v>6.2857142857142848E-2</v>
      </c>
      <c r="I51" s="3">
        <f t="shared" si="4"/>
        <v>3.1746031746031356E-4</v>
      </c>
      <c r="J51" s="14">
        <f t="shared" si="1"/>
        <v>6.3492063492062707</v>
      </c>
      <c r="M51" s="8">
        <v>2.7300000000000002E-3</v>
      </c>
      <c r="N51" s="3">
        <f>(-INDEX(Overview[b],7)+SQRT(POWER(INDEX(Overview[b],7),2)-(4*INDEX(Overview[a],7)*st_c[[#This Row],[c]])))/(2*INDEX(Overview[a],7))</f>
        <v>0.11428571428571427</v>
      </c>
      <c r="O51" s="3">
        <f t="shared" si="5"/>
        <v>5.2429012670374142E-4</v>
      </c>
      <c r="P51" s="14">
        <f t="shared" si="2"/>
        <v>10.485802534074828</v>
      </c>
    </row>
    <row r="52" spans="1:16" x14ac:dyDescent="0.25">
      <c r="A52" s="2">
        <v>4.9000000000000009E-4</v>
      </c>
      <c r="B52" s="3" cm="1">
        <f t="array" ref="B52">SQRT((4*POWER(ttotal7,2)*st_a[[#This Row],[s(ta)]])/(9*s_t))</f>
        <v>3.849001794597505E-2</v>
      </c>
      <c r="C52" s="3">
        <f t="shared" si="3"/>
        <v>3.9477985073695099E-4</v>
      </c>
      <c r="D52" s="14">
        <f t="shared" si="0"/>
        <v>7.8955970147390193</v>
      </c>
      <c r="G52" s="8">
        <v>1.24E-3</v>
      </c>
      <c r="H52" s="3" cm="1">
        <f t="array" ref="H52">((2*ttotal7)/(3*s_t))*(st_b[[#This Row],[s(tb)]]+(s_t/4))</f>
        <v>6.3174603174603161E-2</v>
      </c>
      <c r="I52" s="3">
        <f t="shared" si="4"/>
        <v>3.1746031746031356E-4</v>
      </c>
      <c r="J52" s="14">
        <f t="shared" si="1"/>
        <v>6.3492063492062707</v>
      </c>
      <c r="M52" s="8">
        <v>2.7400000000000002E-3</v>
      </c>
      <c r="N52" s="3">
        <f>(-INDEX(Overview[b],7)+SQRT(POWER(INDEX(Overview[b],7),2)-(4*INDEX(Overview[a],7)*st_c[[#This Row],[c]])))/(2*INDEX(Overview[a],7))</f>
        <v>0.11481980677356243</v>
      </c>
      <c r="O52" s="3">
        <f t="shared" si="5"/>
        <v>5.3409248784816454E-4</v>
      </c>
      <c r="P52" s="14">
        <f t="shared" si="2"/>
        <v>10.68184975696329</v>
      </c>
    </row>
    <row r="53" spans="1:16" x14ac:dyDescent="0.25">
      <c r="A53" s="2">
        <v>5.0000000000000001E-4</v>
      </c>
      <c r="B53" s="3" cm="1">
        <f t="array" ref="B53">SQRT((4*POWER(ttotal7,2)*st_a[[#This Row],[s(ta)]])/(9*s_t))</f>
        <v>3.8880789567986955E-2</v>
      </c>
      <c r="C53" s="3">
        <f t="shared" si="3"/>
        <v>3.9077162201190535E-4</v>
      </c>
      <c r="D53" s="14">
        <f t="shared" si="0"/>
        <v>7.8154324402381068</v>
      </c>
      <c r="G53" s="8">
        <v>1.25E-3</v>
      </c>
      <c r="H53" s="3" cm="1">
        <f t="array" ref="H53">((2*ttotal7)/(3*s_t))*(st_b[[#This Row],[s(tb)]]+(s_t/4))</f>
        <v>6.3492063492063475E-2</v>
      </c>
      <c r="I53" s="3">
        <f t="shared" si="4"/>
        <v>3.1746031746031356E-4</v>
      </c>
      <c r="J53" s="14">
        <f t="shared" si="1"/>
        <v>6.3492063492062707</v>
      </c>
      <c r="M53" s="8">
        <v>2.7500000000000003E-3</v>
      </c>
      <c r="N53" s="3">
        <f>(-INDEX(Overview[b],7)+SQRT(POWER(INDEX(Overview[b],7),2)-(4*INDEX(Overview[a],7)*st_c[[#This Row],[c]])))/(2*INDEX(Overview[a],7))</f>
        <v>0.11536427289573213</v>
      </c>
      <c r="O53" s="3">
        <f t="shared" si="5"/>
        <v>5.4446612216969836E-4</v>
      </c>
      <c r="P53" s="14">
        <f t="shared" si="2"/>
        <v>10.889322443393967</v>
      </c>
    </row>
    <row r="54" spans="1:16" x14ac:dyDescent="0.25">
      <c r="A54" s="2">
        <v>5.1000000000000004E-4</v>
      </c>
      <c r="B54" s="3" cm="1">
        <f t="array" ref="B54">SQRT((4*POWER(ttotal7,2)*st_a[[#This Row],[s(ta)]])/(9*s_t))</f>
        <v>3.9267672624930097E-2</v>
      </c>
      <c r="C54" s="3">
        <f t="shared" si="3"/>
        <v>3.8688305694314223E-4</v>
      </c>
      <c r="D54" s="14">
        <f t="shared" si="0"/>
        <v>7.737661138862844</v>
      </c>
      <c r="G54" s="8">
        <v>1.2600000000000001E-3</v>
      </c>
      <c r="H54" s="3" cm="1">
        <f t="array" ref="H54">((2*ttotal7)/(3*s_t))*(st_b[[#This Row],[s(tb)]]+(s_t/4))</f>
        <v>6.3809523809523802E-2</v>
      </c>
      <c r="I54" s="3">
        <f t="shared" si="4"/>
        <v>3.1746031746032743E-4</v>
      </c>
      <c r="J54" s="14">
        <f t="shared" si="1"/>
        <v>6.3492063492065487</v>
      </c>
      <c r="M54" s="8">
        <v>2.7600000000000003E-3</v>
      </c>
      <c r="N54" s="3">
        <f>(-INDEX(Overview[b],7)+SQRT(POWER(INDEX(Overview[b],7),2)-(4*INDEX(Overview[a],7)*st_c[[#This Row],[c]])))/(2*INDEX(Overview[a],7))</f>
        <v>0.11591974166908388</v>
      </c>
      <c r="O54" s="3">
        <f t="shared" si="5"/>
        <v>5.5546877335174716E-4</v>
      </c>
      <c r="P54" s="14">
        <f t="shared" si="2"/>
        <v>11.109375467034942</v>
      </c>
    </row>
    <row r="55" spans="1:16" x14ac:dyDescent="0.25">
      <c r="A55" s="2">
        <v>5.2000000000000006E-4</v>
      </c>
      <c r="B55" s="3" cm="1">
        <f t="array" ref="B55">SQRT((4*POWER(ttotal7,2)*st_a[[#This Row],[s(ta)]])/(9*s_t))</f>
        <v>3.9650780942212055E-2</v>
      </c>
      <c r="C55" s="3">
        <f t="shared" si="3"/>
        <v>3.8310831728195771E-4</v>
      </c>
      <c r="D55" s="14">
        <f t="shared" si="0"/>
        <v>7.6621663456391538</v>
      </c>
      <c r="G55" s="8">
        <v>1.2700000000000001E-3</v>
      </c>
      <c r="H55" s="3" cm="1">
        <f t="array" ref="H55">((2*ttotal7)/(3*s_t))*(st_b[[#This Row],[s(tb)]]+(s_t/4))</f>
        <v>6.4126984126984116E-2</v>
      </c>
      <c r="I55" s="3">
        <f t="shared" si="4"/>
        <v>3.1746031746031356E-4</v>
      </c>
      <c r="J55" s="14">
        <f t="shared" si="1"/>
        <v>6.3492063492062707</v>
      </c>
      <c r="M55" s="8">
        <v>2.7700000000000003E-3</v>
      </c>
      <c r="N55" s="3">
        <f>(-INDEX(Overview[b],7)+SQRT(POWER(INDEX(Overview[b],7),2)-(4*INDEX(Overview[a],7)*st_c[[#This Row],[c]])))/(2*INDEX(Overview[a],7))</f>
        <v>0.11648690837168862</v>
      </c>
      <c r="O55" s="3">
        <f t="shared" si="5"/>
        <v>5.6716670260474611E-4</v>
      </c>
      <c r="P55" s="14">
        <f t="shared" si="2"/>
        <v>11.343334052094921</v>
      </c>
    </row>
    <row r="56" spans="1:16" x14ac:dyDescent="0.25">
      <c r="A56" s="2">
        <v>5.3000000000000009E-4</v>
      </c>
      <c r="B56" s="3" cm="1">
        <f t="array" ref="B56">SQRT((4*POWER(ttotal7,2)*st_a[[#This Row],[s(ta)]])/(9*s_t))</f>
        <v>4.0030222898153944E-2</v>
      </c>
      <c r="C56" s="3">
        <f t="shared" si="3"/>
        <v>3.7944195594188934E-4</v>
      </c>
      <c r="D56" s="14">
        <f t="shared" si="0"/>
        <v>7.5888391188377868</v>
      </c>
      <c r="G56" s="8">
        <v>1.2800000000000001E-3</v>
      </c>
      <c r="H56" s="3" cm="1">
        <f t="array" ref="H56">((2*ttotal7)/(3*s_t))*(st_b[[#This Row],[s(tb)]]+(s_t/4))</f>
        <v>6.4444444444444429E-2</v>
      </c>
      <c r="I56" s="3">
        <f t="shared" si="4"/>
        <v>3.1746031746031356E-4</v>
      </c>
      <c r="J56" s="14">
        <f t="shared" si="1"/>
        <v>6.3492063492062707</v>
      </c>
      <c r="M56" s="8">
        <v>2.7800000000000004E-3</v>
      </c>
      <c r="N56" s="3">
        <f>(-INDEX(Overview[b],7)+SQRT(POWER(INDEX(Overview[b],7),2)-(4*INDEX(Overview[a],7)*st_c[[#This Row],[c]])))/(2*INDEX(Overview[a],7))</f>
        <v>0.11706654474718746</v>
      </c>
      <c r="O56" s="3">
        <f t="shared" si="5"/>
        <v>5.7963637549883484E-4</v>
      </c>
      <c r="P56" s="14">
        <f t="shared" si="2"/>
        <v>11.592727509976696</v>
      </c>
    </row>
    <row r="57" spans="1:16" x14ac:dyDescent="0.25">
      <c r="A57" s="2">
        <v>5.4000000000000001E-4</v>
      </c>
      <c r="B57" s="3" cm="1">
        <f t="array" ref="B57">SQRT((4*POWER(ttotal7,2)*st_a[[#This Row],[s(ta)]])/(9*s_t))</f>
        <v>4.0406101782088429E-2</v>
      </c>
      <c r="C57" s="3">
        <f t="shared" si="3"/>
        <v>3.7587888393448426E-4</v>
      </c>
      <c r="D57" s="14">
        <f t="shared" si="0"/>
        <v>7.5175776786896851</v>
      </c>
      <c r="G57" s="8">
        <v>1.2900000000000001E-3</v>
      </c>
      <c r="H57" s="3" cm="1">
        <f t="array" ref="H57">((2*ttotal7)/(3*s_t))*(st_b[[#This Row],[s(tb)]]+(s_t/4))</f>
        <v>6.4761904761904757E-2</v>
      </c>
      <c r="I57" s="3">
        <f t="shared" si="4"/>
        <v>3.1746031746032743E-4</v>
      </c>
      <c r="J57" s="14">
        <f t="shared" si="1"/>
        <v>6.3492063492065487</v>
      </c>
      <c r="M57" s="8">
        <v>2.7900000000000004E-3</v>
      </c>
      <c r="N57" s="3">
        <f>(-INDEX(Overview[b],7)+SQRT(POWER(INDEX(Overview[b],7),2)-(4*INDEX(Overview[a],7)*st_c[[#This Row],[c]])))/(2*INDEX(Overview[a],7))</f>
        <v>0.11765951132319445</v>
      </c>
      <c r="O57" s="3">
        <f t="shared" si="5"/>
        <v>5.9296657600699243E-4</v>
      </c>
      <c r="P57" s="14">
        <f t="shared" si="2"/>
        <v>11.859331520139849</v>
      </c>
    </row>
    <row r="58" spans="1:16" x14ac:dyDescent="0.25">
      <c r="A58" s="2">
        <v>5.5000000000000003E-4</v>
      </c>
      <c r="B58" s="3" cm="1">
        <f t="array" ref="B58">SQRT((4*POWER(ttotal7,2)*st_a[[#This Row],[s(ta)]])/(9*s_t))</f>
        <v>4.0778516122746439E-2</v>
      </c>
      <c r="C58" s="3">
        <f t="shared" si="3"/>
        <v>3.7241434065801021E-4</v>
      </c>
      <c r="D58" s="14">
        <f t="shared" si="0"/>
        <v>7.4482868131602036</v>
      </c>
      <c r="G58" s="8">
        <v>1.3000000000000002E-3</v>
      </c>
      <c r="H58" s="3" cm="1">
        <f t="array" ref="H58">((2*ttotal7)/(3*s_t))*(st_b[[#This Row],[s(tb)]]+(s_t/4))</f>
        <v>6.507936507936507E-2</v>
      </c>
      <c r="I58" s="3">
        <f t="shared" si="4"/>
        <v>3.1746031746031356E-4</v>
      </c>
      <c r="J58" s="14">
        <f t="shared" si="1"/>
        <v>6.3492063492062707</v>
      </c>
      <c r="M58" s="8">
        <v>2.8000000000000004E-3</v>
      </c>
      <c r="N58" s="3">
        <f>(-INDEX(Overview[b],7)+SQRT(POWER(INDEX(Overview[b],7),2)-(4*INDEX(Overview[a],7)*st_c[[#This Row],[c]])))/(2*INDEX(Overview[a],7))</f>
        <v>0.11826677240503232</v>
      </c>
      <c r="O58" s="3">
        <f t="shared" si="5"/>
        <v>6.0726108183786764E-4</v>
      </c>
      <c r="P58" s="14">
        <f t="shared" si="2"/>
        <v>12.145221636757352</v>
      </c>
    </row>
    <row r="59" spans="1:16" x14ac:dyDescent="0.25">
      <c r="A59" s="2">
        <v>5.6000000000000006E-4</v>
      </c>
      <c r="B59" s="3" cm="1">
        <f t="array" ref="B59">SQRT((4*POWER(ttotal7,2)*st_a[[#This Row],[s(ta)]])/(9*s_t))</f>
        <v>4.1147559989891176E-2</v>
      </c>
      <c r="C59" s="3">
        <f t="shared" si="3"/>
        <v>3.6904386714473741E-4</v>
      </c>
      <c r="D59" s="14">
        <f t="shared" si="0"/>
        <v>7.3808773428947481</v>
      </c>
      <c r="G59" s="8">
        <v>1.3100000000000002E-3</v>
      </c>
      <c r="H59" s="3" cm="1">
        <f t="array" ref="H59">((2*ttotal7)/(3*s_t))*(st_b[[#This Row],[s(tb)]]+(s_t/4))</f>
        <v>6.5396825396825384E-2</v>
      </c>
      <c r="I59" s="3">
        <f t="shared" si="4"/>
        <v>3.1746031746031356E-4</v>
      </c>
      <c r="J59" s="14">
        <f t="shared" si="1"/>
        <v>6.3492063492062707</v>
      </c>
      <c r="M59" s="8">
        <v>2.8100000000000004E-3</v>
      </c>
      <c r="N59" s="3">
        <f>(-INDEX(Overview[b],7)+SQRT(POWER(INDEX(Overview[b],7),2)-(4*INDEX(Overview[a],7)*st_c[[#This Row],[c]])))/(2*INDEX(Overview[a],7))</f>
        <v>0.11888941449120399</v>
      </c>
      <c r="O59" s="3">
        <f t="shared" si="5"/>
        <v>6.226420861716736E-4</v>
      </c>
      <c r="P59" s="14">
        <f t="shared" si="2"/>
        <v>12.452841723433471</v>
      </c>
    </row>
    <row r="60" spans="1:16" x14ac:dyDescent="0.25">
      <c r="A60" s="2">
        <v>5.7000000000000009E-4</v>
      </c>
      <c r="B60" s="3" cm="1">
        <f t="array" ref="B60">SQRT((4*POWER(ttotal7,2)*st_a[[#This Row],[s(ta)]])/(9*s_t))</f>
        <v>4.1513323271815943E-2</v>
      </c>
      <c r="C60" s="3">
        <f t="shared" si="3"/>
        <v>3.6576328192476637E-4</v>
      </c>
      <c r="D60" s="14">
        <f t="shared" si="0"/>
        <v>7.315265638495327</v>
      </c>
      <c r="G60" s="8">
        <v>1.3200000000000002E-3</v>
      </c>
      <c r="H60" s="3" cm="1">
        <f t="array" ref="H60">((2*ttotal7)/(3*s_t))*(st_b[[#This Row],[s(tb)]]+(s_t/4))</f>
        <v>6.5714285714285711E-2</v>
      </c>
      <c r="I60" s="3">
        <f t="shared" si="4"/>
        <v>3.1746031746032743E-4</v>
      </c>
      <c r="J60" s="14">
        <f t="shared" si="1"/>
        <v>6.3492063492065487</v>
      </c>
      <c r="M60" s="8">
        <v>2.82E-3</v>
      </c>
      <c r="N60" s="3">
        <f>(-INDEX(Overview[b],7)+SQRT(POWER(INDEX(Overview[b],7),2)-(4*INDEX(Overview[a],7)*st_c[[#This Row],[c]])))/(2*INDEX(Overview[a],7))</f>
        <v>0.1195286691163507</v>
      </c>
      <c r="O60" s="3">
        <f t="shared" si="5"/>
        <v>6.3925462514670406E-4</v>
      </c>
      <c r="P60" s="14">
        <f t="shared" si="2"/>
        <v>12.785092502934081</v>
      </c>
    </row>
    <row r="61" spans="1:16" x14ac:dyDescent="0.25">
      <c r="A61" s="2">
        <v>5.8E-4</v>
      </c>
      <c r="B61" s="3" cm="1">
        <f t="array" ref="B61">SQRT((4*POWER(ttotal7,2)*st_a[[#This Row],[s(ta)]])/(9*s_t))</f>
        <v>4.1875891931025137E-2</v>
      </c>
      <c r="C61" s="3">
        <f t="shared" si="3"/>
        <v>3.6256865920919479E-4</v>
      </c>
      <c r="D61" s="14">
        <f t="shared" si="0"/>
        <v>7.2513731841838958</v>
      </c>
      <c r="G61" s="8">
        <v>1.33E-3</v>
      </c>
      <c r="H61" s="3" cm="1">
        <f t="array" ref="H61">((2*ttotal7)/(3*s_t))*(st_b[[#This Row],[s(tb)]]+(s_t/4))</f>
        <v>6.6031746031746025E-2</v>
      </c>
      <c r="I61" s="3">
        <f t="shared" si="4"/>
        <v>3.1746031746031356E-4</v>
      </c>
      <c r="J61" s="14">
        <f t="shared" si="1"/>
        <v>6.3492063492062707</v>
      </c>
      <c r="M61" s="8">
        <v>2.8300000000000001E-3</v>
      </c>
      <c r="N61" s="3">
        <f>(-INDEX(Overview[b],7)+SQRT(POWER(INDEX(Overview[b],7),2)-(4*INDEX(Overview[a],7)*st_c[[#This Row],[c]])))/(2*INDEX(Overview[a],7))</f>
        <v>0.12018594149668933</v>
      </c>
      <c r="O61" s="3">
        <f t="shared" si="5"/>
        <v>6.57272380338636E-4</v>
      </c>
      <c r="P61" s="14">
        <f t="shared" si="2"/>
        <v>13.14544760677272</v>
      </c>
    </row>
    <row r="62" spans="1:16" x14ac:dyDescent="0.25">
      <c r="A62" s="2">
        <v>5.9000000000000003E-4</v>
      </c>
      <c r="B62" s="3" cm="1">
        <f t="array" ref="B62">SQRT((4*POWER(ttotal7,2)*st_a[[#This Row],[s(ta)]])/(9*s_t))</f>
        <v>4.2235348240158954E-2</v>
      </c>
      <c r="C62" s="3">
        <f t="shared" si="3"/>
        <v>3.5945630913381682E-4</v>
      </c>
      <c r="D62" s="14">
        <f t="shared" si="0"/>
        <v>7.1891261826763362</v>
      </c>
      <c r="G62" s="8">
        <v>1.34E-3</v>
      </c>
      <c r="H62" s="3" cm="1">
        <f t="array" ref="H62">((2*ttotal7)/(3*s_t))*(st_b[[#This Row],[s(tb)]]+(s_t/4))</f>
        <v>6.6349206349206324E-2</v>
      </c>
      <c r="I62" s="3">
        <f t="shared" si="4"/>
        <v>3.1746031746029968E-4</v>
      </c>
      <c r="J62" s="14">
        <f t="shared" si="1"/>
        <v>6.3492063492059936</v>
      </c>
      <c r="M62" s="8">
        <v>2.8400000000000001E-3</v>
      </c>
      <c r="N62" s="3">
        <f>(-INDEX(Overview[b],7)+SQRT(POWER(INDEX(Overview[b],7),2)-(4*INDEX(Overview[a],7)*st_c[[#This Row],[c]])))/(2*INDEX(Overview[a],7))</f>
        <v>0.1208628468880143</v>
      </c>
      <c r="O62" s="3">
        <f t="shared" si="5"/>
        <v>6.7690539132496397E-4</v>
      </c>
      <c r="P62" s="14">
        <f t="shared" si="2"/>
        <v>13.538107826499278</v>
      </c>
    </row>
    <row r="63" spans="1:16" x14ac:dyDescent="0.25">
      <c r="A63" s="2">
        <v>6.0000000000000006E-4</v>
      </c>
      <c r="B63" s="3" cm="1">
        <f t="array" ref="B63">SQRT((4*POWER(ttotal7,2)*st_a[[#This Row],[s(ta)]])/(9*s_t))</f>
        <v>4.2591770999995997E-2</v>
      </c>
      <c r="C63" s="3">
        <f t="shared" si="3"/>
        <v>3.5642275983704258E-4</v>
      </c>
      <c r="D63" s="14">
        <f t="shared" si="0"/>
        <v>7.1284551967408509</v>
      </c>
      <c r="G63" s="8">
        <v>1.3500000000000001E-3</v>
      </c>
      <c r="H63" s="3" cm="1">
        <f t="array" ref="H63">((2*ttotal7)/(3*s_t))*(st_b[[#This Row],[s(tb)]]+(s_t/4))</f>
        <v>6.6666666666666666E-2</v>
      </c>
      <c r="I63" s="3">
        <f t="shared" si="4"/>
        <v>3.1746031746034131E-4</v>
      </c>
      <c r="J63" s="14">
        <f t="shared" si="1"/>
        <v>6.3492063492068258</v>
      </c>
      <c r="M63" s="8">
        <v>2.8500000000000001E-3</v>
      </c>
      <c r="N63" s="3">
        <f>(-INDEX(Overview[b],7)+SQRT(POWER(INDEX(Overview[b],7),2)-(4*INDEX(Overview[a],7)*st_c[[#This Row],[c]])))/(2*INDEX(Overview[a],7))</f>
        <v>0.12156125735714488</v>
      </c>
      <c r="O63" s="3">
        <f t="shared" si="5"/>
        <v>6.9841046913057814E-4</v>
      </c>
      <c r="P63" s="14">
        <f t="shared" si="2"/>
        <v>13.968209382611562</v>
      </c>
    </row>
    <row r="64" spans="1:16" x14ac:dyDescent="0.25">
      <c r="A64" s="2">
        <v>6.1000000000000008E-4</v>
      </c>
      <c r="B64" s="3" cm="1">
        <f t="array" ref="B64">SQRT((4*POWER(ttotal7,2)*st_a[[#This Row],[s(ta)]])/(9*s_t))</f>
        <v>4.2945235741170422E-2</v>
      </c>
      <c r="C64" s="3">
        <f t="shared" si="3"/>
        <v>3.5346474117442517E-4</v>
      </c>
      <c r="D64" s="14">
        <f t="shared" si="0"/>
        <v>7.0692948234885034</v>
      </c>
      <c r="G64" s="8">
        <v>1.3600000000000001E-3</v>
      </c>
      <c r="H64" s="3" cm="1">
        <f t="array" ref="H64">((2*ttotal7)/(3*s_t))*(st_b[[#This Row],[s(tb)]]+(s_t/4))</f>
        <v>6.6984126984126965E-2</v>
      </c>
      <c r="I64" s="3">
        <f t="shared" si="4"/>
        <v>3.1746031746029968E-4</v>
      </c>
      <c r="J64" s="14">
        <f t="shared" si="1"/>
        <v>6.3492063492059936</v>
      </c>
      <c r="M64" s="8">
        <v>2.8600000000000001E-3</v>
      </c>
      <c r="N64" s="3">
        <f>(-INDEX(Overview[b],7)+SQRT(POWER(INDEX(Overview[b],7),2)-(4*INDEX(Overview[a],7)*st_c[[#This Row],[c]])))/(2*INDEX(Overview[a],7))</f>
        <v>0.12228336286219726</v>
      </c>
      <c r="O64" s="3">
        <f t="shared" si="5"/>
        <v>7.2210550505238946E-4</v>
      </c>
      <c r="P64" s="14">
        <f t="shared" si="2"/>
        <v>14.442110101047788</v>
      </c>
    </row>
    <row r="65" spans="1:16" x14ac:dyDescent="0.25">
      <c r="A65" s="2">
        <v>6.2E-4</v>
      </c>
      <c r="B65" s="3" cm="1">
        <f t="array" ref="B65">SQRT((4*POWER(ttotal7,2)*st_a[[#This Row],[s(ta)]])/(9*s_t))</f>
        <v>4.329581491106621E-2</v>
      </c>
      <c r="C65" s="3">
        <f t="shared" si="3"/>
        <v>3.5057916989578858E-4</v>
      </c>
      <c r="D65" s="14">
        <f t="shared" si="0"/>
        <v>7.0115833979157713</v>
      </c>
      <c r="G65" s="8">
        <v>1.3700000000000001E-3</v>
      </c>
      <c r="H65" s="3" cm="1">
        <f t="array" ref="H65">((2*ttotal7)/(3*s_t))*(st_b[[#This Row],[s(tb)]]+(s_t/4))</f>
        <v>6.7301587301587293E-2</v>
      </c>
      <c r="I65" s="3">
        <f t="shared" si="4"/>
        <v>3.1746031746032743E-4</v>
      </c>
      <c r="J65" s="14">
        <f t="shared" si="1"/>
        <v>6.3492063492065487</v>
      </c>
      <c r="M65" s="8">
        <v>2.8700000000000002E-3</v>
      </c>
      <c r="N65" s="3">
        <f>(-INDEX(Overview[b],7)+SQRT(POWER(INDEX(Overview[b],7),2)-(4*INDEX(Overview[a],7)*st_c[[#This Row],[c]])))/(2*INDEX(Overview[a],7))</f>
        <v>0.12303175238603679</v>
      </c>
      <c r="O65" s="3">
        <f t="shared" si="5"/>
        <v>7.4838952383952939E-4</v>
      </c>
      <c r="P65" s="14">
        <f t="shared" si="2"/>
        <v>14.967790476790586</v>
      </c>
    </row>
    <row r="66" spans="1:16" x14ac:dyDescent="0.25">
      <c r="A66" s="2">
        <v>6.3000000000000003E-4</v>
      </c>
      <c r="B66" s="3" cm="1">
        <f t="array" ref="B66">SQRT((4*POWER(ttotal7,2)*st_a[[#This Row],[s(ta)]])/(9*s_t))</f>
        <v>4.3643578047198477E-2</v>
      </c>
      <c r="C66" s="3">
        <f t="shared" si="3"/>
        <v>3.4776313613226612E-4</v>
      </c>
      <c r="D66" s="14">
        <f t="shared" si="0"/>
        <v>6.9552627226453216</v>
      </c>
      <c r="G66" s="8">
        <v>1.3800000000000002E-3</v>
      </c>
      <c r="H66" s="3" cm="1">
        <f t="array" ref="H66">((2*ttotal7)/(3*s_t))*(st_b[[#This Row],[s(tb)]]+(s_t/4))</f>
        <v>6.7619047619047606E-2</v>
      </c>
      <c r="I66" s="3">
        <f t="shared" si="4"/>
        <v>3.1746031746031356E-4</v>
      </c>
      <c r="J66" s="14">
        <f t="shared" si="1"/>
        <v>6.3492063492062707</v>
      </c>
      <c r="M66" s="8">
        <v>2.8800000000000002E-3</v>
      </c>
      <c r="N66" s="3">
        <f>(-INDEX(Overview[b],7)+SQRT(POWER(INDEX(Overview[b],7),2)-(4*INDEX(Overview[a],7)*st_c[[#This Row],[c]])))/(2*INDEX(Overview[a],7))</f>
        <v>0.12380952380952384</v>
      </c>
      <c r="O66" s="3">
        <f t="shared" si="5"/>
        <v>7.7777142348704753E-4</v>
      </c>
      <c r="P66" s="14">
        <f t="shared" si="2"/>
        <v>15.555428469740949</v>
      </c>
    </row>
    <row r="67" spans="1:16" x14ac:dyDescent="0.25">
      <c r="A67" s="2">
        <v>6.4000000000000005E-4</v>
      </c>
      <c r="B67" s="3" cm="1">
        <f t="array" ref="B67">SQRT((4*POWER(ttotal7,2)*st_a[[#This Row],[s(ta)]])/(9*s_t))</f>
        <v>4.3988591938257202E-2</v>
      </c>
      <c r="C67" s="3">
        <f t="shared" si="3"/>
        <v>3.4501389105872499E-4</v>
      </c>
      <c r="D67" s="14">
        <f t="shared" si="0"/>
        <v>6.9002778211744991</v>
      </c>
      <c r="G67" s="8">
        <v>1.3900000000000002E-3</v>
      </c>
      <c r="H67" s="3" cm="1">
        <f t="array" ref="H67">((2*ttotal7)/(3*s_t))*(st_b[[#This Row],[s(tb)]]+(s_t/4))</f>
        <v>6.7936507936507934E-2</v>
      </c>
      <c r="I67" s="3">
        <f t="shared" si="4"/>
        <v>3.1746031746032743E-4</v>
      </c>
      <c r="J67" s="14">
        <f t="shared" si="1"/>
        <v>6.3492063492065487</v>
      </c>
      <c r="M67" s="8">
        <v>2.8900000000000002E-3</v>
      </c>
      <c r="N67" s="3">
        <f>(-INDEX(Overview[b],7)+SQRT(POWER(INDEX(Overview[b],7),2)-(4*INDEX(Overview[a],7)*st_c[[#This Row],[c]])))/(2*INDEX(Overview[a],7))</f>
        <v>0.12462043604273644</v>
      </c>
      <c r="O67" s="3">
        <f t="shared" si="5"/>
        <v>8.1091223321259898E-4</v>
      </c>
      <c r="P67" s="14">
        <f t="shared" si="2"/>
        <v>16.21824466425198</v>
      </c>
    </row>
    <row r="68" spans="1:16" x14ac:dyDescent="0.25">
      <c r="A68" s="2">
        <v>6.5000000000000008E-4</v>
      </c>
      <c r="B68" s="3" cm="1">
        <f t="array" ref="B68">SQRT((4*POWER(ttotal7,2)*st_a[[#This Row],[s(ta)]])/(9*s_t))</f>
        <v>4.4330920773869659E-2</v>
      </c>
      <c r="C68" s="3">
        <f t="shared" si="3"/>
        <v>3.4232883561245708E-4</v>
      </c>
      <c r="D68" s="14">
        <f t="shared" ref="D68:D78" si="6">C68/0.00005</f>
        <v>6.8465767122491412</v>
      </c>
      <c r="G68" s="8">
        <v>1.4000000000000002E-3</v>
      </c>
      <c r="H68" s="3" cm="1">
        <f t="array" ref="H68">((2*ttotal7)/(3*s_t))*(st_b[[#This Row],[s(tb)]]+(s_t/4))</f>
        <v>6.8253968253968247E-2</v>
      </c>
      <c r="I68" s="3">
        <f t="shared" si="4"/>
        <v>3.1746031746031356E-4</v>
      </c>
      <c r="J68" s="14">
        <f t="shared" ref="J68:J131" si="7">I68/0.00005</f>
        <v>6.3492063492062707</v>
      </c>
      <c r="M68" s="8">
        <v>2.9000000000000002E-3</v>
      </c>
      <c r="N68" s="3">
        <f>(-INDEX(Overview[b],7)+SQRT(POWER(INDEX(Overview[b],7),2)-(4*INDEX(Overview[a],7)*st_c[[#This Row],[c]])))/(2*INDEX(Overview[a],7))</f>
        <v>0.12546912515856615</v>
      </c>
      <c r="O68" s="3">
        <f t="shared" si="5"/>
        <v>8.4868911582970663E-4</v>
      </c>
      <c r="P68" s="14">
        <f t="shared" ref="P68:P78" si="8">O68/0.00005</f>
        <v>16.973782316594132</v>
      </c>
    </row>
    <row r="69" spans="1:16" x14ac:dyDescent="0.25">
      <c r="A69" s="2">
        <v>6.600000000000001E-4</v>
      </c>
      <c r="B69" s="3" cm="1">
        <f t="array" ref="B69">SQRT((4*POWER(ttotal7,2)*st_a[[#This Row],[s(ta)]])/(9*s_t))</f>
        <v>4.4670626284032663E-2</v>
      </c>
      <c r="C69" s="3">
        <f t="shared" ref="C69:C78" si="9">B69-B68</f>
        <v>3.3970551016300476E-4</v>
      </c>
      <c r="D69" s="14">
        <f t="shared" si="6"/>
        <v>6.7941102032600948</v>
      </c>
      <c r="G69" s="8">
        <v>1.41E-3</v>
      </c>
      <c r="H69" s="3" cm="1">
        <f t="array" ref="H69">((2*ttotal7)/(3*s_t))*(st_b[[#This Row],[s(tb)]]+(s_t/4))</f>
        <v>6.8571428571428561E-2</v>
      </c>
      <c r="I69" s="3">
        <f t="shared" ref="I69:I132" si="10">H69-H68</f>
        <v>3.1746031746031356E-4</v>
      </c>
      <c r="J69" s="14">
        <f t="shared" si="7"/>
        <v>6.3492063492062707</v>
      </c>
      <c r="M69" s="8">
        <v>2.9100000000000003E-3</v>
      </c>
      <c r="N69" s="3">
        <f>(-INDEX(Overview[b],7)+SQRT(POWER(INDEX(Overview[b],7),2)-(4*INDEX(Overview[a],7)*st_c[[#This Row],[c]])))/(2*INDEX(Overview[a],7))</f>
        <v>0.12636142088029645</v>
      </c>
      <c r="O69" s="3">
        <f t="shared" ref="O69:O78" si="11">N69-N68</f>
        <v>8.9229572173030181E-4</v>
      </c>
      <c r="P69" s="14">
        <f t="shared" si="8"/>
        <v>17.845914434606037</v>
      </c>
    </row>
    <row r="70" spans="1:16" x14ac:dyDescent="0.25">
      <c r="A70" s="2">
        <v>6.7000000000000002E-4</v>
      </c>
      <c r="B70" s="3" cm="1">
        <f t="array" ref="B70">SQRT((4*POWER(ttotal7,2)*st_a[[#This Row],[s(ta)]])/(9*s_t))</f>
        <v>4.5007767869072464E-2</v>
      </c>
      <c r="C70" s="3">
        <f t="shared" si="9"/>
        <v>3.3714158503980046E-4</v>
      </c>
      <c r="D70" s="14">
        <f t="shared" si="6"/>
        <v>6.7428317007960086</v>
      </c>
      <c r="G70" s="8">
        <v>1.42E-3</v>
      </c>
      <c r="H70" s="3" cm="1">
        <f t="array" ref="H70">((2*ttotal7)/(3*s_t))*(st_b[[#This Row],[s(tb)]]+(s_t/4))</f>
        <v>6.8888888888888875E-2</v>
      </c>
      <c r="I70" s="3">
        <f t="shared" si="10"/>
        <v>3.1746031746031356E-4</v>
      </c>
      <c r="J70" s="14">
        <f t="shared" si="7"/>
        <v>6.3492063492062707</v>
      </c>
      <c r="M70" s="8">
        <v>2.9200000000000003E-3</v>
      </c>
      <c r="N70" s="3">
        <f>(-INDEX(Overview[b],7)+SQRT(POWER(INDEX(Overview[b],7),2)-(4*INDEX(Overview[a],7)*st_c[[#This Row],[c]])))/(2*INDEX(Overview[a],7))</f>
        <v>0.12730482702994811</v>
      </c>
      <c r="O70" s="3">
        <f t="shared" si="11"/>
        <v>9.4340614965165992E-4</v>
      </c>
      <c r="P70" s="14">
        <f t="shared" si="8"/>
        <v>18.868122993033197</v>
      </c>
    </row>
    <row r="71" spans="1:16" x14ac:dyDescent="0.25">
      <c r="A71" s="2">
        <v>6.8000000000000005E-4</v>
      </c>
      <c r="B71" s="3" cm="1">
        <f t="array" ref="B71">SQRT((4*POWER(ttotal7,2)*st_a[[#This Row],[s(ta)]])/(9*s_t))</f>
        <v>4.5342402720906984E-2</v>
      </c>
      <c r="C71" s="3">
        <f t="shared" si="9"/>
        <v>3.3463485183451991E-4</v>
      </c>
      <c r="D71" s="14">
        <f t="shared" si="6"/>
        <v>6.6926970366903982</v>
      </c>
      <c r="G71" s="8">
        <v>1.4300000000000001E-3</v>
      </c>
      <c r="H71" s="3" cm="1">
        <f t="array" ref="H71">((2*ttotal7)/(3*s_t))*(st_b[[#This Row],[s(tb)]]+(s_t/4))</f>
        <v>6.9206349206349202E-2</v>
      </c>
      <c r="I71" s="3">
        <f t="shared" si="10"/>
        <v>3.1746031746032743E-4</v>
      </c>
      <c r="J71" s="14">
        <f t="shared" si="7"/>
        <v>6.3492063492065487</v>
      </c>
      <c r="M71" s="8">
        <v>2.9300000000000003E-3</v>
      </c>
      <c r="N71" s="3">
        <f>(-INDEX(Overview[b],7)+SQRT(POWER(INDEX(Overview[b],7),2)-(4*INDEX(Overview[a],7)*st_c[[#This Row],[c]])))/(2*INDEX(Overview[a],7))</f>
        <v>0.12830928350807669</v>
      </c>
      <c r="O71" s="3">
        <f t="shared" si="11"/>
        <v>1.0044564781285792E-3</v>
      </c>
      <c r="P71" s="14">
        <f t="shared" si="8"/>
        <v>20.089129562571582</v>
      </c>
    </row>
    <row r="72" spans="1:16" x14ac:dyDescent="0.25">
      <c r="A72" s="2">
        <v>6.9000000000000008E-4</v>
      </c>
      <c r="B72" s="3" cm="1">
        <f t="array" ref="B72">SQRT((4*POWER(ttotal7,2)*st_a[[#This Row],[s(ta)]])/(9*s_t))</f>
        <v>4.5674585936311615E-2</v>
      </c>
      <c r="C72" s="3">
        <f t="shared" si="9"/>
        <v>3.3218321540463142E-4</v>
      </c>
      <c r="D72" s="14">
        <f t="shared" si="6"/>
        <v>6.6436643080926281</v>
      </c>
      <c r="G72" s="8">
        <v>1.4400000000000001E-3</v>
      </c>
      <c r="H72" s="3" cm="1">
        <f t="array" ref="H72">((2*ttotal7)/(3*s_t))*(st_b[[#This Row],[s(tb)]]+(s_t/4))</f>
        <v>6.9523809523809516E-2</v>
      </c>
      <c r="I72" s="3">
        <f t="shared" si="10"/>
        <v>3.1746031746031356E-4</v>
      </c>
      <c r="J72" s="14">
        <f t="shared" si="7"/>
        <v>6.3492063492062707</v>
      </c>
      <c r="M72" s="8">
        <v>2.9400000000000003E-3</v>
      </c>
      <c r="N72" s="3">
        <f>(-INDEX(Overview[b],7)+SQRT(POWER(INDEX(Overview[b],7),2)-(4*INDEX(Overview[a],7)*st_c[[#This Row],[c]])))/(2*INDEX(Overview[a],7))</f>
        <v>0.12938844226311333</v>
      </c>
      <c r="O72" s="3">
        <f t="shared" si="11"/>
        <v>1.079158755036641E-3</v>
      </c>
      <c r="P72" s="14">
        <f t="shared" si="8"/>
        <v>21.58317510073282</v>
      </c>
    </row>
    <row r="73" spans="1:16" x14ac:dyDescent="0.25">
      <c r="A73" s="2">
        <v>7.000000000000001E-4</v>
      </c>
      <c r="B73" s="3" cm="1">
        <f t="array" ref="B73">SQRT((4*POWER(ttotal7,2)*st_a[[#This Row],[s(ta)]])/(9*s_t))</f>
        <v>4.6004370622823615E-2</v>
      </c>
      <c r="C73" s="3">
        <f t="shared" si="9"/>
        <v>3.2978468651199966E-4</v>
      </c>
      <c r="D73" s="14">
        <f t="shared" si="6"/>
        <v>6.5956937302399927</v>
      </c>
      <c r="G73" s="8">
        <v>1.4500000000000001E-3</v>
      </c>
      <c r="H73" s="3" cm="1">
        <f t="array" ref="H73">((2*ttotal7)/(3*s_t))*(st_b[[#This Row],[s(tb)]]+(s_t/4))</f>
        <v>6.9841269841269829E-2</v>
      </c>
      <c r="I73" s="3">
        <f t="shared" si="10"/>
        <v>3.1746031746031356E-4</v>
      </c>
      <c r="J73" s="14">
        <f t="shared" si="7"/>
        <v>6.3492063492062707</v>
      </c>
      <c r="M73" s="8">
        <v>2.9500000000000004E-3</v>
      </c>
      <c r="N73" s="3">
        <f>(-INDEX(Overview[b],7)+SQRT(POWER(INDEX(Overview[b],7),2)-(4*INDEX(Overview[a],7)*st_c[[#This Row],[c]])))/(2*INDEX(Overview[a],7))</f>
        <v>0.13056195763108763</v>
      </c>
      <c r="O73" s="3">
        <f t="shared" si="11"/>
        <v>1.1735153679743038E-3</v>
      </c>
      <c r="P73" s="14">
        <f t="shared" si="8"/>
        <v>23.470307359486075</v>
      </c>
    </row>
    <row r="74" spans="1:16" x14ac:dyDescent="0.25">
      <c r="A74" s="2">
        <v>7.1000000000000002E-4</v>
      </c>
      <c r="B74" s="3" cm="1">
        <f t="array" ref="B74">SQRT((4*POWER(ttotal7,2)*st_a[[#This Row],[s(ta)]])/(9*s_t))</f>
        <v>4.6331807997861664E-2</v>
      </c>
      <c r="C74" s="3">
        <f t="shared" si="9"/>
        <v>3.2743737503804909E-4</v>
      </c>
      <c r="D74" s="14">
        <f t="shared" si="6"/>
        <v>6.5487475007609817</v>
      </c>
      <c r="G74" s="8">
        <v>1.4600000000000001E-3</v>
      </c>
      <c r="H74" s="3" cm="1">
        <f t="array" ref="H74">((2*ttotal7)/(3*s_t))*(st_b[[#This Row],[s(tb)]]+(s_t/4))</f>
        <v>7.0158730158730157E-2</v>
      </c>
      <c r="I74" s="3">
        <f t="shared" si="10"/>
        <v>3.1746031746032743E-4</v>
      </c>
      <c r="J74" s="14">
        <f t="shared" si="7"/>
        <v>6.3492063492065487</v>
      </c>
      <c r="M74" s="8">
        <v>2.9600000000000004E-3</v>
      </c>
      <c r="N74" s="3">
        <f>(-INDEX(Overview[b],7)+SQRT(POWER(INDEX(Overview[b],7),2)-(4*INDEX(Overview[a],7)*st_c[[#This Row],[c]])))/(2*INDEX(Overview[a],7))</f>
        <v>0.13185999487257877</v>
      </c>
      <c r="O74" s="3">
        <f t="shared" si="11"/>
        <v>1.2980372414911345E-3</v>
      </c>
      <c r="P74" s="14">
        <f t="shared" si="8"/>
        <v>25.960744829822691</v>
      </c>
    </row>
    <row r="75" spans="1:16" x14ac:dyDescent="0.25">
      <c r="A75" s="2">
        <v>7.2000000000000005E-4</v>
      </c>
      <c r="B75" s="3" cm="1">
        <f t="array" ref="B75">SQRT((4*POWER(ttotal7,2)*st_a[[#This Row],[s(ta)]])/(9*s_t))</f>
        <v>4.6656947481584346E-2</v>
      </c>
      <c r="C75" s="3">
        <f t="shared" si="9"/>
        <v>3.2513948372268203E-4</v>
      </c>
      <c r="D75" s="14">
        <f t="shared" si="6"/>
        <v>6.5027896744536404</v>
      </c>
      <c r="G75" s="8">
        <v>1.4700000000000002E-3</v>
      </c>
      <c r="H75" s="3" cm="1">
        <f t="array" ref="H75">((2*ttotal7)/(3*s_t))*(st_b[[#This Row],[s(tb)]]+(s_t/4))</f>
        <v>7.047619047619047E-2</v>
      </c>
      <c r="I75" s="3">
        <f t="shared" si="10"/>
        <v>3.1746031746031356E-4</v>
      </c>
      <c r="J75" s="14">
        <f t="shared" si="7"/>
        <v>6.3492063492062707</v>
      </c>
      <c r="M75" s="8">
        <v>2.9700000000000004E-3</v>
      </c>
      <c r="N75" s="3">
        <f>(-INDEX(Overview[b],7)+SQRT(POWER(INDEX(Overview[b],7),2)-(4*INDEX(Overview[a],7)*st_c[[#This Row],[c]])))/(2*INDEX(Overview[a],7))</f>
        <v>0.1333333333333335</v>
      </c>
      <c r="O75" s="3">
        <f t="shared" si="11"/>
        <v>1.4733384607547306E-3</v>
      </c>
      <c r="P75" s="14">
        <f t="shared" si="8"/>
        <v>29.466769215094612</v>
      </c>
    </row>
    <row r="76" spans="1:16" x14ac:dyDescent="0.25">
      <c r="A76" s="2">
        <v>7.3000000000000007E-4</v>
      </c>
      <c r="B76" s="3" cm="1">
        <f t="array" ref="B76">SQRT((4*POWER(ttotal7,2)*st_a[[#This Row],[s(ta)]])/(9*s_t))</f>
        <v>4.6979836783964266E-2</v>
      </c>
      <c r="C76" s="3">
        <f t="shared" si="9"/>
        <v>3.2288930237991953E-4</v>
      </c>
      <c r="D76" s="14">
        <f t="shared" si="6"/>
        <v>6.4577860475983906</v>
      </c>
      <c r="G76" s="8">
        <v>1.4800000000000002E-3</v>
      </c>
      <c r="H76" s="3" cm="1">
        <f t="array" ref="H76">((2*ttotal7)/(3*s_t))*(st_b[[#This Row],[s(tb)]]+(s_t/4))</f>
        <v>7.0793650793650784E-2</v>
      </c>
      <c r="I76" s="3">
        <f t="shared" si="10"/>
        <v>3.1746031746031356E-4</v>
      </c>
      <c r="J76" s="14">
        <f t="shared" si="7"/>
        <v>6.3492063492062707</v>
      </c>
      <c r="M76" s="8">
        <v>2.9800000000000004E-3</v>
      </c>
      <c r="N76" s="3">
        <f>(-INDEX(Overview[b],7)+SQRT(POWER(INDEX(Overview[b],7),2)-(4*INDEX(Overview[a],7)*st_c[[#This Row],[c]])))/(2*INDEX(Overview[a],7))</f>
        <v>0.13508098494354562</v>
      </c>
      <c r="O76" s="3">
        <f t="shared" si="11"/>
        <v>1.7476516102121198E-3</v>
      </c>
      <c r="P76" s="14">
        <f t="shared" si="8"/>
        <v>34.953032204242398</v>
      </c>
    </row>
    <row r="77" spans="1:16" x14ac:dyDescent="0.25">
      <c r="A77" s="2">
        <v>7.400000000000001E-4</v>
      </c>
      <c r="B77" s="3" cm="1">
        <f t="array" ref="B77">SQRT((4*POWER(ttotal7,2)*st_a[[#This Row],[s(ta)]])/(9*s_t))</f>
        <v>4.730052198651219E-2</v>
      </c>
      <c r="C77" s="3">
        <f t="shared" si="9"/>
        <v>3.2068520254792399E-4</v>
      </c>
      <c r="D77" s="14">
        <f t="shared" si="6"/>
        <v>6.4137040509584793</v>
      </c>
      <c r="G77" s="8">
        <v>1.4900000000000002E-3</v>
      </c>
      <c r="H77" s="3" cm="1">
        <f t="array" ref="H77">((2*ttotal7)/(3*s_t))*(st_b[[#This Row],[s(tb)]]+(s_t/4))</f>
        <v>7.1111111111111111E-2</v>
      </c>
      <c r="I77" s="3">
        <f t="shared" si="10"/>
        <v>3.1746031746032743E-4</v>
      </c>
      <c r="J77" s="14">
        <f t="shared" si="7"/>
        <v>6.3492063492065487</v>
      </c>
      <c r="M77" s="8">
        <v>2.99E-3</v>
      </c>
      <c r="N77" s="3">
        <f>(-INDEX(Overview[b],7)+SQRT(POWER(INDEX(Overview[b],7),2)-(4*INDEX(Overview[a],7)*st_c[[#This Row],[c]])))/(2*INDEX(Overview[a],7))</f>
        <v>0.13735856886486081</v>
      </c>
      <c r="O77" s="3">
        <f t="shared" si="11"/>
        <v>2.2775839213151905E-3</v>
      </c>
      <c r="P77" s="14">
        <f t="shared" si="8"/>
        <v>45.551678426303809</v>
      </c>
    </row>
    <row r="78" spans="1:16" x14ac:dyDescent="0.25">
      <c r="A78" s="2">
        <v>7.5000000000000002E-4</v>
      </c>
      <c r="B78" s="3" cm="1">
        <f t="array" ref="B78">SQRT((4*POWER(ttotal7,2)*st_a[[#This Row],[s(ta)]])/(9*s_t))</f>
        <v>4.7619047619047616E-2</v>
      </c>
      <c r="C78" s="3">
        <f t="shared" si="9"/>
        <v>3.1852563253542687E-4</v>
      </c>
      <c r="D78" s="14">
        <f t="shared" si="6"/>
        <v>6.3705126507085374</v>
      </c>
      <c r="G78" s="8">
        <v>1.5E-3</v>
      </c>
      <c r="H78" s="3" cm="1">
        <f t="array" ref="H78">((2*ttotal7)/(3*s_t))*(st_b[[#This Row],[s(tb)]]+(s_t/4))</f>
        <v>7.1428571428571425E-2</v>
      </c>
      <c r="I78" s="3">
        <f t="shared" si="10"/>
        <v>3.1746031746031356E-4</v>
      </c>
      <c r="J78" s="14">
        <f t="shared" si="7"/>
        <v>6.3492063492062707</v>
      </c>
      <c r="M78" s="8">
        <v>3.0000000000000001E-3</v>
      </c>
      <c r="N78" s="3">
        <f>(-INDEX(Overview[b],7)+SQRT(POWER(INDEX(Overview[b],7),2)-(4*INDEX(Overview[a],7)*st_c[[#This Row],[c]])))/(2*INDEX(Overview[a],7))</f>
        <v>0.14285714285714285</v>
      </c>
      <c r="O78" s="3">
        <f t="shared" si="11"/>
        <v>5.4985739922820409E-3</v>
      </c>
      <c r="P78" s="14">
        <f t="shared" si="8"/>
        <v>109.97147984564081</v>
      </c>
    </row>
    <row r="79" spans="1:16" x14ac:dyDescent="0.25">
      <c r="G79" s="8">
        <v>1.5100000000000001E-3</v>
      </c>
      <c r="H79" s="3" cm="1">
        <f t="array" ref="H79">((2*ttotal7)/(3*s_t))*(st_b[[#This Row],[s(tb)]]+(s_t/4))</f>
        <v>7.1746031746031724E-2</v>
      </c>
      <c r="I79" s="3">
        <f t="shared" si="10"/>
        <v>3.1746031746029968E-4</v>
      </c>
      <c r="J79" s="14">
        <f t="shared" si="7"/>
        <v>6.3492063492059936</v>
      </c>
    </row>
    <row r="80" spans="1:16" x14ac:dyDescent="0.25">
      <c r="G80" s="8">
        <v>1.5200000000000001E-3</v>
      </c>
      <c r="H80" s="3" cm="1">
        <f t="array" ref="H80">((2*ttotal7)/(3*s_t))*(st_b[[#This Row],[s(tb)]]+(s_t/4))</f>
        <v>7.2063492063492066E-2</v>
      </c>
      <c r="I80" s="3">
        <f t="shared" si="10"/>
        <v>3.1746031746034131E-4</v>
      </c>
      <c r="J80" s="14">
        <f t="shared" si="7"/>
        <v>6.3492063492068258</v>
      </c>
    </row>
    <row r="81" spans="7:10" x14ac:dyDescent="0.25">
      <c r="G81" s="8">
        <v>1.5300000000000001E-3</v>
      </c>
      <c r="H81" s="3" cm="1">
        <f t="array" ref="H81">((2*ttotal7)/(3*s_t))*(st_b[[#This Row],[s(tb)]]+(s_t/4))</f>
        <v>7.2380952380952365E-2</v>
      </c>
      <c r="I81" s="3">
        <f t="shared" si="10"/>
        <v>3.1746031746029968E-4</v>
      </c>
      <c r="J81" s="14">
        <f t="shared" si="7"/>
        <v>6.3492063492059936</v>
      </c>
    </row>
    <row r="82" spans="7:10" x14ac:dyDescent="0.25">
      <c r="G82" s="8">
        <v>1.5400000000000001E-3</v>
      </c>
      <c r="H82" s="3" cm="1">
        <f t="array" ref="H82">((2*ttotal7)/(3*s_t))*(st_b[[#This Row],[s(tb)]]+(s_t/4))</f>
        <v>7.2698412698412693E-2</v>
      </c>
      <c r="I82" s="3">
        <f t="shared" si="10"/>
        <v>3.1746031746032743E-4</v>
      </c>
      <c r="J82" s="14">
        <f t="shared" si="7"/>
        <v>6.3492063492065487</v>
      </c>
    </row>
    <row r="83" spans="7:10" x14ac:dyDescent="0.25">
      <c r="G83" s="8">
        <v>1.5500000000000002E-3</v>
      </c>
      <c r="H83" s="3" cm="1">
        <f t="array" ref="H83">((2*ttotal7)/(3*s_t))*(st_b[[#This Row],[s(tb)]]+(s_t/4))</f>
        <v>7.3015873015873006E-2</v>
      </c>
      <c r="I83" s="3">
        <f t="shared" si="10"/>
        <v>3.1746031746031356E-4</v>
      </c>
      <c r="J83" s="14">
        <f t="shared" si="7"/>
        <v>6.3492063492062707</v>
      </c>
    </row>
    <row r="84" spans="7:10" x14ac:dyDescent="0.25">
      <c r="G84" s="8">
        <v>1.5600000000000002E-3</v>
      </c>
      <c r="H84" s="3" cm="1">
        <f t="array" ref="H84">((2*ttotal7)/(3*s_t))*(st_b[[#This Row],[s(tb)]]+(s_t/4))</f>
        <v>7.3333333333333334E-2</v>
      </c>
      <c r="I84" s="3">
        <f t="shared" si="10"/>
        <v>3.1746031746032743E-4</v>
      </c>
      <c r="J84" s="14">
        <f t="shared" si="7"/>
        <v>6.3492063492065487</v>
      </c>
    </row>
    <row r="85" spans="7:10" x14ac:dyDescent="0.25">
      <c r="G85" s="8">
        <v>1.5700000000000002E-3</v>
      </c>
      <c r="H85" s="3" cm="1">
        <f t="array" ref="H85">((2*ttotal7)/(3*s_t))*(st_b[[#This Row],[s(tb)]]+(s_t/4))</f>
        <v>7.3650793650793633E-2</v>
      </c>
      <c r="I85" s="3">
        <f t="shared" si="10"/>
        <v>3.1746031746029968E-4</v>
      </c>
      <c r="J85" s="14">
        <f t="shared" si="7"/>
        <v>6.3492063492059936</v>
      </c>
    </row>
    <row r="86" spans="7:10" x14ac:dyDescent="0.25">
      <c r="G86" s="8">
        <v>1.58E-3</v>
      </c>
      <c r="H86" s="3" cm="1">
        <f t="array" ref="H86">((2*ttotal7)/(3*s_t))*(st_b[[#This Row],[s(tb)]]+(s_t/4))</f>
        <v>7.3968253968253961E-2</v>
      </c>
      <c r="I86" s="3">
        <f t="shared" si="10"/>
        <v>3.1746031746032743E-4</v>
      </c>
      <c r="J86" s="14">
        <f t="shared" si="7"/>
        <v>6.3492063492065487</v>
      </c>
    </row>
    <row r="87" spans="7:10" x14ac:dyDescent="0.25">
      <c r="G87" s="8">
        <v>1.5900000000000001E-3</v>
      </c>
      <c r="H87" s="3" cm="1">
        <f t="array" ref="H87">((2*ttotal7)/(3*s_t))*(st_b[[#This Row],[s(tb)]]+(s_t/4))</f>
        <v>7.4285714285714274E-2</v>
      </c>
      <c r="I87" s="3">
        <f t="shared" si="10"/>
        <v>3.1746031746031356E-4</v>
      </c>
      <c r="J87" s="14">
        <f t="shared" si="7"/>
        <v>6.3492063492062707</v>
      </c>
    </row>
    <row r="88" spans="7:10" x14ac:dyDescent="0.25">
      <c r="G88" s="8">
        <v>1.6000000000000001E-3</v>
      </c>
      <c r="H88" s="3" cm="1">
        <f t="array" ref="H88">((2*ttotal7)/(3*s_t))*(st_b[[#This Row],[s(tb)]]+(s_t/4))</f>
        <v>7.4603174603174588E-2</v>
      </c>
      <c r="I88" s="3">
        <f t="shared" si="10"/>
        <v>3.1746031746031356E-4</v>
      </c>
      <c r="J88" s="14">
        <f t="shared" si="7"/>
        <v>6.3492063492062707</v>
      </c>
    </row>
    <row r="89" spans="7:10" x14ac:dyDescent="0.25">
      <c r="G89" s="8">
        <v>1.6100000000000001E-3</v>
      </c>
      <c r="H89" s="3" cm="1">
        <f t="array" ref="H89">((2*ttotal7)/(3*s_t))*(st_b[[#This Row],[s(tb)]]+(s_t/4))</f>
        <v>7.4920634920634915E-2</v>
      </c>
      <c r="I89" s="3">
        <f t="shared" si="10"/>
        <v>3.1746031746032743E-4</v>
      </c>
      <c r="J89" s="14">
        <f t="shared" si="7"/>
        <v>6.3492063492065487</v>
      </c>
    </row>
    <row r="90" spans="7:10" x14ac:dyDescent="0.25">
      <c r="G90" s="8">
        <v>1.6200000000000001E-3</v>
      </c>
      <c r="H90" s="3" cm="1">
        <f t="array" ref="H90">((2*ttotal7)/(3*s_t))*(st_b[[#This Row],[s(tb)]]+(s_t/4))</f>
        <v>7.5238095238095229E-2</v>
      </c>
      <c r="I90" s="3">
        <f t="shared" si="10"/>
        <v>3.1746031746031356E-4</v>
      </c>
      <c r="J90" s="14">
        <f t="shared" si="7"/>
        <v>6.3492063492062707</v>
      </c>
    </row>
    <row r="91" spans="7:10" x14ac:dyDescent="0.25">
      <c r="G91" s="8">
        <v>1.6300000000000002E-3</v>
      </c>
      <c r="H91" s="3" cm="1">
        <f t="array" ref="H91">((2*ttotal7)/(3*s_t))*(st_b[[#This Row],[s(tb)]]+(s_t/4))</f>
        <v>7.5555555555555542E-2</v>
      </c>
      <c r="I91" s="3">
        <f t="shared" si="10"/>
        <v>3.1746031746031356E-4</v>
      </c>
      <c r="J91" s="14">
        <f t="shared" si="7"/>
        <v>6.3492063492062707</v>
      </c>
    </row>
    <row r="92" spans="7:10" x14ac:dyDescent="0.25">
      <c r="G92" s="8">
        <v>1.6400000000000002E-3</v>
      </c>
      <c r="H92" s="3" cm="1">
        <f t="array" ref="H92">((2*ttotal7)/(3*s_t))*(st_b[[#This Row],[s(tb)]]+(s_t/4))</f>
        <v>7.587301587301587E-2</v>
      </c>
      <c r="I92" s="3">
        <f t="shared" si="10"/>
        <v>3.1746031746032743E-4</v>
      </c>
      <c r="J92" s="14">
        <f t="shared" si="7"/>
        <v>6.3492063492065487</v>
      </c>
    </row>
    <row r="93" spans="7:10" x14ac:dyDescent="0.25">
      <c r="G93" s="8">
        <v>1.6500000000000002E-3</v>
      </c>
      <c r="H93" s="3" cm="1">
        <f t="array" ref="H93">((2*ttotal7)/(3*s_t))*(st_b[[#This Row],[s(tb)]]+(s_t/4))</f>
        <v>7.6190476190476183E-2</v>
      </c>
      <c r="I93" s="3">
        <f t="shared" si="10"/>
        <v>3.1746031746031356E-4</v>
      </c>
      <c r="J93" s="14">
        <f t="shared" si="7"/>
        <v>6.3492063492062707</v>
      </c>
    </row>
    <row r="94" spans="7:10" x14ac:dyDescent="0.25">
      <c r="G94" s="8">
        <v>1.6600000000000002E-3</v>
      </c>
      <c r="H94" s="3" cm="1">
        <f t="array" ref="H94">((2*ttotal7)/(3*s_t))*(st_b[[#This Row],[s(tb)]]+(s_t/4))</f>
        <v>7.6507936507936497E-2</v>
      </c>
      <c r="I94" s="3">
        <f t="shared" si="10"/>
        <v>3.1746031746031356E-4</v>
      </c>
      <c r="J94" s="14">
        <f t="shared" si="7"/>
        <v>6.3492063492062707</v>
      </c>
    </row>
    <row r="95" spans="7:10" x14ac:dyDescent="0.25">
      <c r="G95" s="8">
        <v>1.67E-3</v>
      </c>
      <c r="H95" s="3" cm="1">
        <f t="array" ref="H95">((2*ttotal7)/(3*s_t))*(st_b[[#This Row],[s(tb)]]+(s_t/4))</f>
        <v>7.6825396825396824E-2</v>
      </c>
      <c r="I95" s="3">
        <f t="shared" si="10"/>
        <v>3.1746031746032743E-4</v>
      </c>
      <c r="J95" s="14">
        <f t="shared" si="7"/>
        <v>6.3492063492065487</v>
      </c>
    </row>
    <row r="96" spans="7:10" x14ac:dyDescent="0.25">
      <c r="G96" s="8">
        <v>1.6800000000000001E-3</v>
      </c>
      <c r="H96" s="3" cm="1">
        <f t="array" ref="H96">((2*ttotal7)/(3*s_t))*(st_b[[#This Row],[s(tb)]]+(s_t/4))</f>
        <v>7.7142857142857124E-2</v>
      </c>
      <c r="I96" s="3">
        <f t="shared" si="10"/>
        <v>3.1746031746029968E-4</v>
      </c>
      <c r="J96" s="14">
        <f t="shared" si="7"/>
        <v>6.3492063492059936</v>
      </c>
    </row>
    <row r="97" spans="7:10" x14ac:dyDescent="0.25">
      <c r="G97" s="8">
        <v>1.6900000000000001E-3</v>
      </c>
      <c r="H97" s="3" cm="1">
        <f t="array" ref="H97">((2*ttotal7)/(3*s_t))*(st_b[[#This Row],[s(tb)]]+(s_t/4))</f>
        <v>7.7460317460317452E-2</v>
      </c>
      <c r="I97" s="3">
        <f t="shared" si="10"/>
        <v>3.1746031746032743E-4</v>
      </c>
      <c r="J97" s="14">
        <f t="shared" si="7"/>
        <v>6.3492063492065487</v>
      </c>
    </row>
    <row r="98" spans="7:10" x14ac:dyDescent="0.25">
      <c r="G98" s="8">
        <v>1.7000000000000001E-3</v>
      </c>
      <c r="H98" s="3" cm="1">
        <f t="array" ref="H98">((2*ttotal7)/(3*s_t))*(st_b[[#This Row],[s(tb)]]+(s_t/4))</f>
        <v>7.7777777777777765E-2</v>
      </c>
      <c r="I98" s="3">
        <f t="shared" si="10"/>
        <v>3.1746031746031356E-4</v>
      </c>
      <c r="J98" s="14">
        <f t="shared" si="7"/>
        <v>6.3492063492062707</v>
      </c>
    </row>
    <row r="99" spans="7:10" x14ac:dyDescent="0.25">
      <c r="G99" s="8">
        <v>1.7100000000000001E-3</v>
      </c>
      <c r="H99" s="3" cm="1">
        <f t="array" ref="H99">((2*ttotal7)/(3*s_t))*(st_b[[#This Row],[s(tb)]]+(s_t/4))</f>
        <v>7.8095238095238093E-2</v>
      </c>
      <c r="I99" s="3">
        <f t="shared" si="10"/>
        <v>3.1746031746032743E-4</v>
      </c>
      <c r="J99" s="14">
        <f t="shared" si="7"/>
        <v>6.3492063492065487</v>
      </c>
    </row>
    <row r="100" spans="7:10" x14ac:dyDescent="0.25">
      <c r="G100" s="8">
        <v>1.7200000000000002E-3</v>
      </c>
      <c r="H100" s="3" cm="1">
        <f t="array" ref="H100">((2*ttotal7)/(3*s_t))*(st_b[[#This Row],[s(tb)]]+(s_t/4))</f>
        <v>7.8412698412698392E-2</v>
      </c>
      <c r="I100" s="3">
        <f t="shared" si="10"/>
        <v>3.1746031746029968E-4</v>
      </c>
      <c r="J100" s="14">
        <f t="shared" si="7"/>
        <v>6.3492063492059936</v>
      </c>
    </row>
    <row r="101" spans="7:10" x14ac:dyDescent="0.25">
      <c r="G101" s="8">
        <v>1.7300000000000002E-3</v>
      </c>
      <c r="H101" s="3" cm="1">
        <f t="array" ref="H101">((2*ttotal7)/(3*s_t))*(st_b[[#This Row],[s(tb)]]+(s_t/4))</f>
        <v>7.8730158730158734E-2</v>
      </c>
      <c r="I101" s="3">
        <f t="shared" si="10"/>
        <v>3.1746031746034131E-4</v>
      </c>
      <c r="J101" s="14">
        <f t="shared" si="7"/>
        <v>6.3492063492068258</v>
      </c>
    </row>
    <row r="102" spans="7:10" x14ac:dyDescent="0.25">
      <c r="G102" s="8">
        <v>1.7400000000000002E-3</v>
      </c>
      <c r="H102" s="3" cm="1">
        <f t="array" ref="H102">((2*ttotal7)/(3*s_t))*(st_b[[#This Row],[s(tb)]]+(s_t/4))</f>
        <v>7.9047619047619033E-2</v>
      </c>
      <c r="I102" s="3">
        <f t="shared" si="10"/>
        <v>3.1746031746029968E-4</v>
      </c>
      <c r="J102" s="14">
        <f t="shared" si="7"/>
        <v>6.3492063492059936</v>
      </c>
    </row>
    <row r="103" spans="7:10" x14ac:dyDescent="0.25">
      <c r="G103" s="8">
        <v>1.75E-3</v>
      </c>
      <c r="H103" s="3" cm="1">
        <f t="array" ref="H103">((2*ttotal7)/(3*s_t))*(st_b[[#This Row],[s(tb)]]+(s_t/4))</f>
        <v>7.9365079365079347E-2</v>
      </c>
      <c r="I103" s="3">
        <f t="shared" si="10"/>
        <v>3.1746031746031356E-4</v>
      </c>
      <c r="J103" s="14">
        <f t="shared" si="7"/>
        <v>6.3492063492062707</v>
      </c>
    </row>
    <row r="104" spans="7:10" x14ac:dyDescent="0.25">
      <c r="G104" s="8">
        <v>1.7600000000000001E-3</v>
      </c>
      <c r="H104" s="3" cm="1">
        <f t="array" ref="H104">((2*ttotal7)/(3*s_t))*(st_b[[#This Row],[s(tb)]]+(s_t/4))</f>
        <v>7.9682539682539674E-2</v>
      </c>
      <c r="I104" s="3">
        <f t="shared" si="10"/>
        <v>3.1746031746032743E-4</v>
      </c>
      <c r="J104" s="14">
        <f t="shared" si="7"/>
        <v>6.3492063492065487</v>
      </c>
    </row>
    <row r="105" spans="7:10" x14ac:dyDescent="0.25">
      <c r="G105" s="8">
        <v>1.7700000000000001E-3</v>
      </c>
      <c r="H105" s="3" cm="1">
        <f t="array" ref="H105">((2*ttotal7)/(3*s_t))*(st_b[[#This Row],[s(tb)]]+(s_t/4))</f>
        <v>7.9999999999999988E-2</v>
      </c>
      <c r="I105" s="3">
        <f t="shared" si="10"/>
        <v>3.1746031746031356E-4</v>
      </c>
      <c r="J105" s="14">
        <f t="shared" si="7"/>
        <v>6.3492063492062707</v>
      </c>
    </row>
    <row r="106" spans="7:10" x14ac:dyDescent="0.25">
      <c r="G106" s="8">
        <v>1.7800000000000001E-3</v>
      </c>
      <c r="H106" s="3" cm="1">
        <f t="array" ref="H106">((2*ttotal7)/(3*s_t))*(st_b[[#This Row],[s(tb)]]+(s_t/4))</f>
        <v>8.0317460317460301E-2</v>
      </c>
      <c r="I106" s="3">
        <f t="shared" si="10"/>
        <v>3.1746031746031356E-4</v>
      </c>
      <c r="J106" s="14">
        <f t="shared" si="7"/>
        <v>6.3492063492062707</v>
      </c>
    </row>
    <row r="107" spans="7:10" x14ac:dyDescent="0.25">
      <c r="G107" s="8">
        <v>1.7900000000000001E-3</v>
      </c>
      <c r="H107" s="3" cm="1">
        <f t="array" ref="H107">((2*ttotal7)/(3*s_t))*(st_b[[#This Row],[s(tb)]]+(s_t/4))</f>
        <v>8.0634920634920629E-2</v>
      </c>
      <c r="I107" s="3">
        <f t="shared" si="10"/>
        <v>3.1746031746032743E-4</v>
      </c>
      <c r="J107" s="14">
        <f t="shared" si="7"/>
        <v>6.3492063492065487</v>
      </c>
    </row>
    <row r="108" spans="7:10" x14ac:dyDescent="0.25">
      <c r="G108" s="8">
        <v>1.8000000000000002E-3</v>
      </c>
      <c r="H108" s="3" cm="1">
        <f t="array" ref="H108">((2*ttotal7)/(3*s_t))*(st_b[[#This Row],[s(tb)]]+(s_t/4))</f>
        <v>8.0952380952380942E-2</v>
      </c>
      <c r="I108" s="3">
        <f t="shared" si="10"/>
        <v>3.1746031746031356E-4</v>
      </c>
      <c r="J108" s="14">
        <f t="shared" si="7"/>
        <v>6.3492063492062707</v>
      </c>
    </row>
    <row r="109" spans="7:10" x14ac:dyDescent="0.25">
      <c r="G109" s="8">
        <v>1.8100000000000002E-3</v>
      </c>
      <c r="H109" s="3" cm="1">
        <f t="array" ref="H109">((2*ttotal7)/(3*s_t))*(st_b[[#This Row],[s(tb)]]+(s_t/4))</f>
        <v>8.1269841269841256E-2</v>
      </c>
      <c r="I109" s="3">
        <f t="shared" si="10"/>
        <v>3.1746031746031356E-4</v>
      </c>
      <c r="J109" s="14">
        <f t="shared" si="7"/>
        <v>6.3492063492062707</v>
      </c>
    </row>
    <row r="110" spans="7:10" x14ac:dyDescent="0.25">
      <c r="G110" s="8">
        <v>1.8200000000000002E-3</v>
      </c>
      <c r="H110" s="3" cm="1">
        <f t="array" ref="H110">((2*ttotal7)/(3*s_t))*(st_b[[#This Row],[s(tb)]]+(s_t/4))</f>
        <v>8.1587301587301583E-2</v>
      </c>
      <c r="I110" s="3">
        <f t="shared" si="10"/>
        <v>3.1746031746032743E-4</v>
      </c>
      <c r="J110" s="14">
        <f t="shared" si="7"/>
        <v>6.3492063492065487</v>
      </c>
    </row>
    <row r="111" spans="7:10" x14ac:dyDescent="0.25">
      <c r="G111" s="8">
        <v>1.8300000000000002E-3</v>
      </c>
      <c r="H111" s="3" cm="1">
        <f t="array" ref="H111">((2*ttotal7)/(3*s_t))*(st_b[[#This Row],[s(tb)]]+(s_t/4))</f>
        <v>8.1904761904761897E-2</v>
      </c>
      <c r="I111" s="3">
        <f t="shared" si="10"/>
        <v>3.1746031746031356E-4</v>
      </c>
      <c r="J111" s="14">
        <f t="shared" si="7"/>
        <v>6.3492063492062707</v>
      </c>
    </row>
    <row r="112" spans="7:10" x14ac:dyDescent="0.25">
      <c r="G112" s="8">
        <v>1.8400000000000001E-3</v>
      </c>
      <c r="H112" s="3" cm="1">
        <f t="array" ref="H112">((2*ttotal7)/(3*s_t))*(st_b[[#This Row],[s(tb)]]+(s_t/4))</f>
        <v>8.222222222222221E-2</v>
      </c>
      <c r="I112" s="3">
        <f t="shared" si="10"/>
        <v>3.1746031746031356E-4</v>
      </c>
      <c r="J112" s="14">
        <f t="shared" si="7"/>
        <v>6.3492063492062707</v>
      </c>
    </row>
    <row r="113" spans="7:10" x14ac:dyDescent="0.25">
      <c r="G113" s="8">
        <v>1.8500000000000001E-3</v>
      </c>
      <c r="H113" s="3" cm="1">
        <f t="array" ref="H113">((2*ttotal7)/(3*s_t))*(st_b[[#This Row],[s(tb)]]+(s_t/4))</f>
        <v>8.2539682539682524E-2</v>
      </c>
      <c r="I113" s="3">
        <f t="shared" si="10"/>
        <v>3.1746031746031356E-4</v>
      </c>
      <c r="J113" s="14">
        <f t="shared" si="7"/>
        <v>6.3492063492062707</v>
      </c>
    </row>
    <row r="114" spans="7:10" x14ac:dyDescent="0.25">
      <c r="G114" s="8">
        <v>1.8600000000000001E-3</v>
      </c>
      <c r="H114" s="3" cm="1">
        <f t="array" ref="H114">((2*ttotal7)/(3*s_t))*(st_b[[#This Row],[s(tb)]]+(s_t/4))</f>
        <v>8.2857142857142851E-2</v>
      </c>
      <c r="I114" s="3">
        <f t="shared" si="10"/>
        <v>3.1746031746032743E-4</v>
      </c>
      <c r="J114" s="14">
        <f t="shared" si="7"/>
        <v>6.3492063492065487</v>
      </c>
    </row>
    <row r="115" spans="7:10" x14ac:dyDescent="0.25">
      <c r="G115" s="8">
        <v>1.8700000000000001E-3</v>
      </c>
      <c r="H115" s="3" cm="1">
        <f t="array" ref="H115">((2*ttotal7)/(3*s_t))*(st_b[[#This Row],[s(tb)]]+(s_t/4))</f>
        <v>8.3174603174603151E-2</v>
      </c>
      <c r="I115" s="3">
        <f t="shared" si="10"/>
        <v>3.1746031746029968E-4</v>
      </c>
      <c r="J115" s="14">
        <f t="shared" si="7"/>
        <v>6.3492063492059936</v>
      </c>
    </row>
    <row r="116" spans="7:10" x14ac:dyDescent="0.25">
      <c r="G116" s="8">
        <v>1.8800000000000002E-3</v>
      </c>
      <c r="H116" s="3" cm="1">
        <f t="array" ref="H116">((2*ttotal7)/(3*s_t))*(st_b[[#This Row],[s(tb)]]+(s_t/4))</f>
        <v>8.3492063492063492E-2</v>
      </c>
      <c r="I116" s="3">
        <f t="shared" si="10"/>
        <v>3.1746031746034131E-4</v>
      </c>
      <c r="J116" s="14">
        <f t="shared" si="7"/>
        <v>6.3492063492068258</v>
      </c>
    </row>
    <row r="117" spans="7:10" x14ac:dyDescent="0.25">
      <c r="G117" s="8">
        <v>1.8900000000000002E-3</v>
      </c>
      <c r="H117" s="3" cm="1">
        <f t="array" ref="H117">((2*ttotal7)/(3*s_t))*(st_b[[#This Row],[s(tb)]]+(s_t/4))</f>
        <v>8.3809523809523792E-2</v>
      </c>
      <c r="I117" s="3">
        <f t="shared" si="10"/>
        <v>3.1746031746029968E-4</v>
      </c>
      <c r="J117" s="14">
        <f t="shared" si="7"/>
        <v>6.3492063492059936</v>
      </c>
    </row>
    <row r="118" spans="7:10" x14ac:dyDescent="0.25">
      <c r="G118" s="8">
        <v>1.9000000000000002E-3</v>
      </c>
      <c r="H118" s="3" cm="1">
        <f t="array" ref="H118">((2*ttotal7)/(3*s_t))*(st_b[[#This Row],[s(tb)]]+(s_t/4))</f>
        <v>8.412698412698412E-2</v>
      </c>
      <c r="I118" s="3">
        <f t="shared" si="10"/>
        <v>3.1746031746032743E-4</v>
      </c>
      <c r="J118" s="14">
        <f t="shared" si="7"/>
        <v>6.3492063492065487</v>
      </c>
    </row>
    <row r="119" spans="7:10" x14ac:dyDescent="0.25">
      <c r="G119" s="8">
        <v>1.9100000000000002E-3</v>
      </c>
      <c r="H119" s="3" cm="1">
        <f t="array" ref="H119">((2*ttotal7)/(3*s_t))*(st_b[[#This Row],[s(tb)]]+(s_t/4))</f>
        <v>8.4444444444444433E-2</v>
      </c>
      <c r="I119" s="3">
        <f t="shared" si="10"/>
        <v>3.1746031746031356E-4</v>
      </c>
      <c r="J119" s="14">
        <f t="shared" si="7"/>
        <v>6.3492063492062707</v>
      </c>
    </row>
    <row r="120" spans="7:10" x14ac:dyDescent="0.25">
      <c r="G120" s="8">
        <v>1.9200000000000003E-3</v>
      </c>
      <c r="H120" s="3" cm="1">
        <f t="array" ref="H120">((2*ttotal7)/(3*s_t))*(st_b[[#This Row],[s(tb)]]+(s_t/4))</f>
        <v>8.4761904761904761E-2</v>
      </c>
      <c r="I120" s="3">
        <f t="shared" si="10"/>
        <v>3.1746031746032743E-4</v>
      </c>
      <c r="J120" s="14">
        <f t="shared" si="7"/>
        <v>6.3492063492065487</v>
      </c>
    </row>
    <row r="121" spans="7:10" x14ac:dyDescent="0.25">
      <c r="G121" s="8">
        <v>1.9300000000000001E-3</v>
      </c>
      <c r="H121" s="3" cm="1">
        <f t="array" ref="H121">((2*ttotal7)/(3*s_t))*(st_b[[#This Row],[s(tb)]]+(s_t/4))</f>
        <v>8.507936507936506E-2</v>
      </c>
      <c r="I121" s="3">
        <f t="shared" si="10"/>
        <v>3.1746031746029968E-4</v>
      </c>
      <c r="J121" s="14">
        <f t="shared" si="7"/>
        <v>6.3492063492059936</v>
      </c>
    </row>
    <row r="122" spans="7:10" x14ac:dyDescent="0.25">
      <c r="G122" s="8">
        <v>1.9400000000000001E-3</v>
      </c>
      <c r="H122" s="3" cm="1">
        <f t="array" ref="H122">((2*ttotal7)/(3*s_t))*(st_b[[#This Row],[s(tb)]]+(s_t/4))</f>
        <v>8.5396825396825388E-2</v>
      </c>
      <c r="I122" s="3">
        <f t="shared" si="10"/>
        <v>3.1746031746032743E-4</v>
      </c>
      <c r="J122" s="14">
        <f t="shared" si="7"/>
        <v>6.3492063492065487</v>
      </c>
    </row>
    <row r="123" spans="7:10" x14ac:dyDescent="0.25">
      <c r="G123" s="8">
        <v>1.9500000000000001E-3</v>
      </c>
      <c r="H123" s="3" cm="1">
        <f t="array" ref="H123">((2*ttotal7)/(3*s_t))*(st_b[[#This Row],[s(tb)]]+(s_t/4))</f>
        <v>8.5714285714285701E-2</v>
      </c>
      <c r="I123" s="3">
        <f t="shared" si="10"/>
        <v>3.1746031746031356E-4</v>
      </c>
      <c r="J123" s="14">
        <f t="shared" si="7"/>
        <v>6.3492063492062707</v>
      </c>
    </row>
    <row r="124" spans="7:10" x14ac:dyDescent="0.25">
      <c r="G124" s="8">
        <v>1.9600000000000004E-3</v>
      </c>
      <c r="H124" s="3" cm="1">
        <f t="array" ref="H124">((2*ttotal7)/(3*s_t))*(st_b[[#This Row],[s(tb)]]+(s_t/4))</f>
        <v>8.6031746031746029E-2</v>
      </c>
      <c r="I124" s="3">
        <f t="shared" si="10"/>
        <v>3.1746031746032743E-4</v>
      </c>
      <c r="J124" s="14">
        <f t="shared" si="7"/>
        <v>6.3492063492065487</v>
      </c>
    </row>
    <row r="125" spans="7:10" x14ac:dyDescent="0.25">
      <c r="G125" s="8">
        <v>1.97E-3</v>
      </c>
      <c r="H125" s="3" cm="1">
        <f t="array" ref="H125">((2*ttotal7)/(3*s_t))*(st_b[[#This Row],[s(tb)]]+(s_t/4))</f>
        <v>8.6349206349206342E-2</v>
      </c>
      <c r="I125" s="3">
        <f t="shared" si="10"/>
        <v>3.1746031746031356E-4</v>
      </c>
      <c r="J125" s="14">
        <f t="shared" si="7"/>
        <v>6.3492063492062707</v>
      </c>
    </row>
    <row r="126" spans="7:10" x14ac:dyDescent="0.25">
      <c r="G126" s="8">
        <v>1.98E-3</v>
      </c>
      <c r="H126" s="3" cm="1">
        <f t="array" ref="H126">((2*ttotal7)/(3*s_t))*(st_b[[#This Row],[s(tb)]]+(s_t/4))</f>
        <v>8.6666666666666642E-2</v>
      </c>
      <c r="I126" s="3">
        <f t="shared" si="10"/>
        <v>3.1746031746029968E-4</v>
      </c>
      <c r="J126" s="14">
        <f t="shared" si="7"/>
        <v>6.3492063492059936</v>
      </c>
    </row>
    <row r="127" spans="7:10" x14ac:dyDescent="0.25">
      <c r="G127" s="8">
        <v>1.99E-3</v>
      </c>
      <c r="H127" s="3" cm="1">
        <f t="array" ref="H127">((2*ttotal7)/(3*s_t))*(st_b[[#This Row],[s(tb)]]+(s_t/4))</f>
        <v>8.6984126984126969E-2</v>
      </c>
      <c r="I127" s="3">
        <f t="shared" si="10"/>
        <v>3.1746031746032743E-4</v>
      </c>
      <c r="J127" s="14">
        <f t="shared" si="7"/>
        <v>6.3492063492065487</v>
      </c>
    </row>
    <row r="128" spans="7:10" x14ac:dyDescent="0.25">
      <c r="G128" s="8">
        <v>2E-3</v>
      </c>
      <c r="H128" s="3" cm="1">
        <f t="array" ref="H128">((2*ttotal7)/(3*s_t))*(st_b[[#This Row],[s(tb)]]+(s_t/4))</f>
        <v>8.7301587301587283E-2</v>
      </c>
      <c r="I128" s="3">
        <f t="shared" si="10"/>
        <v>3.1746031746031356E-4</v>
      </c>
      <c r="J128" s="14">
        <f t="shared" si="7"/>
        <v>6.3492063492062707</v>
      </c>
    </row>
    <row r="129" spans="7:10" x14ac:dyDescent="0.25">
      <c r="G129" s="8">
        <v>2.0100000000000001E-3</v>
      </c>
      <c r="H129" s="3" cm="1">
        <f t="array" ref="H129">((2*ttotal7)/(3*s_t))*(st_b[[#This Row],[s(tb)]]+(s_t/4))</f>
        <v>8.761904761904761E-2</v>
      </c>
      <c r="I129" s="3">
        <f t="shared" si="10"/>
        <v>3.1746031746032743E-4</v>
      </c>
      <c r="J129" s="14">
        <f t="shared" si="7"/>
        <v>6.3492063492065487</v>
      </c>
    </row>
    <row r="130" spans="7:10" x14ac:dyDescent="0.25">
      <c r="G130" s="8">
        <v>2.0200000000000001E-3</v>
      </c>
      <c r="H130" s="3" cm="1">
        <f t="array" ref="H130">((2*ttotal7)/(3*s_t))*(st_b[[#This Row],[s(tb)]]+(s_t/4))</f>
        <v>8.793650793650791E-2</v>
      </c>
      <c r="I130" s="3">
        <f t="shared" si="10"/>
        <v>3.1746031746029968E-4</v>
      </c>
      <c r="J130" s="14">
        <f t="shared" si="7"/>
        <v>6.3492063492059936</v>
      </c>
    </row>
    <row r="131" spans="7:10" x14ac:dyDescent="0.25">
      <c r="G131" s="8">
        <v>2.0300000000000001E-3</v>
      </c>
      <c r="H131" s="3" cm="1">
        <f t="array" ref="H131">((2*ttotal7)/(3*s_t))*(st_b[[#This Row],[s(tb)]]+(s_t/4))</f>
        <v>8.8253968253968251E-2</v>
      </c>
      <c r="I131" s="3">
        <f t="shared" si="10"/>
        <v>3.1746031746034131E-4</v>
      </c>
      <c r="J131" s="14">
        <f t="shared" si="7"/>
        <v>6.3492063492068258</v>
      </c>
    </row>
    <row r="132" spans="7:10" x14ac:dyDescent="0.25">
      <c r="G132" s="8">
        <v>2.0400000000000001E-3</v>
      </c>
      <c r="H132" s="3" cm="1">
        <f t="array" ref="H132">((2*ttotal7)/(3*s_t))*(st_b[[#This Row],[s(tb)]]+(s_t/4))</f>
        <v>8.8571428571428551E-2</v>
      </c>
      <c r="I132" s="3">
        <f t="shared" si="10"/>
        <v>3.1746031746029968E-4</v>
      </c>
      <c r="J132" s="14">
        <f t="shared" ref="J132:J153" si="12">I132/0.00005</f>
        <v>6.3492063492059936</v>
      </c>
    </row>
    <row r="133" spans="7:10" x14ac:dyDescent="0.25">
      <c r="G133" s="8">
        <v>2.0500000000000002E-3</v>
      </c>
      <c r="H133" s="3" cm="1">
        <f t="array" ref="H133">((2*ttotal7)/(3*s_t))*(st_b[[#This Row],[s(tb)]]+(s_t/4))</f>
        <v>8.8888888888888878E-2</v>
      </c>
      <c r="I133" s="3">
        <f t="shared" ref="I133:I153" si="13">H133-H132</f>
        <v>3.1746031746032743E-4</v>
      </c>
      <c r="J133" s="14">
        <f t="shared" si="12"/>
        <v>6.3492063492065487</v>
      </c>
    </row>
    <row r="134" spans="7:10" x14ac:dyDescent="0.25">
      <c r="G134" s="8">
        <v>2.0600000000000002E-3</v>
      </c>
      <c r="H134" s="3" cm="1">
        <f t="array" ref="H134">((2*ttotal7)/(3*s_t))*(st_b[[#This Row],[s(tb)]]+(s_t/4))</f>
        <v>8.9206349206349192E-2</v>
      </c>
      <c r="I134" s="3">
        <f t="shared" si="13"/>
        <v>3.1746031746031356E-4</v>
      </c>
      <c r="J134" s="14">
        <f t="shared" si="12"/>
        <v>6.3492063492062707</v>
      </c>
    </row>
    <row r="135" spans="7:10" x14ac:dyDescent="0.25">
      <c r="G135" s="8">
        <v>2.0700000000000002E-3</v>
      </c>
      <c r="H135" s="3" cm="1">
        <f t="array" ref="H135">((2*ttotal7)/(3*s_t))*(st_b[[#This Row],[s(tb)]]+(s_t/4))</f>
        <v>8.9523809523809519E-2</v>
      </c>
      <c r="I135" s="3">
        <f t="shared" si="13"/>
        <v>3.1746031746032743E-4</v>
      </c>
      <c r="J135" s="14">
        <f t="shared" si="12"/>
        <v>6.3492063492065487</v>
      </c>
    </row>
    <row r="136" spans="7:10" x14ac:dyDescent="0.25">
      <c r="G136" s="8">
        <v>2.0800000000000003E-3</v>
      </c>
      <c r="H136" s="3" cm="1">
        <f t="array" ref="H136">((2*ttotal7)/(3*s_t))*(st_b[[#This Row],[s(tb)]]+(s_t/4))</f>
        <v>8.9841269841269819E-2</v>
      </c>
      <c r="I136" s="3">
        <f t="shared" si="13"/>
        <v>3.1746031746029968E-4</v>
      </c>
      <c r="J136" s="14">
        <f t="shared" si="12"/>
        <v>6.3492063492059936</v>
      </c>
    </row>
    <row r="137" spans="7:10" x14ac:dyDescent="0.25">
      <c r="G137" s="8">
        <v>2.0900000000000003E-3</v>
      </c>
      <c r="H137" s="3" cm="1">
        <f t="array" ref="H137">((2*ttotal7)/(3*s_t))*(st_b[[#This Row],[s(tb)]]+(s_t/4))</f>
        <v>9.015873015873016E-2</v>
      </c>
      <c r="I137" s="3">
        <f t="shared" si="13"/>
        <v>3.1746031746034131E-4</v>
      </c>
      <c r="J137" s="14">
        <f t="shared" si="12"/>
        <v>6.3492063492068258</v>
      </c>
    </row>
    <row r="138" spans="7:10" x14ac:dyDescent="0.25">
      <c r="G138" s="8">
        <v>2.1000000000000003E-3</v>
      </c>
      <c r="H138" s="3" cm="1">
        <f t="array" ref="H138">((2*ttotal7)/(3*s_t))*(st_b[[#This Row],[s(tb)]]+(s_t/4))</f>
        <v>9.047619047619046E-2</v>
      </c>
      <c r="I138" s="3">
        <f t="shared" si="13"/>
        <v>3.1746031746029968E-4</v>
      </c>
      <c r="J138" s="14">
        <f t="shared" si="12"/>
        <v>6.3492063492059936</v>
      </c>
    </row>
    <row r="139" spans="7:10" x14ac:dyDescent="0.25">
      <c r="G139" s="8">
        <v>2.1100000000000003E-3</v>
      </c>
      <c r="H139" s="3" cm="1">
        <f t="array" ref="H139">((2*ttotal7)/(3*s_t))*(st_b[[#This Row],[s(tb)]]+(s_t/4))</f>
        <v>9.0793650793650788E-2</v>
      </c>
      <c r="I139" s="3">
        <f t="shared" si="13"/>
        <v>3.1746031746032743E-4</v>
      </c>
      <c r="J139" s="14">
        <f t="shared" si="12"/>
        <v>6.3492063492065487</v>
      </c>
    </row>
    <row r="140" spans="7:10" x14ac:dyDescent="0.25">
      <c r="G140" s="8">
        <v>2.1200000000000004E-3</v>
      </c>
      <c r="H140" s="3" cm="1">
        <f t="array" ref="H140">((2*ttotal7)/(3*s_t))*(st_b[[#This Row],[s(tb)]]+(s_t/4))</f>
        <v>9.1111111111111101E-2</v>
      </c>
      <c r="I140" s="3">
        <f t="shared" si="13"/>
        <v>3.1746031746031356E-4</v>
      </c>
      <c r="J140" s="14">
        <f t="shared" si="12"/>
        <v>6.3492063492062707</v>
      </c>
    </row>
    <row r="141" spans="7:10" x14ac:dyDescent="0.25">
      <c r="G141" s="8">
        <v>2.1300000000000004E-3</v>
      </c>
      <c r="H141" s="3" cm="1">
        <f t="array" ref="H141">((2*ttotal7)/(3*s_t))*(st_b[[#This Row],[s(tb)]]+(s_t/4))</f>
        <v>9.1428571428571428E-2</v>
      </c>
      <c r="I141" s="3">
        <f t="shared" si="13"/>
        <v>3.1746031746032743E-4</v>
      </c>
      <c r="J141" s="14">
        <f t="shared" si="12"/>
        <v>6.3492063492065487</v>
      </c>
    </row>
    <row r="142" spans="7:10" x14ac:dyDescent="0.25">
      <c r="G142" s="8">
        <v>2.14E-3</v>
      </c>
      <c r="H142" s="3" cm="1">
        <f t="array" ref="H142">((2*ttotal7)/(3*s_t))*(st_b[[#This Row],[s(tb)]]+(s_t/4))</f>
        <v>9.1746031746031728E-2</v>
      </c>
      <c r="I142" s="3">
        <f t="shared" si="13"/>
        <v>3.1746031746029968E-4</v>
      </c>
      <c r="J142" s="14">
        <f t="shared" si="12"/>
        <v>6.3492063492059936</v>
      </c>
    </row>
    <row r="143" spans="7:10" x14ac:dyDescent="0.25">
      <c r="G143" s="8">
        <v>2.15E-3</v>
      </c>
      <c r="H143" s="3" cm="1">
        <f t="array" ref="H143">((2*ttotal7)/(3*s_t))*(st_b[[#This Row],[s(tb)]]+(s_t/4))</f>
        <v>9.2063492063492042E-2</v>
      </c>
      <c r="I143" s="3">
        <f t="shared" si="13"/>
        <v>3.1746031746031356E-4</v>
      </c>
      <c r="J143" s="14">
        <f t="shared" si="12"/>
        <v>6.3492063492062707</v>
      </c>
    </row>
    <row r="144" spans="7:10" x14ac:dyDescent="0.25">
      <c r="G144" s="8">
        <v>2.16E-3</v>
      </c>
      <c r="H144" s="3" cm="1">
        <f t="array" ref="H144">((2*ttotal7)/(3*s_t))*(st_b[[#This Row],[s(tb)]]+(s_t/4))</f>
        <v>9.2380952380952369E-2</v>
      </c>
      <c r="I144" s="3">
        <f t="shared" si="13"/>
        <v>3.1746031746032743E-4</v>
      </c>
      <c r="J144" s="14">
        <f t="shared" si="12"/>
        <v>6.3492063492065487</v>
      </c>
    </row>
    <row r="145" spans="7:10" x14ac:dyDescent="0.25">
      <c r="G145" s="8">
        <v>2.1700000000000001E-3</v>
      </c>
      <c r="H145" s="3" cm="1">
        <f t="array" ref="H145">((2*ttotal7)/(3*s_t))*(st_b[[#This Row],[s(tb)]]+(s_t/4))</f>
        <v>9.2698412698412669E-2</v>
      </c>
      <c r="I145" s="3">
        <f t="shared" si="13"/>
        <v>3.1746031746029968E-4</v>
      </c>
      <c r="J145" s="14">
        <f t="shared" si="12"/>
        <v>6.3492063492059936</v>
      </c>
    </row>
    <row r="146" spans="7:10" x14ac:dyDescent="0.25">
      <c r="G146" s="8">
        <v>2.1800000000000001E-3</v>
      </c>
      <c r="H146" s="3" cm="1">
        <f t="array" ref="H146">((2*ttotal7)/(3*s_t))*(st_b[[#This Row],[s(tb)]]+(s_t/4))</f>
        <v>9.301587301587301E-2</v>
      </c>
      <c r="I146" s="3">
        <f t="shared" si="13"/>
        <v>3.1746031746034131E-4</v>
      </c>
      <c r="J146" s="14">
        <f t="shared" si="12"/>
        <v>6.3492063492068258</v>
      </c>
    </row>
    <row r="147" spans="7:10" x14ac:dyDescent="0.25">
      <c r="G147" s="8">
        <v>2.1900000000000001E-3</v>
      </c>
      <c r="H147" s="3" cm="1">
        <f t="array" ref="H147">((2*ttotal7)/(3*s_t))*(st_b[[#This Row],[s(tb)]]+(s_t/4))</f>
        <v>9.333333333333331E-2</v>
      </c>
      <c r="I147" s="3">
        <f t="shared" si="13"/>
        <v>3.1746031746029968E-4</v>
      </c>
      <c r="J147" s="14">
        <f t="shared" si="12"/>
        <v>6.3492063492059936</v>
      </c>
    </row>
    <row r="148" spans="7:10" x14ac:dyDescent="0.25">
      <c r="G148" s="8">
        <v>2.2000000000000001E-3</v>
      </c>
      <c r="H148" s="3" cm="1">
        <f t="array" ref="H148">((2*ttotal7)/(3*s_t))*(st_b[[#This Row],[s(tb)]]+(s_t/4))</f>
        <v>9.3650793650793637E-2</v>
      </c>
      <c r="I148" s="3">
        <f t="shared" si="13"/>
        <v>3.1746031746032743E-4</v>
      </c>
      <c r="J148" s="14">
        <f t="shared" si="12"/>
        <v>6.3492063492065487</v>
      </c>
    </row>
    <row r="149" spans="7:10" x14ac:dyDescent="0.25">
      <c r="G149" s="8">
        <v>2.2100000000000002E-3</v>
      </c>
      <c r="H149" s="3" cm="1">
        <f t="array" ref="H149">((2*ttotal7)/(3*s_t))*(st_b[[#This Row],[s(tb)]]+(s_t/4))</f>
        <v>9.3968253968253951E-2</v>
      </c>
      <c r="I149" s="3">
        <f t="shared" si="13"/>
        <v>3.1746031746031356E-4</v>
      </c>
      <c r="J149" s="14">
        <f t="shared" si="12"/>
        <v>6.3492063492062707</v>
      </c>
    </row>
    <row r="150" spans="7:10" x14ac:dyDescent="0.25">
      <c r="G150" s="8">
        <v>2.2200000000000002E-3</v>
      </c>
      <c r="H150" s="3" cm="1">
        <f t="array" ref="H150">((2*ttotal7)/(3*s_t))*(st_b[[#This Row],[s(tb)]]+(s_t/4))</f>
        <v>9.4285714285714278E-2</v>
      </c>
      <c r="I150" s="3">
        <f t="shared" si="13"/>
        <v>3.1746031746032743E-4</v>
      </c>
      <c r="J150" s="14">
        <f t="shared" si="12"/>
        <v>6.3492063492065487</v>
      </c>
    </row>
    <row r="151" spans="7:10" x14ac:dyDescent="0.25">
      <c r="G151" s="8">
        <v>2.2300000000000002E-3</v>
      </c>
      <c r="H151" s="3" cm="1">
        <f t="array" ref="H151">((2*ttotal7)/(3*s_t))*(st_b[[#This Row],[s(tb)]]+(s_t/4))</f>
        <v>9.4603174603174592E-2</v>
      </c>
      <c r="I151" s="3">
        <f t="shared" si="13"/>
        <v>3.1746031746031356E-4</v>
      </c>
      <c r="J151" s="14">
        <f t="shared" si="12"/>
        <v>6.3492063492062707</v>
      </c>
    </row>
    <row r="152" spans="7:10" x14ac:dyDescent="0.25">
      <c r="G152" s="8">
        <v>2.2400000000000002E-3</v>
      </c>
      <c r="H152" s="3" cm="1">
        <f t="array" ref="H152">((2*ttotal7)/(3*s_t))*(st_b[[#This Row],[s(tb)]]+(s_t/4))</f>
        <v>9.4920634920634919E-2</v>
      </c>
      <c r="I152" s="3">
        <f t="shared" si="13"/>
        <v>3.1746031746032743E-4</v>
      </c>
      <c r="J152" s="14">
        <f t="shared" si="12"/>
        <v>6.3492063492065487</v>
      </c>
    </row>
    <row r="153" spans="7:10" x14ac:dyDescent="0.25">
      <c r="G153" s="8">
        <v>2.2500000000000003E-3</v>
      </c>
      <c r="H153" s="3" cm="1">
        <f t="array" ref="H153">((2*ttotal7)/(3*s_t))*(st_b[[#This Row],[s(tb)]]+(s_t/4))</f>
        <v>9.5238095238095219E-2</v>
      </c>
      <c r="I153" s="3">
        <f t="shared" si="13"/>
        <v>3.1746031746029968E-4</v>
      </c>
      <c r="J153" s="14">
        <f t="shared" si="12"/>
        <v>6.3492063492059936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E1816-8B24-4E99-8ADB-A9BC73C825F0}">
  <sheetPr codeName="Sheet12"/>
  <dimension ref="A2:P153"/>
  <sheetViews>
    <sheetView workbookViewId="0">
      <selection activeCell="K1" sqref="K1:K1048576"/>
    </sheetView>
  </sheetViews>
  <sheetFormatPr defaultRowHeight="15" x14ac:dyDescent="0.25"/>
  <cols>
    <col min="1" max="1" width="8.42578125" style="2" customWidth="1"/>
    <col min="2" max="2" width="11.5703125" style="3" bestFit="1" customWidth="1"/>
    <col min="3" max="3" width="12.85546875" customWidth="1"/>
    <col min="4" max="4" width="9.5703125" style="14" bestFit="1" customWidth="1"/>
    <col min="5" max="5" width="9.5703125" style="14" customWidth="1"/>
    <col min="7" max="7" width="10.28515625" style="8" customWidth="1"/>
    <col min="8" max="8" width="11.28515625" style="3" bestFit="1" customWidth="1"/>
    <col min="9" max="9" width="11.28515625" bestFit="1" customWidth="1"/>
    <col min="10" max="10" width="11.28515625" style="14" bestFit="1" customWidth="1"/>
    <col min="11" max="11" width="11.28515625" style="14" customWidth="1"/>
    <col min="13" max="13" width="10.28515625" style="8" customWidth="1"/>
    <col min="14" max="14" width="11.28515625" style="3" bestFit="1" customWidth="1"/>
    <col min="15" max="15" width="11.28515625" bestFit="1" customWidth="1"/>
    <col min="16" max="16" width="11.7109375" style="14" customWidth="1"/>
  </cols>
  <sheetData>
    <row r="2" spans="1:16" s="15" customFormat="1" x14ac:dyDescent="0.25">
      <c r="A2" s="15" t="s">
        <v>34</v>
      </c>
      <c r="B2" s="3" t="s">
        <v>31</v>
      </c>
      <c r="C2" s="15" t="s">
        <v>55</v>
      </c>
      <c r="D2" s="15" t="s">
        <v>56</v>
      </c>
      <c r="G2" s="15" t="s">
        <v>35</v>
      </c>
      <c r="H2" s="13" t="s">
        <v>31</v>
      </c>
      <c r="I2" s="15" t="s">
        <v>55</v>
      </c>
      <c r="J2" s="17" t="s">
        <v>56</v>
      </c>
      <c r="K2" s="17"/>
      <c r="M2" s="15" t="s">
        <v>36</v>
      </c>
      <c r="N2" s="13" t="s">
        <v>31</v>
      </c>
      <c r="O2" s="15" t="s">
        <v>55</v>
      </c>
      <c r="P2" s="17" t="s">
        <v>56</v>
      </c>
    </row>
    <row r="3" spans="1:16" x14ac:dyDescent="0.25">
      <c r="A3" s="2">
        <v>0</v>
      </c>
      <c r="B3" s="3" cm="1">
        <f t="array" ref="B3">SQRT((4*POWER(ttotal8,2)*st_a[[#This Row],[s(ta)]])/(9*s_t))</f>
        <v>0</v>
      </c>
      <c r="C3" s="3">
        <v>0</v>
      </c>
      <c r="D3" s="14">
        <f>C3/0.00005</f>
        <v>0</v>
      </c>
      <c r="G3" s="8">
        <v>7.5000000000000002E-4</v>
      </c>
      <c r="H3" s="3" cm="1">
        <f t="array" ref="H3">((2*ttotal8)/(3*s_t))*(st_b[[#This Row],[s(tb)]]+(s_t/4))</f>
        <v>4.1666666666666664E-2</v>
      </c>
      <c r="I3" s="3">
        <f>C78</f>
        <v>2.7870992846850545E-4</v>
      </c>
      <c r="J3" s="14">
        <f>I3/0.00005</f>
        <v>5.5741985693701084</v>
      </c>
      <c r="M3" s="8">
        <v>2.2500000000000003E-3</v>
      </c>
      <c r="N3" s="3">
        <f>(-INDEX(Overview[b],8)+SQRT(POWER(INDEX(Overview[b],8),2)-(4*INDEX(Overview[a],8)*st_c[[#This Row],[c]])))/(2*INDEX(Overview[a],8))</f>
        <v>8.3333333333333356E-2</v>
      </c>
      <c r="O3" s="3">
        <f>I153</f>
        <v>2.7777777777776569E-4</v>
      </c>
      <c r="P3" s="14">
        <f>O3/0.00005</f>
        <v>5.5555555555553138</v>
      </c>
    </row>
    <row r="4" spans="1:16" x14ac:dyDescent="0.25">
      <c r="A4" s="2">
        <v>1.0000000000000001E-5</v>
      </c>
      <c r="B4" s="3" cm="1">
        <f t="array" ref="B4">SQRT((4*POWER(ttotal8,2)*st_a[[#This Row],[s(ta)]])/(9*s_t))</f>
        <v>4.8112522432468812E-3</v>
      </c>
      <c r="C4" s="3">
        <f>B4-B3</f>
        <v>4.8112522432468812E-3</v>
      </c>
      <c r="D4" s="14">
        <f t="shared" ref="D4:D67" si="0">C4/0.00005</f>
        <v>96.225044864937615</v>
      </c>
      <c r="G4" s="8">
        <v>7.6000000000000004E-4</v>
      </c>
      <c r="H4" s="3" cm="1">
        <f t="array" ref="H4">((2*ttotal8)/(3*s_t))*(st_b[[#This Row],[s(tb)]]+(s_t/4))</f>
        <v>4.1944444444444444E-2</v>
      </c>
      <c r="I4" s="3">
        <f>H4-H3</f>
        <v>2.7777777777777957E-4</v>
      </c>
      <c r="J4" s="14">
        <f t="shared" ref="J4:J67" si="1">I4/0.00005</f>
        <v>5.5555555555555909</v>
      </c>
      <c r="M4" s="8">
        <v>2.2600000000000003E-3</v>
      </c>
      <c r="N4" s="3">
        <f>(-INDEX(Overview[b],8)+SQRT(POWER(INDEX(Overview[b],8),2)-(4*INDEX(Overview[a],8)*st_c[[#This Row],[c]])))/(2*INDEX(Overview[a],8))</f>
        <v>8.3612043261801855E-2</v>
      </c>
      <c r="O4" s="3">
        <f>N4-N3</f>
        <v>2.7870992846849851E-4</v>
      </c>
      <c r="P4" s="14">
        <f t="shared" ref="P4:P67" si="2">O4/0.00005</f>
        <v>5.5741985693699698</v>
      </c>
    </row>
    <row r="5" spans="1:16" x14ac:dyDescent="0.25">
      <c r="A5" s="2">
        <v>2.0000000000000002E-5</v>
      </c>
      <c r="B5" s="3" cm="1">
        <f t="array" ref="B5">SQRT((4*POWER(ttotal8,2)*st_a[[#This Row],[s(ta)]])/(9*s_t))</f>
        <v>6.8041381743977171E-3</v>
      </c>
      <c r="C5" s="3">
        <f t="shared" ref="C5:C68" si="3">B5-B4</f>
        <v>1.9928859311508359E-3</v>
      </c>
      <c r="D5" s="14">
        <f t="shared" si="0"/>
        <v>39.857718623016716</v>
      </c>
      <c r="G5" s="8">
        <v>7.7000000000000007E-4</v>
      </c>
      <c r="H5" s="3" cm="1">
        <f t="array" ref="H5">((2*ttotal8)/(3*s_t))*(st_b[[#This Row],[s(tb)]]+(s_t/4))</f>
        <v>4.2222222222222223E-2</v>
      </c>
      <c r="I5" s="3">
        <f t="shared" ref="I5:I68" si="4">H5-H4</f>
        <v>2.7777777777777957E-4</v>
      </c>
      <c r="J5" s="14">
        <f t="shared" si="1"/>
        <v>5.5555555555555909</v>
      </c>
      <c r="M5" s="8">
        <v>2.2700000000000003E-3</v>
      </c>
      <c r="N5" s="3">
        <f>(-INDEX(Overview[b],8)+SQRT(POWER(INDEX(Overview[b],8),2)-(4*INDEX(Overview[a],8)*st_c[[#This Row],[c]])))/(2*INDEX(Overview[a],8))</f>
        <v>8.389264281403129E-2</v>
      </c>
      <c r="O5" s="3">
        <f t="shared" ref="O5:O68" si="5">N5-N4</f>
        <v>2.8059955222943522E-4</v>
      </c>
      <c r="P5" s="14">
        <f t="shared" si="2"/>
        <v>5.611991044588704</v>
      </c>
    </row>
    <row r="6" spans="1:16" x14ac:dyDescent="0.25">
      <c r="A6" s="2">
        <v>3.0000000000000004E-5</v>
      </c>
      <c r="B6" s="3" cm="1">
        <f t="array" ref="B6">SQRT((4*POWER(ttotal8,2)*st_a[[#This Row],[s(ta)]])/(9*s_t))</f>
        <v>8.333333333333335E-3</v>
      </c>
      <c r="C6" s="3">
        <f t="shared" si="3"/>
        <v>1.5291951589356178E-3</v>
      </c>
      <c r="D6" s="14">
        <f t="shared" si="0"/>
        <v>30.583903178712355</v>
      </c>
      <c r="G6" s="8">
        <v>7.8000000000000009E-4</v>
      </c>
      <c r="H6" s="3" cm="1">
        <f t="array" ref="H6">((2*ttotal8)/(3*s_t))*(st_b[[#This Row],[s(tb)]]+(s_t/4))</f>
        <v>4.2499999999999996E-2</v>
      </c>
      <c r="I6" s="3">
        <f t="shared" si="4"/>
        <v>2.7777777777777263E-4</v>
      </c>
      <c r="J6" s="14">
        <f t="shared" si="1"/>
        <v>5.5555555555554523</v>
      </c>
      <c r="M6" s="8">
        <v>2.2800000000000003E-3</v>
      </c>
      <c r="N6" s="3">
        <f>(-INDEX(Overview[b],8)+SQRT(POWER(INDEX(Overview[b],8),2)-(4*INDEX(Overview[a],8)*st_c[[#This Row],[c]])))/(2*INDEX(Overview[a],8))</f>
        <v>8.4175170953613737E-2</v>
      </c>
      <c r="O6" s="3">
        <f t="shared" si="5"/>
        <v>2.8252813958244694E-4</v>
      </c>
      <c r="P6" s="14">
        <f t="shared" si="2"/>
        <v>5.6505627916489383</v>
      </c>
    </row>
    <row r="7" spans="1:16" x14ac:dyDescent="0.25">
      <c r="A7" s="2">
        <v>4.0000000000000003E-5</v>
      </c>
      <c r="B7" s="3" cm="1">
        <f t="array" ref="B7">SQRT((4*POWER(ttotal8,2)*st_a[[#This Row],[s(ta)]])/(9*s_t))</f>
        <v>9.6225044864937624E-3</v>
      </c>
      <c r="C7" s="3">
        <f t="shared" si="3"/>
        <v>1.2891711531604275E-3</v>
      </c>
      <c r="D7" s="14">
        <f t="shared" si="0"/>
        <v>25.783423063208549</v>
      </c>
      <c r="G7" s="8">
        <v>7.9000000000000001E-4</v>
      </c>
      <c r="H7" s="3" cm="1">
        <f t="array" ref="H7">((2*ttotal8)/(3*s_t))*(st_b[[#This Row],[s(tb)]]+(s_t/4))</f>
        <v>4.2777777777777776E-2</v>
      </c>
      <c r="I7" s="3">
        <f t="shared" si="4"/>
        <v>2.7777777777777957E-4</v>
      </c>
      <c r="J7" s="14">
        <f t="shared" si="1"/>
        <v>5.5555555555555909</v>
      </c>
      <c r="M7" s="8">
        <v>2.2900000000000004E-3</v>
      </c>
      <c r="N7" s="3">
        <f>(-INDEX(Overview[b],8)+SQRT(POWER(INDEX(Overview[b],8),2)-(4*INDEX(Overview[a],8)*st_c[[#This Row],[c]])))/(2*INDEX(Overview[a],8))</f>
        <v>8.4459668001871074E-2</v>
      </c>
      <c r="O7" s="3">
        <f t="shared" si="5"/>
        <v>2.8449704825733724E-4</v>
      </c>
      <c r="P7" s="14">
        <f t="shared" si="2"/>
        <v>5.6899409651467447</v>
      </c>
    </row>
    <row r="8" spans="1:16" x14ac:dyDescent="0.25">
      <c r="A8" s="2">
        <v>5.0000000000000002E-5</v>
      </c>
      <c r="B8" s="3" cm="1">
        <f t="array" ref="B8">SQRT((4*POWER(ttotal8,2)*st_a[[#This Row],[s(ta)]])/(9*s_t))</f>
        <v>1.075828707279838E-2</v>
      </c>
      <c r="C8" s="3">
        <f t="shared" si="3"/>
        <v>1.1357825863046178E-3</v>
      </c>
      <c r="D8" s="14">
        <f t="shared" si="0"/>
        <v>22.715651726092354</v>
      </c>
      <c r="G8" s="8">
        <v>8.0000000000000004E-4</v>
      </c>
      <c r="H8" s="3" cm="1">
        <f t="array" ref="H8">((2*ttotal8)/(3*s_t))*(st_b[[#This Row],[s(tb)]]+(s_t/4))</f>
        <v>4.3055555555555555E-2</v>
      </c>
      <c r="I8" s="3">
        <f t="shared" si="4"/>
        <v>2.7777777777777957E-4</v>
      </c>
      <c r="J8" s="14">
        <f t="shared" si="1"/>
        <v>5.5555555555555909</v>
      </c>
      <c r="M8" s="8">
        <v>2.3000000000000004E-3</v>
      </c>
      <c r="N8" s="3">
        <f>(-INDEX(Overview[b],8)+SQRT(POWER(INDEX(Overview[b],8),2)-(4*INDEX(Overview[a],8)*st_c[[#This Row],[c]])))/(2*INDEX(Overview[a],8))</f>
        <v>8.4746175705029347E-2</v>
      </c>
      <c r="O8" s="3">
        <f t="shared" si="5"/>
        <v>2.8650770315827301E-4</v>
      </c>
      <c r="P8" s="14">
        <f t="shared" si="2"/>
        <v>5.7301540631654602</v>
      </c>
    </row>
    <row r="9" spans="1:16" x14ac:dyDescent="0.25">
      <c r="A9" s="2">
        <v>6.0000000000000008E-5</v>
      </c>
      <c r="B9" s="3" cm="1">
        <f t="array" ref="B9">SQRT((4*POWER(ttotal8,2)*st_a[[#This Row],[s(ta)]])/(9*s_t))</f>
        <v>1.1785113019775794E-2</v>
      </c>
      <c r="C9" s="3">
        <f t="shared" si="3"/>
        <v>1.0268259469774135E-3</v>
      </c>
      <c r="D9" s="14">
        <f t="shared" si="0"/>
        <v>20.536518939548269</v>
      </c>
      <c r="G9" s="8">
        <v>8.1000000000000006E-4</v>
      </c>
      <c r="H9" s="3" cm="1">
        <f t="array" ref="H9">((2*ttotal8)/(3*s_t))*(st_b[[#This Row],[s(tb)]]+(s_t/4))</f>
        <v>4.3333333333333335E-2</v>
      </c>
      <c r="I9" s="3">
        <f t="shared" si="4"/>
        <v>2.7777777777777957E-4</v>
      </c>
      <c r="J9" s="14">
        <f t="shared" si="1"/>
        <v>5.5555555555555909</v>
      </c>
      <c r="M9" s="8">
        <v>2.31E-3</v>
      </c>
      <c r="N9" s="3">
        <f>(-INDEX(Overview[b],8)+SQRT(POWER(INDEX(Overview[b],8),2)-(4*INDEX(Overview[a],8)*st_c[[#This Row],[c]])))/(2*INDEX(Overview[a],8))</f>
        <v>8.5034737305727345E-2</v>
      </c>
      <c r="O9" s="3">
        <f t="shared" si="5"/>
        <v>2.8856160069799797E-4</v>
      </c>
      <c r="P9" s="14">
        <f t="shared" si="2"/>
        <v>5.7712320139599589</v>
      </c>
    </row>
    <row r="10" spans="1:16" x14ac:dyDescent="0.25">
      <c r="A10" s="2">
        <v>7.0000000000000007E-5</v>
      </c>
      <c r="B10" s="3" cm="1">
        <f t="array" ref="B10">SQRT((4*POWER(ttotal8,2)*st_a[[#This Row],[s(ta)]])/(9*s_t))</f>
        <v>1.2729376930432889E-2</v>
      </c>
      <c r="C10" s="3">
        <f t="shared" si="3"/>
        <v>9.4426391065709561E-4</v>
      </c>
      <c r="D10" s="14">
        <f t="shared" si="0"/>
        <v>18.885278213141913</v>
      </c>
      <c r="G10" s="8">
        <v>8.2000000000000009E-4</v>
      </c>
      <c r="H10" s="3" cm="1">
        <f t="array" ref="H10">((2*ttotal8)/(3*s_t))*(st_b[[#This Row],[s(tb)]]+(s_t/4))</f>
        <v>4.3611111111111114E-2</v>
      </c>
      <c r="I10" s="3">
        <f t="shared" si="4"/>
        <v>2.7777777777777957E-4</v>
      </c>
      <c r="J10" s="14">
        <f t="shared" si="1"/>
        <v>5.5555555555555909</v>
      </c>
      <c r="M10" s="8">
        <v>2.32E-3</v>
      </c>
      <c r="N10" s="3">
        <f>(-INDEX(Overview[b],8)+SQRT(POWER(INDEX(Overview[b],8),2)-(4*INDEX(Overview[a],8)*st_c[[#This Row],[c]])))/(2*INDEX(Overview[a],8))</f>
        <v>8.5325397619206406E-2</v>
      </c>
      <c r="O10" s="3">
        <f t="shared" si="5"/>
        <v>2.9066031347906029E-4</v>
      </c>
      <c r="P10" s="14">
        <f t="shared" si="2"/>
        <v>5.8132062695812055</v>
      </c>
    </row>
    <row r="11" spans="1:16" x14ac:dyDescent="0.25">
      <c r="A11" s="2">
        <v>8.0000000000000007E-5</v>
      </c>
      <c r="B11" s="3" cm="1">
        <f t="array" ref="B11">SQRT((4*POWER(ttotal8,2)*st_a[[#This Row],[s(ta)]])/(9*s_t))</f>
        <v>1.3608276348795434E-2</v>
      </c>
      <c r="C11" s="3">
        <f t="shared" si="3"/>
        <v>8.7889941836254495E-4</v>
      </c>
      <c r="D11" s="14">
        <f t="shared" si="0"/>
        <v>17.577988367250899</v>
      </c>
      <c r="G11" s="8">
        <v>8.3000000000000012E-4</v>
      </c>
      <c r="H11" s="3" cm="1">
        <f t="array" ref="H11">((2*ttotal8)/(3*s_t))*(st_b[[#This Row],[s(tb)]]+(s_t/4))</f>
        <v>4.3888888888888894E-2</v>
      </c>
      <c r="I11" s="3">
        <f t="shared" si="4"/>
        <v>2.7777777777777957E-4</v>
      </c>
      <c r="J11" s="14">
        <f t="shared" si="1"/>
        <v>5.5555555555555909</v>
      </c>
      <c r="M11" s="8">
        <v>2.33E-3</v>
      </c>
      <c r="N11" s="3">
        <f>(-INDEX(Overview[b],8)+SQRT(POWER(INDEX(Overview[b],8),2)-(4*INDEX(Overview[a],8)*st_c[[#This Row],[c]])))/(2*INDEX(Overview[a],8))</f>
        <v>8.5618203114561614E-2</v>
      </c>
      <c r="O11" s="3">
        <f t="shared" si="5"/>
        <v>2.9280549535520839E-4</v>
      </c>
      <c r="P11" s="14">
        <f t="shared" si="2"/>
        <v>5.8561099071041678</v>
      </c>
    </row>
    <row r="12" spans="1:16" x14ac:dyDescent="0.25">
      <c r="A12" s="2">
        <v>9.0000000000000006E-5</v>
      </c>
      <c r="B12" s="3" cm="1">
        <f t="array" ref="B12">SQRT((4*POWER(ttotal8,2)*st_a[[#This Row],[s(ta)]])/(9*s_t))</f>
        <v>1.4433756729740645E-2</v>
      </c>
      <c r="C12" s="3">
        <f t="shared" si="3"/>
        <v>8.254803809452111E-4</v>
      </c>
      <c r="D12" s="14">
        <f t="shared" si="0"/>
        <v>16.509607618904223</v>
      </c>
      <c r="G12" s="8">
        <v>8.4000000000000003E-4</v>
      </c>
      <c r="H12" s="3" cm="1">
        <f t="array" ref="H12">((2*ttotal8)/(3*s_t))*(st_b[[#This Row],[s(tb)]]+(s_t/4))</f>
        <v>4.4166666666666667E-2</v>
      </c>
      <c r="I12" s="3">
        <f t="shared" si="4"/>
        <v>2.7777777777777263E-4</v>
      </c>
      <c r="J12" s="14">
        <f t="shared" si="1"/>
        <v>5.5555555555554523</v>
      </c>
      <c r="M12" s="8">
        <v>2.3400000000000001E-3</v>
      </c>
      <c r="N12" s="3">
        <f>(-INDEX(Overview[b],8)+SQRT(POWER(INDEX(Overview[b],8),2)-(4*INDEX(Overview[a],8)*st_c[[#This Row],[c]])))/(2*INDEX(Overview[a],8))</f>
        <v>8.5913202001471428E-2</v>
      </c>
      <c r="O12" s="3">
        <f t="shared" si="5"/>
        <v>2.9499888690981413E-4</v>
      </c>
      <c r="P12" s="14">
        <f t="shared" si="2"/>
        <v>5.8999777381962826</v>
      </c>
    </row>
    <row r="13" spans="1:16" x14ac:dyDescent="0.25">
      <c r="A13" s="2">
        <v>1E-4</v>
      </c>
      <c r="B13" s="3" cm="1">
        <f t="array" ref="B13">SQRT((4*POWER(ttotal8,2)*st_a[[#This Row],[s(ta)]])/(9*s_t))</f>
        <v>1.5214515486254614E-2</v>
      </c>
      <c r="C13" s="3">
        <f t="shared" si="3"/>
        <v>7.8075875651396898E-4</v>
      </c>
      <c r="D13" s="14">
        <f t="shared" si="0"/>
        <v>15.615175130279379</v>
      </c>
      <c r="G13" s="8">
        <v>8.5000000000000006E-4</v>
      </c>
      <c r="H13" s="3" cm="1">
        <f t="array" ref="H13">((2*ttotal8)/(3*s_t))*(st_b[[#This Row],[s(tb)]]+(s_t/4))</f>
        <v>4.4444444444444439E-2</v>
      </c>
      <c r="I13" s="3">
        <f t="shared" si="4"/>
        <v>2.7777777777777263E-4</v>
      </c>
      <c r="J13" s="14">
        <f t="shared" si="1"/>
        <v>5.5555555555554523</v>
      </c>
      <c r="M13" s="8">
        <v>2.3500000000000001E-3</v>
      </c>
      <c r="N13" s="3">
        <f>(-INDEX(Overview[b],8)+SQRT(POWER(INDEX(Overview[b],8),2)-(4*INDEX(Overview[a],8)*st_c[[#This Row],[c]])))/(2*INDEX(Overview[a],8))</f>
        <v>8.6210444322864066E-2</v>
      </c>
      <c r="O13" s="3">
        <f t="shared" si="5"/>
        <v>2.9724232139263784E-4</v>
      </c>
      <c r="P13" s="14">
        <f t="shared" si="2"/>
        <v>5.9448464278527569</v>
      </c>
    </row>
    <row r="14" spans="1:16" x14ac:dyDescent="0.25">
      <c r="A14" s="2">
        <v>1.1E-4</v>
      </c>
      <c r="B14" s="3" cm="1">
        <f t="array" ref="B14">SQRT((4*POWER(ttotal8,2)*st_a[[#This Row],[s(ta)]])/(9*s_t))</f>
        <v>1.5957118462605637E-2</v>
      </c>
      <c r="C14" s="3">
        <f t="shared" si="3"/>
        <v>7.4260297635102279E-4</v>
      </c>
      <c r="D14" s="14">
        <f t="shared" si="0"/>
        <v>14.852059527020455</v>
      </c>
      <c r="G14" s="8">
        <v>8.6000000000000009E-4</v>
      </c>
      <c r="H14" s="3" cm="1">
        <f t="array" ref="H14">((2*ttotal8)/(3*s_t))*(st_b[[#This Row],[s(tb)]]+(s_t/4))</f>
        <v>4.4722222222222219E-2</v>
      </c>
      <c r="I14" s="3">
        <f t="shared" si="4"/>
        <v>2.7777777777777957E-4</v>
      </c>
      <c r="J14" s="14">
        <f t="shared" si="1"/>
        <v>5.5555555555555909</v>
      </c>
      <c r="M14" s="8">
        <v>2.3600000000000001E-3</v>
      </c>
      <c r="N14" s="3">
        <f>(-INDEX(Overview[b],8)+SQRT(POWER(INDEX(Overview[b],8),2)-(4*INDEX(Overview[a],8)*st_c[[#This Row],[c]])))/(2*INDEX(Overview[a],8))</f>
        <v>8.650998205402495E-2</v>
      </c>
      <c r="O14" s="3">
        <f t="shared" si="5"/>
        <v>2.9953773116088434E-4</v>
      </c>
      <c r="P14" s="14">
        <f t="shared" si="2"/>
        <v>5.9907546232176863</v>
      </c>
    </row>
    <row r="15" spans="1:16" x14ac:dyDescent="0.25">
      <c r="A15" s="2">
        <v>1.2000000000000002E-4</v>
      </c>
      <c r="B15" s="3" cm="1">
        <f t="array" ref="B15">SQRT((4*POWER(ttotal8,2)*st_a[[#This Row],[s(ta)]])/(9*s_t))</f>
        <v>1.666666666666667E-2</v>
      </c>
      <c r="C15" s="3">
        <f t="shared" si="3"/>
        <v>7.0954820406103278E-4</v>
      </c>
      <c r="D15" s="14">
        <f t="shared" si="0"/>
        <v>14.190964081220654</v>
      </c>
      <c r="G15" s="8">
        <v>8.7000000000000011E-4</v>
      </c>
      <c r="H15" s="3" cm="1">
        <f t="array" ref="H15">((2*ttotal8)/(3*s_t))*(st_b[[#This Row],[s(tb)]]+(s_t/4))</f>
        <v>4.4999999999999998E-2</v>
      </c>
      <c r="I15" s="3">
        <f t="shared" si="4"/>
        <v>2.7777777777777957E-4</v>
      </c>
      <c r="J15" s="14">
        <f t="shared" si="1"/>
        <v>5.5555555555555909</v>
      </c>
      <c r="M15" s="8">
        <v>2.3700000000000001E-3</v>
      </c>
      <c r="N15" s="3">
        <f>(-INDEX(Overview[b],8)+SQRT(POWER(INDEX(Overview[b],8),2)-(4*INDEX(Overview[a],8)*st_c[[#This Row],[c]])))/(2*INDEX(Overview[a],8))</f>
        <v>8.6811869208701362E-2</v>
      </c>
      <c r="O15" s="3">
        <f t="shared" si="5"/>
        <v>3.0188715467641125E-4</v>
      </c>
      <c r="P15" s="14">
        <f t="shared" si="2"/>
        <v>6.037743093528225</v>
      </c>
    </row>
    <row r="16" spans="1:16" x14ac:dyDescent="0.25">
      <c r="A16" s="2">
        <v>1.3000000000000002E-4</v>
      </c>
      <c r="B16" s="3" cm="1">
        <f t="array" ref="B16">SQRT((4*POWER(ttotal8,2)*st_a[[#This Row],[s(ta)]])/(9*s_t))</f>
        <v>1.7347216662217772E-2</v>
      </c>
      <c r="C16" s="3">
        <f t="shared" si="3"/>
        <v>6.805499955511024E-4</v>
      </c>
      <c r="D16" s="14">
        <f t="shared" si="0"/>
        <v>13.610999911022047</v>
      </c>
      <c r="G16" s="8">
        <v>8.8000000000000003E-4</v>
      </c>
      <c r="H16" s="3" cm="1">
        <f t="array" ref="H16">((2*ttotal8)/(3*s_t))*(st_b[[#This Row],[s(tb)]]+(s_t/4))</f>
        <v>4.5277777777777771E-2</v>
      </c>
      <c r="I16" s="3">
        <f t="shared" si="4"/>
        <v>2.7777777777777263E-4</v>
      </c>
      <c r="J16" s="14">
        <f t="shared" si="1"/>
        <v>5.5555555555554523</v>
      </c>
      <c r="M16" s="8">
        <v>2.3800000000000002E-3</v>
      </c>
      <c r="N16" s="3">
        <f>(-INDEX(Overview[b],8)+SQRT(POWER(INDEX(Overview[b],8),2)-(4*INDEX(Overview[a],8)*st_c[[#This Row],[c]])))/(2*INDEX(Overview[a],8))</f>
        <v>8.7116161952817087E-2</v>
      </c>
      <c r="O16" s="3">
        <f t="shared" si="5"/>
        <v>3.0429274411572504E-4</v>
      </c>
      <c r="P16" s="14">
        <f t="shared" si="2"/>
        <v>6.0858548823145009</v>
      </c>
    </row>
    <row r="17" spans="1:16" x14ac:dyDescent="0.25">
      <c r="A17" s="2">
        <v>1.4000000000000001E-4</v>
      </c>
      <c r="B17" s="3" cm="1">
        <f t="array" ref="B17">SQRT((4*POWER(ttotal8,2)*st_a[[#This Row],[s(ta)]])/(9*s_t))</f>
        <v>1.800205749557739E-2</v>
      </c>
      <c r="C17" s="3">
        <f t="shared" si="3"/>
        <v>6.5484083335961771E-4</v>
      </c>
      <c r="D17" s="14">
        <f t="shared" si="0"/>
        <v>13.096816667192353</v>
      </c>
      <c r="G17" s="8">
        <v>8.9000000000000006E-4</v>
      </c>
      <c r="H17" s="3" cm="1">
        <f t="array" ref="H17">((2*ttotal8)/(3*s_t))*(st_b[[#This Row],[s(tb)]]+(s_t/4))</f>
        <v>4.5555555555555551E-2</v>
      </c>
      <c r="I17" s="3">
        <f t="shared" si="4"/>
        <v>2.7777777777777957E-4</v>
      </c>
      <c r="J17" s="14">
        <f t="shared" si="1"/>
        <v>5.5555555555555909</v>
      </c>
      <c r="M17" s="8">
        <v>2.3900000000000002E-3</v>
      </c>
      <c r="N17" s="3">
        <f>(-INDEX(Overview[b],8)+SQRT(POWER(INDEX(Overview[b],8),2)-(4*INDEX(Overview[a],8)*st_c[[#This Row],[c]])))/(2*INDEX(Overview[a],8))</f>
        <v>8.7422918726475882E-2</v>
      </c>
      <c r="O17" s="3">
        <f t="shared" si="5"/>
        <v>3.0675677365879506E-4</v>
      </c>
      <c r="P17" s="14">
        <f t="shared" si="2"/>
        <v>6.1351354731759011</v>
      </c>
    </row>
    <row r="18" spans="1:16" x14ac:dyDescent="0.25">
      <c r="A18" s="2">
        <v>1.5000000000000001E-4</v>
      </c>
      <c r="B18" s="3" cm="1">
        <f t="array" ref="B18">SQRT((4*POWER(ttotal8,2)*st_a[[#This Row],[s(ta)]])/(9*s_t))</f>
        <v>1.8633899812498248E-2</v>
      </c>
      <c r="C18" s="3">
        <f t="shared" si="3"/>
        <v>6.3184231692085813E-4</v>
      </c>
      <c r="D18" s="14">
        <f t="shared" si="0"/>
        <v>12.636846338417161</v>
      </c>
      <c r="G18" s="8">
        <v>9.0000000000000008E-4</v>
      </c>
      <c r="H18" s="3" cm="1">
        <f t="array" ref="H18">((2*ttotal8)/(3*s_t))*(st_b[[#This Row],[s(tb)]]+(s_t/4))</f>
        <v>4.583333333333333E-2</v>
      </c>
      <c r="I18" s="3">
        <f t="shared" si="4"/>
        <v>2.7777777777777957E-4</v>
      </c>
      <c r="J18" s="14">
        <f t="shared" si="1"/>
        <v>5.5555555555555909</v>
      </c>
      <c r="M18" s="8">
        <v>2.4000000000000002E-3</v>
      </c>
      <c r="N18" s="3">
        <f>(-INDEX(Overview[b],8)+SQRT(POWER(INDEX(Overview[b],8),2)-(4*INDEX(Overview[a],8)*st_c[[#This Row],[c]])))/(2*INDEX(Overview[a],8))</f>
        <v>8.7732200375003525E-2</v>
      </c>
      <c r="O18" s="3">
        <f t="shared" si="5"/>
        <v>3.0928164852764284E-4</v>
      </c>
      <c r="P18" s="14">
        <f t="shared" si="2"/>
        <v>6.1856329705528568</v>
      </c>
    </row>
    <row r="19" spans="1:16" x14ac:dyDescent="0.25">
      <c r="A19" s="2">
        <v>1.6000000000000001E-4</v>
      </c>
      <c r="B19" s="3" cm="1">
        <f t="array" ref="B19">SQRT((4*POWER(ttotal8,2)*st_a[[#This Row],[s(ta)]])/(9*s_t))</f>
        <v>1.9245008972987525E-2</v>
      </c>
      <c r="C19" s="3">
        <f t="shared" si="3"/>
        <v>6.1110916048927669E-4</v>
      </c>
      <c r="D19" s="14">
        <f t="shared" si="0"/>
        <v>12.222183209785532</v>
      </c>
      <c r="G19" s="8">
        <v>9.1000000000000011E-4</v>
      </c>
      <c r="H19" s="3" cm="1">
        <f t="array" ref="H19">((2*ttotal8)/(3*s_t))*(st_b[[#This Row],[s(tb)]]+(s_t/4))</f>
        <v>4.611111111111111E-2</v>
      </c>
      <c r="I19" s="3">
        <f t="shared" si="4"/>
        <v>2.7777777777777957E-4</v>
      </c>
      <c r="J19" s="14">
        <f t="shared" si="1"/>
        <v>5.5555555555555909</v>
      </c>
      <c r="M19" s="8">
        <v>2.4100000000000002E-3</v>
      </c>
      <c r="N19" s="3">
        <f>(-INDEX(Overview[b],8)+SQRT(POWER(INDEX(Overview[b],8),2)-(4*INDEX(Overview[a],8)*st_c[[#This Row],[c]])))/(2*INDEX(Overview[a],8))</f>
        <v>8.8044070289860957E-2</v>
      </c>
      <c r="O19" s="3">
        <f t="shared" si="5"/>
        <v>3.1186991485743221E-4</v>
      </c>
      <c r="P19" s="14">
        <f t="shared" si="2"/>
        <v>6.2373982971486441</v>
      </c>
    </row>
    <row r="20" spans="1:16" x14ac:dyDescent="0.25">
      <c r="A20" s="2">
        <v>1.7000000000000001E-4</v>
      </c>
      <c r="B20" s="3" cm="1">
        <f t="array" ref="B20">SQRT((4*POWER(ttotal8,2)*st_a[[#This Row],[s(ta)]])/(9*s_t))</f>
        <v>1.9837301190396808E-2</v>
      </c>
      <c r="C20" s="3">
        <f t="shared" si="3"/>
        <v>5.9229221740928276E-4</v>
      </c>
      <c r="D20" s="14">
        <f t="shared" si="0"/>
        <v>11.845844348185654</v>
      </c>
      <c r="G20" s="8">
        <v>9.2000000000000003E-4</v>
      </c>
      <c r="H20" s="3" cm="1">
        <f t="array" ref="H20">((2*ttotal8)/(3*s_t))*(st_b[[#This Row],[s(tb)]]+(s_t/4))</f>
        <v>4.6388888888888882E-2</v>
      </c>
      <c r="I20" s="3">
        <f t="shared" si="4"/>
        <v>2.7777777777777263E-4</v>
      </c>
      <c r="J20" s="14">
        <f t="shared" si="1"/>
        <v>5.5555555555554523</v>
      </c>
      <c r="M20" s="8">
        <v>2.4200000000000003E-3</v>
      </c>
      <c r="N20" s="3">
        <f>(-INDEX(Overview[b],8)+SQRT(POWER(INDEX(Overview[b],8),2)-(4*INDEX(Overview[a],8)*st_c[[#This Row],[c]])))/(2*INDEX(Overview[a],8))</f>
        <v>8.8358594560353013E-2</v>
      </c>
      <c r="O20" s="3">
        <f t="shared" si="5"/>
        <v>3.1452427049205589E-4</v>
      </c>
      <c r="P20" s="14">
        <f t="shared" si="2"/>
        <v>6.2904854098411178</v>
      </c>
    </row>
    <row r="21" spans="1:16" x14ac:dyDescent="0.25">
      <c r="A21" s="2">
        <v>1.8000000000000001E-4</v>
      </c>
      <c r="B21" s="3" cm="1">
        <f t="array" ref="B21">SQRT((4*POWER(ttotal8,2)*st_a[[#This Row],[s(ta)]])/(9*s_t))</f>
        <v>2.0412414523193152E-2</v>
      </c>
      <c r="C21" s="3">
        <f t="shared" si="3"/>
        <v>5.7511333279634466E-4</v>
      </c>
      <c r="D21" s="14">
        <f t="shared" si="0"/>
        <v>11.502266655926892</v>
      </c>
      <c r="G21" s="8">
        <v>9.3000000000000005E-4</v>
      </c>
      <c r="H21" s="3" cm="1">
        <f t="array" ref="H21">((2*ttotal8)/(3*s_t))*(st_b[[#This Row],[s(tb)]]+(s_t/4))</f>
        <v>4.6666666666666662E-2</v>
      </c>
      <c r="I21" s="3">
        <f t="shared" si="4"/>
        <v>2.7777777777777957E-4</v>
      </c>
      <c r="J21" s="14">
        <f t="shared" si="1"/>
        <v>5.5555555555555909</v>
      </c>
      <c r="M21" s="8">
        <v>2.4300000000000003E-3</v>
      </c>
      <c r="N21" s="3">
        <f>(-INDEX(Overview[b],8)+SQRT(POWER(INDEX(Overview[b],8),2)-(4*INDEX(Overview[a],8)*st_c[[#This Row],[c]])))/(2*INDEX(Overview[a],8))</f>
        <v>8.8675842137161051E-2</v>
      </c>
      <c r="O21" s="3">
        <f t="shared" si="5"/>
        <v>3.172475768080385E-4</v>
      </c>
      <c r="P21" s="14">
        <f t="shared" si="2"/>
        <v>6.34495153616077</v>
      </c>
    </row>
    <row r="22" spans="1:16" x14ac:dyDescent="0.25">
      <c r="A22" s="2">
        <v>1.9000000000000001E-4</v>
      </c>
      <c r="B22" s="3" cm="1">
        <f t="array" ref="B22">SQRT((4*POWER(ttotal8,2)*st_a[[#This Row],[s(ta)]])/(9*s_t))</f>
        <v>2.0971762320196527E-2</v>
      </c>
      <c r="C22" s="3">
        <f t="shared" si="3"/>
        <v>5.5934779700337472E-4</v>
      </c>
      <c r="D22" s="14">
        <f t="shared" si="0"/>
        <v>11.186955940067493</v>
      </c>
      <c r="G22" s="8">
        <v>9.4000000000000008E-4</v>
      </c>
      <c r="H22" s="3" cm="1">
        <f t="array" ref="H22">((2*ttotal8)/(3*s_t))*(st_b[[#This Row],[s(tb)]]+(s_t/4))</f>
        <v>4.6944444444444441E-2</v>
      </c>
      <c r="I22" s="3">
        <f t="shared" si="4"/>
        <v>2.7777777777777957E-4</v>
      </c>
      <c r="J22" s="14">
        <f t="shared" si="1"/>
        <v>5.5555555555555909</v>
      </c>
      <c r="M22" s="8">
        <v>2.4400000000000003E-3</v>
      </c>
      <c r="N22" s="3">
        <f>(-INDEX(Overview[b],8)+SQRT(POWER(INDEX(Overview[b],8),2)-(4*INDEX(Overview[a],8)*st_c[[#This Row],[c]])))/(2*INDEX(Overview[a],8))</f>
        <v>8.8995885008845241E-2</v>
      </c>
      <c r="O22" s="3">
        <f t="shared" si="5"/>
        <v>3.2004287168418966E-4</v>
      </c>
      <c r="P22" s="14">
        <f t="shared" si="2"/>
        <v>6.4008574336837931</v>
      </c>
    </row>
    <row r="23" spans="1:16" x14ac:dyDescent="0.25">
      <c r="A23" s="2">
        <v>2.0000000000000001E-4</v>
      </c>
      <c r="B23" s="3" cm="1">
        <f t="array" ref="B23">SQRT((4*POWER(ttotal8,2)*st_a[[#This Row],[s(ta)]])/(9*s_t))</f>
        <v>2.151657414559676E-2</v>
      </c>
      <c r="C23" s="3">
        <f t="shared" si="3"/>
        <v>5.4481182540023348E-4</v>
      </c>
      <c r="D23" s="14">
        <f t="shared" si="0"/>
        <v>10.896236508004669</v>
      </c>
      <c r="G23" s="8">
        <v>9.5000000000000011E-4</v>
      </c>
      <c r="H23" s="3" cm="1">
        <f t="array" ref="H23">((2*ttotal8)/(3*s_t))*(st_b[[#This Row],[s(tb)]]+(s_t/4))</f>
        <v>4.7222222222222221E-2</v>
      </c>
      <c r="I23" s="3">
        <f t="shared" si="4"/>
        <v>2.7777777777777957E-4</v>
      </c>
      <c r="J23" s="14">
        <f t="shared" si="1"/>
        <v>5.5555555555555909</v>
      </c>
      <c r="M23" s="8">
        <v>2.4500000000000004E-3</v>
      </c>
      <c r="N23" s="3">
        <f>(-INDEX(Overview[b],8)+SQRT(POWER(INDEX(Overview[b],8),2)-(4*INDEX(Overview[a],8)*st_c[[#This Row],[c]])))/(2*INDEX(Overview[a],8))</f>
        <v>8.931879839259689E-2</v>
      </c>
      <c r="O23" s="3">
        <f t="shared" si="5"/>
        <v>3.2291338375164957E-4</v>
      </c>
      <c r="P23" s="14">
        <f t="shared" si="2"/>
        <v>6.4582676750329915</v>
      </c>
    </row>
    <row r="24" spans="1:16" x14ac:dyDescent="0.25">
      <c r="A24" s="2">
        <v>2.1000000000000001E-4</v>
      </c>
      <c r="B24" s="3" cm="1">
        <f t="array" ref="B24">SQRT((4*POWER(ttotal8,2)*st_a[[#This Row],[s(ta)]])/(9*s_t))</f>
        <v>2.2047927592204922E-2</v>
      </c>
      <c r="C24" s="3">
        <f t="shared" si="3"/>
        <v>5.3135344660816194E-4</v>
      </c>
      <c r="D24" s="14">
        <f t="shared" si="0"/>
        <v>10.627068932163239</v>
      </c>
      <c r="G24" s="8">
        <v>9.6000000000000013E-4</v>
      </c>
      <c r="H24" s="3" cm="1">
        <f t="array" ref="H24">((2*ttotal8)/(3*s_t))*(st_b[[#This Row],[s(tb)]]+(s_t/4))</f>
        <v>4.7500000000000001E-2</v>
      </c>
      <c r="I24" s="3">
        <f t="shared" si="4"/>
        <v>2.7777777777777957E-4</v>
      </c>
      <c r="J24" s="14">
        <f t="shared" si="1"/>
        <v>5.5555555555555909</v>
      </c>
      <c r="M24" s="8">
        <v>2.4600000000000004E-3</v>
      </c>
      <c r="N24" s="3">
        <f>(-INDEX(Overview[b],8)+SQRT(POWER(INDEX(Overview[b],8),2)-(4*INDEX(Overview[a],8)*st_c[[#This Row],[c]])))/(2*INDEX(Overview[a],8))</f>
        <v>8.9644660940672638E-2</v>
      </c>
      <c r="O24" s="3">
        <f t="shared" si="5"/>
        <v>3.2586254807574766E-4</v>
      </c>
      <c r="P24" s="14">
        <f t="shared" si="2"/>
        <v>6.5172509615149528</v>
      </c>
    </row>
    <row r="25" spans="1:16" x14ac:dyDescent="0.25">
      <c r="A25" s="2">
        <v>2.2000000000000001E-4</v>
      </c>
      <c r="B25" s="3" cm="1">
        <f t="array" ref="B25">SQRT((4*POWER(ttotal8,2)*st_a[[#This Row],[s(ta)]])/(9*s_t))</f>
        <v>2.2566773346211003E-2</v>
      </c>
      <c r="C25" s="3">
        <f t="shared" si="3"/>
        <v>5.1884575400608021E-4</v>
      </c>
      <c r="D25" s="14">
        <f t="shared" si="0"/>
        <v>10.376915080121604</v>
      </c>
      <c r="G25" s="8">
        <v>9.7000000000000005E-4</v>
      </c>
      <c r="H25" s="3" cm="1">
        <f t="array" ref="H25">((2*ttotal8)/(3*s_t))*(st_b[[#This Row],[s(tb)]]+(s_t/4))</f>
        <v>4.777777777777778E-2</v>
      </c>
      <c r="I25" s="3">
        <f t="shared" si="4"/>
        <v>2.7777777777777957E-4</v>
      </c>
      <c r="J25" s="14">
        <f t="shared" si="1"/>
        <v>5.5555555555555909</v>
      </c>
      <c r="M25" s="8">
        <v>2.4700000000000004E-3</v>
      </c>
      <c r="N25" s="3">
        <f>(-INDEX(Overview[b],8)+SQRT(POWER(INDEX(Overview[b],8),2)-(4*INDEX(Overview[a],8)*st_c[[#This Row],[c]])))/(2*INDEX(Overview[a],8))</f>
        <v>8.9973554964115313E-2</v>
      </c>
      <c r="O25" s="3">
        <f t="shared" si="5"/>
        <v>3.288940234426746E-4</v>
      </c>
      <c r="P25" s="14">
        <f t="shared" si="2"/>
        <v>6.5778804688534915</v>
      </c>
    </row>
    <row r="26" spans="1:16" x14ac:dyDescent="0.25">
      <c r="A26" s="2">
        <v>2.3000000000000001E-4</v>
      </c>
      <c r="B26" s="3" cm="1">
        <f t="array" ref="B26">SQRT((4*POWER(ttotal8,2)*st_a[[#This Row],[s(ta)]])/(9*s_t))</f>
        <v>2.3073955174772429E-2</v>
      </c>
      <c r="C26" s="3">
        <f t="shared" si="3"/>
        <v>5.0718182856142671E-4</v>
      </c>
      <c r="D26" s="14">
        <f t="shared" si="0"/>
        <v>10.143636571228534</v>
      </c>
      <c r="G26" s="8">
        <v>9.8000000000000019E-4</v>
      </c>
      <c r="H26" s="3" cm="1">
        <f t="array" ref="H26">((2*ttotal8)/(3*s_t))*(st_b[[#This Row],[s(tb)]]+(s_t/4))</f>
        <v>4.805555555555556E-2</v>
      </c>
      <c r="I26" s="3">
        <f t="shared" si="4"/>
        <v>2.7777777777777957E-4</v>
      </c>
      <c r="J26" s="14">
        <f t="shared" si="1"/>
        <v>5.5555555555555909</v>
      </c>
      <c r="M26" s="8">
        <v>2.48E-3</v>
      </c>
      <c r="N26" s="3">
        <f>(-INDEX(Overview[b],8)+SQRT(POWER(INDEX(Overview[b],8),2)-(4*INDEX(Overview[a],8)*st_c[[#This Row],[c]])))/(2*INDEX(Overview[a],8))</f>
        <v>9.0305566675564469E-2</v>
      </c>
      <c r="O26" s="3">
        <f t="shared" si="5"/>
        <v>3.3201171144915664E-4</v>
      </c>
      <c r="P26" s="14">
        <f t="shared" si="2"/>
        <v>6.6402342289831324</v>
      </c>
    </row>
    <row r="27" spans="1:16" x14ac:dyDescent="0.25">
      <c r="A27" s="2">
        <v>2.4000000000000003E-4</v>
      </c>
      <c r="B27" s="3" cm="1">
        <f t="array" ref="B27">SQRT((4*POWER(ttotal8,2)*st_a[[#This Row],[s(ta)]])/(9*s_t))</f>
        <v>2.3570226039551587E-2</v>
      </c>
      <c r="C27" s="3">
        <f t="shared" si="3"/>
        <v>4.9627086477915805E-4</v>
      </c>
      <c r="D27" s="14">
        <f t="shared" si="0"/>
        <v>9.925417295583161</v>
      </c>
      <c r="G27" s="8">
        <v>9.8999999999999999E-4</v>
      </c>
      <c r="H27" s="3" cm="1">
        <f t="array" ref="H27">((2*ttotal8)/(3*s_t))*(st_b[[#This Row],[s(tb)]]+(s_t/4))</f>
        <v>4.8333333333333325E-2</v>
      </c>
      <c r="I27" s="3">
        <f t="shared" si="4"/>
        <v>2.7777777777776569E-4</v>
      </c>
      <c r="J27" s="14">
        <f t="shared" si="1"/>
        <v>5.5555555555553138</v>
      </c>
      <c r="M27" s="8">
        <v>2.49E-3</v>
      </c>
      <c r="N27" s="3">
        <f>(-INDEX(Overview[b],8)+SQRT(POWER(INDEX(Overview[b],8),2)-(4*INDEX(Overview[a],8)*st_c[[#This Row],[c]])))/(2*INDEX(Overview[a],8))</f>
        <v>9.0640786453186156E-2</v>
      </c>
      <c r="O27" s="3">
        <f t="shared" si="5"/>
        <v>3.3521977762168698E-4</v>
      </c>
      <c r="P27" s="14">
        <f t="shared" si="2"/>
        <v>6.7043955524337395</v>
      </c>
    </row>
    <row r="28" spans="1:16" x14ac:dyDescent="0.25">
      <c r="A28" s="2">
        <v>2.5000000000000001E-4</v>
      </c>
      <c r="B28" s="3" cm="1">
        <f t="array" ref="B28">SQRT((4*POWER(ttotal8,2)*st_a[[#This Row],[s(ta)]])/(9*s_t))</f>
        <v>2.4056261216234408E-2</v>
      </c>
      <c r="C28" s="3">
        <f t="shared" si="3"/>
        <v>4.860351766828204E-4</v>
      </c>
      <c r="D28" s="14">
        <f t="shared" si="0"/>
        <v>9.7207035336564083</v>
      </c>
      <c r="G28" s="8">
        <v>1E-3</v>
      </c>
      <c r="H28" s="3" cm="1">
        <f t="array" ref="H28">((2*ttotal8)/(3*s_t))*(st_b[[#This Row],[s(tb)]]+(s_t/4))</f>
        <v>4.8611111111111105E-2</v>
      </c>
      <c r="I28" s="3">
        <f t="shared" si="4"/>
        <v>2.7777777777777957E-4</v>
      </c>
      <c r="J28" s="14">
        <f t="shared" si="1"/>
        <v>5.5555555555555909</v>
      </c>
      <c r="M28" s="8">
        <v>2.5000000000000001E-3</v>
      </c>
      <c r="N28" s="3">
        <f>(-INDEX(Overview[b],8)+SQRT(POWER(INDEX(Overview[b],8),2)-(4*INDEX(Overview[a],8)*st_c[[#This Row],[c]])))/(2*INDEX(Overview[a],8))</f>
        <v>9.0979309128011457E-2</v>
      </c>
      <c r="O28" s="3">
        <f t="shared" si="5"/>
        <v>3.3852267482530063E-4</v>
      </c>
      <c r="P28" s="14">
        <f t="shared" si="2"/>
        <v>6.7704534965060121</v>
      </c>
    </row>
    <row r="29" spans="1:16" x14ac:dyDescent="0.25">
      <c r="A29" s="2">
        <v>2.6000000000000003E-4</v>
      </c>
      <c r="B29" s="3" cm="1">
        <f t="array" ref="B29">SQRT((4*POWER(ttotal8,2)*st_a[[#This Row],[s(ta)]])/(9*s_t))</f>
        <v>2.4532669073132909E-2</v>
      </c>
      <c r="C29" s="3">
        <f t="shared" si="3"/>
        <v>4.7640785689850168E-4</v>
      </c>
      <c r="D29" s="14">
        <f t="shared" si="0"/>
        <v>9.5281571379700338</v>
      </c>
      <c r="G29" s="8">
        <v>1.01E-3</v>
      </c>
      <c r="H29" s="3" cm="1">
        <f t="array" ref="H29">((2*ttotal8)/(3*s_t))*(st_b[[#This Row],[s(tb)]]+(s_t/4))</f>
        <v>4.8888888888888885E-2</v>
      </c>
      <c r="I29" s="3">
        <f t="shared" si="4"/>
        <v>2.7777777777777957E-4</v>
      </c>
      <c r="J29" s="14">
        <f t="shared" si="1"/>
        <v>5.5555555555555909</v>
      </c>
      <c r="M29" s="8">
        <v>2.5100000000000001E-3</v>
      </c>
      <c r="N29" s="3">
        <f>(-INDEX(Overview[b],8)+SQRT(POWER(INDEX(Overview[b],8),2)-(4*INDEX(Overview[a],8)*st_c[[#This Row],[c]])))/(2*INDEX(Overview[a],8))</f>
        <v>9.1321234297271861E-2</v>
      </c>
      <c r="O29" s="3">
        <f t="shared" si="5"/>
        <v>3.4192516926040417E-4</v>
      </c>
      <c r="P29" s="14">
        <f t="shared" si="2"/>
        <v>6.8385033852080834</v>
      </c>
    </row>
    <row r="30" spans="1:16" x14ac:dyDescent="0.25">
      <c r="A30" s="2">
        <v>2.7E-4</v>
      </c>
      <c r="B30" s="3" cm="1">
        <f t="array" ref="B30">SQRT((4*POWER(ttotal8,2)*st_a[[#This Row],[s(ta)]])/(9*s_t))</f>
        <v>2.5000000000000001E-2</v>
      </c>
      <c r="C30" s="3">
        <f t="shared" si="3"/>
        <v>4.6733092686709193E-4</v>
      </c>
      <c r="D30" s="14">
        <f t="shared" si="0"/>
        <v>9.346618537341838</v>
      </c>
      <c r="G30" s="8">
        <v>1.0200000000000001E-3</v>
      </c>
      <c r="H30" s="3" cm="1">
        <f t="array" ref="H30">((2*ttotal8)/(3*s_t))*(st_b[[#This Row],[s(tb)]]+(s_t/4))</f>
        <v>4.9166666666666664E-2</v>
      </c>
      <c r="I30" s="3">
        <f t="shared" si="4"/>
        <v>2.7777777777777957E-4</v>
      </c>
      <c r="J30" s="14">
        <f t="shared" si="1"/>
        <v>5.5555555555555909</v>
      </c>
      <c r="M30" s="8">
        <v>2.5200000000000001E-3</v>
      </c>
      <c r="N30" s="3">
        <f>(-INDEX(Overview[b],8)+SQRT(POWER(INDEX(Overview[b],8),2)-(4*INDEX(Overview[a],8)*st_c[[#This Row],[c]])))/(2*INDEX(Overview[a],8))</f>
        <v>9.166666666666666E-2</v>
      </c>
      <c r="O30" s="3">
        <f t="shared" si="5"/>
        <v>3.4543236939479915E-4</v>
      </c>
      <c r="P30" s="14">
        <f t="shared" si="2"/>
        <v>6.9086473878959831</v>
      </c>
    </row>
    <row r="31" spans="1:16" x14ac:dyDescent="0.25">
      <c r="A31" s="2">
        <v>2.8000000000000003E-4</v>
      </c>
      <c r="B31" s="3" cm="1">
        <f t="array" ref="B31">SQRT((4*POWER(ttotal8,2)*st_a[[#This Row],[s(ta)]])/(9*s_t))</f>
        <v>2.5458753860865779E-2</v>
      </c>
      <c r="C31" s="3">
        <f t="shared" si="3"/>
        <v>4.5875386086577721E-4</v>
      </c>
      <c r="D31" s="14">
        <f t="shared" si="0"/>
        <v>9.1750772173155433</v>
      </c>
      <c r="G31" s="8">
        <v>1.0300000000000001E-3</v>
      </c>
      <c r="H31" s="3" cm="1">
        <f t="array" ref="H31">((2*ttotal8)/(3*s_t))*(st_b[[#This Row],[s(tb)]]+(s_t/4))</f>
        <v>4.9444444444444444E-2</v>
      </c>
      <c r="I31" s="3">
        <f t="shared" si="4"/>
        <v>2.7777777777777957E-4</v>
      </c>
      <c r="J31" s="14">
        <f t="shared" si="1"/>
        <v>5.5555555555555909</v>
      </c>
      <c r="M31" s="8">
        <v>2.5300000000000001E-3</v>
      </c>
      <c r="N31" s="3">
        <f>(-INDEX(Overview[b],8)+SQRT(POWER(INDEX(Overview[b],8),2)-(4*INDEX(Overview[a],8)*st_c[[#This Row],[c]])))/(2*INDEX(Overview[a],8))</f>
        <v>9.20157164248947E-2</v>
      </c>
      <c r="O31" s="3">
        <f t="shared" si="5"/>
        <v>3.4904975822803996E-4</v>
      </c>
      <c r="P31" s="14">
        <f t="shared" si="2"/>
        <v>6.9809951645607988</v>
      </c>
    </row>
    <row r="32" spans="1:16" x14ac:dyDescent="0.25">
      <c r="A32" s="2">
        <v>2.9E-4</v>
      </c>
      <c r="B32" s="3" cm="1">
        <f t="array" ref="B32">SQRT((4*POWER(ttotal8,2)*st_a[[#This Row],[s(ta)]])/(9*s_t))</f>
        <v>2.5909386258580042E-2</v>
      </c>
      <c r="C32" s="3">
        <f t="shared" si="3"/>
        <v>4.5063239771426372E-4</v>
      </c>
      <c r="D32" s="14">
        <f t="shared" si="0"/>
        <v>9.0126479542852742</v>
      </c>
      <c r="G32" s="8">
        <v>1.0400000000000001E-3</v>
      </c>
      <c r="H32" s="3" cm="1">
        <f t="array" ref="H32">((2*ttotal8)/(3*s_t))*(st_b[[#This Row],[s(tb)]]+(s_t/4))</f>
        <v>4.9722222222222223E-2</v>
      </c>
      <c r="I32" s="3">
        <f t="shared" si="4"/>
        <v>2.7777777777777957E-4</v>
      </c>
      <c r="J32" s="14">
        <f t="shared" si="1"/>
        <v>5.5555555555555909</v>
      </c>
      <c r="M32" s="8">
        <v>2.5400000000000002E-3</v>
      </c>
      <c r="N32" s="3">
        <f>(-INDEX(Overview[b],8)+SQRT(POWER(INDEX(Overview[b],8),2)-(4*INDEX(Overview[a],8)*st_c[[#This Row],[c]])))/(2*INDEX(Overview[a],8))</f>
        <v>9.2368499654248024E-2</v>
      </c>
      <c r="O32" s="3">
        <f t="shared" si="5"/>
        <v>3.527832293533234E-4</v>
      </c>
      <c r="P32" s="14">
        <f t="shared" si="2"/>
        <v>7.0556645870664676</v>
      </c>
    </row>
    <row r="33" spans="1:16" x14ac:dyDescent="0.25">
      <c r="A33" s="2">
        <v>3.0000000000000003E-4</v>
      </c>
      <c r="B33" s="3" cm="1">
        <f t="array" ref="B33">SQRT((4*POWER(ttotal8,2)*st_a[[#This Row],[s(ta)]])/(9*s_t))</f>
        <v>2.6352313834736494E-2</v>
      </c>
      <c r="C33" s="3">
        <f t="shared" si="3"/>
        <v>4.4292757615645162E-4</v>
      </c>
      <c r="D33" s="14">
        <f t="shared" si="0"/>
        <v>8.8585515231290319</v>
      </c>
      <c r="G33" s="8">
        <v>1.0500000000000002E-3</v>
      </c>
      <c r="H33" s="3" cm="1">
        <f t="array" ref="H33">((2*ttotal8)/(3*s_t))*(st_b[[#This Row],[s(tb)]]+(s_t/4))</f>
        <v>0.05</v>
      </c>
      <c r="I33" s="3">
        <f t="shared" si="4"/>
        <v>2.7777777777777957E-4</v>
      </c>
      <c r="J33" s="14">
        <f t="shared" si="1"/>
        <v>5.5555555555555909</v>
      </c>
      <c r="M33" s="8">
        <v>2.5500000000000002E-3</v>
      </c>
      <c r="N33" s="3">
        <f>(-INDEX(Overview[b],8)+SQRT(POWER(INDEX(Overview[b],8),2)-(4*INDEX(Overview[a],8)*st_c[[#This Row],[c]])))/(2*INDEX(Overview[a],8))</f>
        <v>9.2725138781604863E-2</v>
      </c>
      <c r="O33" s="3">
        <f t="shared" si="5"/>
        <v>3.5663912735683923E-4</v>
      </c>
      <c r="P33" s="14">
        <f t="shared" si="2"/>
        <v>7.1327825471367845</v>
      </c>
    </row>
    <row r="34" spans="1:16" x14ac:dyDescent="0.25">
      <c r="A34" s="2">
        <v>3.1E-4</v>
      </c>
      <c r="B34" s="3" cm="1">
        <f t="array" ref="B34">SQRT((4*POWER(ttotal8,2)*st_a[[#This Row],[s(ta)]])/(9*s_t))</f>
        <v>2.6787918780535987E-2</v>
      </c>
      <c r="C34" s="3">
        <f t="shared" si="3"/>
        <v>4.3560494579949344E-4</v>
      </c>
      <c r="D34" s="14">
        <f t="shared" si="0"/>
        <v>8.7120989159898681</v>
      </c>
      <c r="G34" s="8">
        <v>1.0600000000000002E-3</v>
      </c>
      <c r="H34" s="3" cm="1">
        <f t="array" ref="H34">((2*ttotal8)/(3*s_t))*(st_b[[#This Row],[s(tb)]]+(s_t/4))</f>
        <v>5.0277777777777775E-2</v>
      </c>
      <c r="I34" s="3">
        <f t="shared" si="4"/>
        <v>2.7777777777777263E-4</v>
      </c>
      <c r="J34" s="14">
        <f t="shared" si="1"/>
        <v>5.5555555555554523</v>
      </c>
      <c r="M34" s="8">
        <v>2.5600000000000002E-3</v>
      </c>
      <c r="N34" s="3">
        <f>(-INDEX(Overview[b],8)+SQRT(POWER(INDEX(Overview[b],8),2)-(4*INDEX(Overview[a],8)*st_c[[#This Row],[c]])))/(2*INDEX(Overview[a],8))</f>
        <v>9.3085763074788719E-2</v>
      </c>
      <c r="O34" s="3">
        <f t="shared" si="5"/>
        <v>3.6062429318385603E-4</v>
      </c>
      <c r="P34" s="14">
        <f t="shared" si="2"/>
        <v>7.2124858636771201</v>
      </c>
    </row>
    <row r="35" spans="1:16" x14ac:dyDescent="0.25">
      <c r="A35" s="2">
        <v>3.2000000000000003E-4</v>
      </c>
      <c r="B35" s="3" cm="1">
        <f t="array" ref="B35">SQRT((4*POWER(ttotal8,2)*st_a[[#This Row],[s(ta)]])/(9*s_t))</f>
        <v>2.7216552697590869E-2</v>
      </c>
      <c r="C35" s="3">
        <f t="shared" si="3"/>
        <v>4.2863391705488113E-4</v>
      </c>
      <c r="D35" s="14">
        <f t="shared" si="0"/>
        <v>8.5726783410976228</v>
      </c>
      <c r="G35" s="8">
        <v>1.07E-3</v>
      </c>
      <c r="H35" s="3" cm="1">
        <f t="array" ref="H35">((2*ttotal8)/(3*s_t))*(st_b[[#This Row],[s(tb)]]+(s_t/4))</f>
        <v>5.0555555555555548E-2</v>
      </c>
      <c r="I35" s="3">
        <f t="shared" si="4"/>
        <v>2.7777777777777263E-4</v>
      </c>
      <c r="J35" s="14">
        <f t="shared" si="1"/>
        <v>5.5555555555554523</v>
      </c>
      <c r="M35" s="8">
        <v>2.5700000000000002E-3</v>
      </c>
      <c r="N35" s="3">
        <f>(-INDEX(Overview[b],8)+SQRT(POWER(INDEX(Overview[b],8),2)-(4*INDEX(Overview[a],8)*st_c[[#This Row],[c]])))/(2*INDEX(Overview[a],8))</f>
        <v>9.3450509189998504E-2</v>
      </c>
      <c r="O35" s="3">
        <f t="shared" si="5"/>
        <v>3.6474611520978528E-4</v>
      </c>
      <c r="P35" s="14">
        <f t="shared" si="2"/>
        <v>7.2949223041957056</v>
      </c>
    </row>
    <row r="36" spans="1:16" x14ac:dyDescent="0.25">
      <c r="A36" s="2">
        <v>3.3000000000000005E-4</v>
      </c>
      <c r="B36" s="3" cm="1">
        <f t="array" ref="B36">SQRT((4*POWER(ttotal8,2)*st_a[[#This Row],[s(ta)]])/(9*s_t))</f>
        <v>2.7638539919628335E-2</v>
      </c>
      <c r="C36" s="3">
        <f t="shared" si="3"/>
        <v>4.2198722203746694E-4</v>
      </c>
      <c r="D36" s="14">
        <f t="shared" si="0"/>
        <v>8.4397444407493385</v>
      </c>
      <c r="G36" s="8">
        <v>1.08E-3</v>
      </c>
      <c r="H36" s="3" cm="1">
        <f t="array" ref="H36">((2*ttotal8)/(3*s_t))*(st_b[[#This Row],[s(tb)]]+(s_t/4))</f>
        <v>5.0833333333333328E-2</v>
      </c>
      <c r="I36" s="3">
        <f t="shared" si="4"/>
        <v>2.7777777777777957E-4</v>
      </c>
      <c r="J36" s="14">
        <f t="shared" si="1"/>
        <v>5.5555555555555909</v>
      </c>
      <c r="M36" s="8">
        <v>2.5800000000000003E-3</v>
      </c>
      <c r="N36" s="3">
        <f>(-INDEX(Overview[b],8)+SQRT(POWER(INDEX(Overview[b],8),2)-(4*INDEX(Overview[a],8)*st_c[[#This Row],[c]])))/(2*INDEX(Overview[a],8))</f>
        <v>9.3819521776883852E-2</v>
      </c>
      <c r="O36" s="3">
        <f t="shared" si="5"/>
        <v>3.6901258688534777E-4</v>
      </c>
      <c r="P36" s="14">
        <f t="shared" si="2"/>
        <v>7.3802517377069554</v>
      </c>
    </row>
    <row r="37" spans="1:16" x14ac:dyDescent="0.25">
      <c r="A37" s="2">
        <v>3.4000000000000002E-4</v>
      </c>
      <c r="B37" s="3" cm="1">
        <f t="array" ref="B37">SQRT((4*POWER(ttotal8,2)*st_a[[#This Row],[s(ta)]])/(9*s_t))</f>
        <v>2.8054180384339107E-2</v>
      </c>
      <c r="C37" s="3">
        <f t="shared" si="3"/>
        <v>4.1564046471077171E-4</v>
      </c>
      <c r="D37" s="14">
        <f t="shared" si="0"/>
        <v>8.3128092942154339</v>
      </c>
      <c r="G37" s="8">
        <v>1.09E-3</v>
      </c>
      <c r="H37" s="3" cm="1">
        <f t="array" ref="H37">((2*ttotal8)/(3*s_t))*(st_b[[#This Row],[s(tb)]]+(s_t/4))</f>
        <v>5.1111111111111107E-2</v>
      </c>
      <c r="I37" s="3">
        <f t="shared" si="4"/>
        <v>2.7777777777777957E-4</v>
      </c>
      <c r="J37" s="14">
        <f t="shared" si="1"/>
        <v>5.5555555555555909</v>
      </c>
      <c r="M37" s="8">
        <v>2.5900000000000003E-3</v>
      </c>
      <c r="N37" s="3">
        <f>(-INDEX(Overview[b],8)+SQRT(POWER(INDEX(Overview[b],8),2)-(4*INDEX(Overview[a],8)*st_c[[#This Row],[c]])))/(2*INDEX(Overview[a],8))</f>
        <v>9.4192954148862751E-2</v>
      </c>
      <c r="O37" s="3">
        <f t="shared" si="5"/>
        <v>3.73432371978899E-4</v>
      </c>
      <c r="P37" s="14">
        <f t="shared" si="2"/>
        <v>7.4686474395779801</v>
      </c>
    </row>
    <row r="38" spans="1:16" x14ac:dyDescent="0.25">
      <c r="A38" s="2">
        <v>3.5000000000000005E-4</v>
      </c>
      <c r="B38" s="3" cm="1">
        <f t="array" ref="B38">SQRT((4*POWER(ttotal8,2)*st_a[[#This Row],[s(ta)]])/(9*s_t))</f>
        <v>2.8463752127665554E-2</v>
      </c>
      <c r="C38" s="3">
        <f t="shared" si="3"/>
        <v>4.0957174332644647E-4</v>
      </c>
      <c r="D38" s="14">
        <f t="shared" si="0"/>
        <v>8.1914348665289296</v>
      </c>
      <c r="G38" s="8">
        <v>1.1000000000000001E-3</v>
      </c>
      <c r="H38" s="3" cm="1">
        <f t="array" ref="H38">((2*ttotal8)/(3*s_t))*(st_b[[#This Row],[s(tb)]]+(s_t/4))</f>
        <v>5.1388888888888887E-2</v>
      </c>
      <c r="I38" s="3">
        <f t="shared" si="4"/>
        <v>2.7777777777777957E-4</v>
      </c>
      <c r="J38" s="14">
        <f t="shared" si="1"/>
        <v>5.5555555555555909</v>
      </c>
      <c r="M38" s="8">
        <v>2.6000000000000003E-3</v>
      </c>
      <c r="N38" s="3">
        <f>(-INDEX(Overview[b],8)+SQRT(POWER(INDEX(Overview[b],8),2)-(4*INDEX(Overview[a],8)*st_c[[#This Row],[c]])))/(2*INDEX(Overview[a],8))</f>
        <v>9.4570969027490778E-2</v>
      </c>
      <c r="O38" s="3">
        <f t="shared" si="5"/>
        <v>3.7801487862802741E-4</v>
      </c>
      <c r="P38" s="14">
        <f t="shared" si="2"/>
        <v>7.5602975725605477</v>
      </c>
    </row>
    <row r="39" spans="1:16" x14ac:dyDescent="0.25">
      <c r="A39" s="2">
        <v>3.6000000000000002E-4</v>
      </c>
      <c r="B39" s="3" cm="1">
        <f t="array" ref="B39">SQRT((4*POWER(ttotal8,2)*st_a[[#This Row],[s(ta)]])/(9*s_t))</f>
        <v>2.8867513459481291E-2</v>
      </c>
      <c r="C39" s="3">
        <f t="shared" si="3"/>
        <v>4.0376133181573709E-4</v>
      </c>
      <c r="D39" s="14">
        <f t="shared" si="0"/>
        <v>8.075226636314742</v>
      </c>
      <c r="G39" s="8">
        <v>1.1100000000000001E-3</v>
      </c>
      <c r="H39" s="3" cm="1">
        <f t="array" ref="H39">((2*ttotal8)/(3*s_t))*(st_b[[#This Row],[s(tb)]]+(s_t/4))</f>
        <v>5.1666666666666666E-2</v>
      </c>
      <c r="I39" s="3">
        <f t="shared" si="4"/>
        <v>2.7777777777777957E-4</v>
      </c>
      <c r="J39" s="14">
        <f t="shared" si="1"/>
        <v>5.5555555555555909</v>
      </c>
      <c r="M39" s="8">
        <v>2.6100000000000003E-3</v>
      </c>
      <c r="N39" s="3">
        <f>(-INDEX(Overview[b],8)+SQRT(POWER(INDEX(Overview[b],8),2)-(4*INDEX(Overview[a],8)*st_c[[#This Row],[c]])))/(2*INDEX(Overview[a],8))</f>
        <v>9.4953739371133467E-2</v>
      </c>
      <c r="O39" s="3">
        <f t="shared" si="5"/>
        <v>3.8277034364268825E-4</v>
      </c>
      <c r="P39" s="14">
        <f t="shared" si="2"/>
        <v>7.6554068728537645</v>
      </c>
    </row>
    <row r="40" spans="1:16" x14ac:dyDescent="0.25">
      <c r="A40" s="2">
        <v>3.7000000000000005E-4</v>
      </c>
      <c r="B40" s="3" cm="1">
        <f t="array" ref="B40">SQRT((4*POWER(ttotal8,2)*st_a[[#This Row],[s(ta)]])/(9*s_t))</f>
        <v>2.9265704869035389E-2</v>
      </c>
      <c r="C40" s="3">
        <f t="shared" si="3"/>
        <v>3.981914095540981E-4</v>
      </c>
      <c r="D40" s="14">
        <f t="shared" si="0"/>
        <v>7.9638281910819613</v>
      </c>
      <c r="G40" s="8">
        <v>1.1200000000000001E-3</v>
      </c>
      <c r="H40" s="3" cm="1">
        <f t="array" ref="H40">((2*ttotal8)/(3*s_t))*(st_b[[#This Row],[s(tb)]]+(s_t/4))</f>
        <v>5.1944444444444446E-2</v>
      </c>
      <c r="I40" s="3">
        <f t="shared" si="4"/>
        <v>2.7777777777777957E-4</v>
      </c>
      <c r="J40" s="14">
        <f t="shared" si="1"/>
        <v>5.5555555555555909</v>
      </c>
      <c r="M40" s="8">
        <v>2.6200000000000004E-3</v>
      </c>
      <c r="N40" s="3">
        <f>(-INDEX(Overview[b],8)+SQRT(POWER(INDEX(Overview[b],8),2)-(4*INDEX(Overview[a],8)*st_c[[#This Row],[c]])))/(2*INDEX(Overview[a],8))</f>
        <v>9.5341449299913061E-2</v>
      </c>
      <c r="O40" s="3">
        <f t="shared" si="5"/>
        <v>3.8770992877959487E-4</v>
      </c>
      <c r="P40" s="14">
        <f t="shared" si="2"/>
        <v>7.7541985755918974</v>
      </c>
    </row>
    <row r="41" spans="1:16" x14ac:dyDescent="0.25">
      <c r="A41" s="2">
        <v>3.8000000000000002E-4</v>
      </c>
      <c r="B41" s="3" cm="1">
        <f t="array" ref="B41">SQRT((4*POWER(ttotal8,2)*st_a[[#This Row],[s(ta)]])/(9*s_t))</f>
        <v>2.9658550700086977E-2</v>
      </c>
      <c r="C41" s="3">
        <f t="shared" si="3"/>
        <v>3.9284583105158796E-4</v>
      </c>
      <c r="D41" s="14">
        <f t="shared" si="0"/>
        <v>7.8569166210317585</v>
      </c>
      <c r="G41" s="8">
        <v>1.1300000000000001E-3</v>
      </c>
      <c r="H41" s="3" cm="1">
        <f t="array" ref="H41">((2*ttotal8)/(3*s_t))*(st_b[[#This Row],[s(tb)]]+(s_t/4))</f>
        <v>5.2222222222222218E-2</v>
      </c>
      <c r="I41" s="3">
        <f t="shared" si="4"/>
        <v>2.7777777777777263E-4</v>
      </c>
      <c r="J41" s="14">
        <f t="shared" si="1"/>
        <v>5.5555555555554523</v>
      </c>
      <c r="M41" s="8">
        <v>2.6300000000000004E-3</v>
      </c>
      <c r="N41" s="3">
        <f>(-INDEX(Overview[b],8)+SQRT(POWER(INDEX(Overview[b],8),2)-(4*INDEX(Overview[a],8)*st_c[[#This Row],[c]])))/(2*INDEX(Overview[a],8))</f>
        <v>9.5734295130964653E-2</v>
      </c>
      <c r="O41" s="3">
        <f t="shared" si="5"/>
        <v>3.9284583105159143E-4</v>
      </c>
      <c r="P41" s="14">
        <f t="shared" si="2"/>
        <v>7.8569166210318286</v>
      </c>
    </row>
    <row r="42" spans="1:16" x14ac:dyDescent="0.25">
      <c r="A42" s="2">
        <v>3.9000000000000005E-4</v>
      </c>
      <c r="B42" s="3" cm="1">
        <f t="array" ref="B42">SQRT((4*POWER(ttotal8,2)*st_a[[#This Row],[s(ta)]])/(9*s_t))</f>
        <v>3.0046260628866579E-2</v>
      </c>
      <c r="C42" s="3">
        <f t="shared" si="3"/>
        <v>3.8770992877960181E-4</v>
      </c>
      <c r="D42" s="14">
        <f t="shared" si="0"/>
        <v>7.754198575592036</v>
      </c>
      <c r="G42" s="8">
        <v>1.1400000000000002E-3</v>
      </c>
      <c r="H42" s="3" cm="1">
        <f t="array" ref="H42">((2*ttotal8)/(3*s_t))*(st_b[[#This Row],[s(tb)]]+(s_t/4))</f>
        <v>5.2499999999999998E-2</v>
      </c>
      <c r="I42" s="3">
        <f t="shared" si="4"/>
        <v>2.7777777777777957E-4</v>
      </c>
      <c r="J42" s="14">
        <f t="shared" si="1"/>
        <v>5.5555555555555909</v>
      </c>
      <c r="M42" s="8">
        <v>2.6400000000000004E-3</v>
      </c>
      <c r="N42" s="3">
        <f>(-INDEX(Overview[b],8)+SQRT(POWER(INDEX(Overview[b],8),2)-(4*INDEX(Overview[a],8)*st_c[[#This Row],[c]])))/(2*INDEX(Overview[a],8))</f>
        <v>9.6132486540518744E-2</v>
      </c>
      <c r="O42" s="3">
        <f t="shared" si="5"/>
        <v>3.9819140955409116E-4</v>
      </c>
      <c r="P42" s="14">
        <f t="shared" si="2"/>
        <v>7.9638281910818227</v>
      </c>
    </row>
    <row r="43" spans="1:16" x14ac:dyDescent="0.25">
      <c r="A43" s="2">
        <v>4.0000000000000002E-4</v>
      </c>
      <c r="B43" s="3" cm="1">
        <f t="array" ref="B43">SQRT((4*POWER(ttotal8,2)*st_a[[#This Row],[s(ta)]])/(9*s_t))</f>
        <v>3.0429030972509229E-2</v>
      </c>
      <c r="C43" s="3">
        <f t="shared" si="3"/>
        <v>3.8277034364265008E-4</v>
      </c>
      <c r="D43" s="14">
        <f t="shared" si="0"/>
        <v>7.6554068728530016</v>
      </c>
      <c r="G43" s="8">
        <v>1.1500000000000002E-3</v>
      </c>
      <c r="H43" s="3" cm="1">
        <f t="array" ref="H43">((2*ttotal8)/(3*s_t))*(st_b[[#This Row],[s(tb)]]+(s_t/4))</f>
        <v>5.2777777777777778E-2</v>
      </c>
      <c r="I43" s="3">
        <f t="shared" si="4"/>
        <v>2.7777777777777957E-4</v>
      </c>
      <c r="J43" s="14">
        <f t="shared" si="1"/>
        <v>5.5555555555555909</v>
      </c>
      <c r="M43" s="8">
        <v>2.65E-3</v>
      </c>
      <c r="N43" s="3">
        <f>(-INDEX(Overview[b],8)+SQRT(POWER(INDEX(Overview[b],8),2)-(4*INDEX(Overview[a],8)*st_c[[#This Row],[c]])))/(2*INDEX(Overview[a],8))</f>
        <v>9.6536247872334419E-2</v>
      </c>
      <c r="O43" s="3">
        <f t="shared" si="5"/>
        <v>4.0376133181567464E-4</v>
      </c>
      <c r="P43" s="14">
        <f t="shared" si="2"/>
        <v>8.0752266363134932</v>
      </c>
    </row>
    <row r="44" spans="1:16" x14ac:dyDescent="0.25">
      <c r="A44" s="2">
        <v>4.1000000000000005E-4</v>
      </c>
      <c r="B44" s="3" cm="1">
        <f t="array" ref="B44">SQRT((4*POWER(ttotal8,2)*st_a[[#This Row],[s(ta)]])/(9*s_t))</f>
        <v>3.0807045851137273E-2</v>
      </c>
      <c r="C44" s="3">
        <f t="shared" si="3"/>
        <v>3.7801487862804475E-4</v>
      </c>
      <c r="D44" s="14">
        <f t="shared" si="0"/>
        <v>7.560297572560895</v>
      </c>
      <c r="G44" s="8">
        <v>1.16E-3</v>
      </c>
      <c r="H44" s="3" cm="1">
        <f t="array" ref="H44">((2*ttotal8)/(3*s_t))*(st_b[[#This Row],[s(tb)]]+(s_t/4))</f>
        <v>5.305555555555555E-2</v>
      </c>
      <c r="I44" s="3">
        <f t="shared" si="4"/>
        <v>2.7777777777777263E-4</v>
      </c>
      <c r="J44" s="14">
        <f t="shared" si="1"/>
        <v>5.5555555555554523</v>
      </c>
      <c r="M44" s="8">
        <v>2.66E-3</v>
      </c>
      <c r="N44" s="3">
        <f>(-INDEX(Overview[b],8)+SQRT(POWER(INDEX(Overview[b],8),2)-(4*INDEX(Overview[a],8)*st_c[[#This Row],[c]])))/(2*INDEX(Overview[a],8))</f>
        <v>9.6945819615660914E-2</v>
      </c>
      <c r="O44" s="3">
        <f t="shared" si="5"/>
        <v>4.0957174332649504E-4</v>
      </c>
      <c r="P44" s="14">
        <f t="shared" si="2"/>
        <v>8.1914348665299013</v>
      </c>
    </row>
    <row r="45" spans="1:16" x14ac:dyDescent="0.25">
      <c r="A45" s="2">
        <v>4.2000000000000002E-4</v>
      </c>
      <c r="B45" s="3" cm="1">
        <f t="array" ref="B45">SQRT((4*POWER(ttotal8,2)*st_a[[#This Row],[s(ta)]])/(9*s_t))</f>
        <v>3.1180478223116179E-2</v>
      </c>
      <c r="C45" s="3">
        <f t="shared" si="3"/>
        <v>3.7343237197890594E-4</v>
      </c>
      <c r="D45" s="14">
        <f t="shared" si="0"/>
        <v>7.4686474395781186</v>
      </c>
      <c r="G45" s="8">
        <v>1.17E-3</v>
      </c>
      <c r="H45" s="3" cm="1">
        <f t="array" ref="H45">((2*ttotal8)/(3*s_t))*(st_b[[#This Row],[s(tb)]]+(s_t/4))</f>
        <v>5.333333333333333E-2</v>
      </c>
      <c r="I45" s="3">
        <f t="shared" si="4"/>
        <v>2.7777777777777957E-4</v>
      </c>
      <c r="J45" s="14">
        <f t="shared" si="1"/>
        <v>5.5555555555555909</v>
      </c>
      <c r="M45" s="8">
        <v>2.6700000000000001E-3</v>
      </c>
      <c r="N45" s="3">
        <f>(-INDEX(Overview[b],8)+SQRT(POWER(INDEX(Overview[b],8),2)-(4*INDEX(Overview[a],8)*st_c[[#This Row],[c]])))/(2*INDEX(Overview[a],8))</f>
        <v>9.736146008037172E-2</v>
      </c>
      <c r="O45" s="3">
        <f t="shared" si="5"/>
        <v>4.156404647108064E-4</v>
      </c>
      <c r="P45" s="14">
        <f t="shared" si="2"/>
        <v>8.3128092942161285</v>
      </c>
    </row>
    <row r="46" spans="1:16" x14ac:dyDescent="0.25">
      <c r="A46" s="2">
        <v>4.3000000000000004E-4</v>
      </c>
      <c r="B46" s="3" cm="1">
        <f t="array" ref="B46">SQRT((4*POWER(ttotal8,2)*st_a[[#This Row],[s(ta)]])/(9*s_t))</f>
        <v>3.1549490810001524E-2</v>
      </c>
      <c r="C46" s="3">
        <f t="shared" si="3"/>
        <v>3.690125868853443E-4</v>
      </c>
      <c r="D46" s="14">
        <f t="shared" si="0"/>
        <v>7.3802517377068853</v>
      </c>
      <c r="G46" s="8">
        <v>1.1800000000000001E-3</v>
      </c>
      <c r="H46" s="3" cm="1">
        <f t="array" ref="H46">((2*ttotal8)/(3*s_t))*(st_b[[#This Row],[s(tb)]]+(s_t/4))</f>
        <v>5.3611111111111109E-2</v>
      </c>
      <c r="I46" s="3">
        <f t="shared" si="4"/>
        <v>2.7777777777777957E-4</v>
      </c>
      <c r="J46" s="14">
        <f t="shared" si="1"/>
        <v>5.5555555555555909</v>
      </c>
      <c r="M46" s="8">
        <v>2.6800000000000001E-3</v>
      </c>
      <c r="N46" s="3">
        <f>(-INDEX(Overview[b],8)+SQRT(POWER(INDEX(Overview[b],8),2)-(4*INDEX(Overview[a],8)*st_c[[#This Row],[c]])))/(2*INDEX(Overview[a],8))</f>
        <v>9.7783447302409135E-2</v>
      </c>
      <c r="O46" s="3">
        <f t="shared" si="5"/>
        <v>4.219872220374149E-4</v>
      </c>
      <c r="P46" s="14">
        <f t="shared" si="2"/>
        <v>8.4397444407482975</v>
      </c>
    </row>
    <row r="47" spans="1:16" x14ac:dyDescent="0.25">
      <c r="A47" s="2">
        <v>4.4000000000000002E-4</v>
      </c>
      <c r="B47" s="3" cm="1">
        <f t="array" ref="B47">SQRT((4*POWER(ttotal8,2)*st_a[[#This Row],[s(ta)]])/(9*s_t))</f>
        <v>3.1914236925211274E-2</v>
      </c>
      <c r="C47" s="3">
        <f t="shared" si="3"/>
        <v>3.6474611520975059E-4</v>
      </c>
      <c r="D47" s="14">
        <f t="shared" si="0"/>
        <v>7.2949223041950111</v>
      </c>
      <c r="G47" s="8">
        <v>1.1900000000000001E-3</v>
      </c>
      <c r="H47" s="3" cm="1">
        <f t="array" ref="H47">((2*ttotal8)/(3*s_t))*(st_b[[#This Row],[s(tb)]]+(s_t/4))</f>
        <v>5.3888888888888889E-2</v>
      </c>
      <c r="I47" s="3">
        <f t="shared" si="4"/>
        <v>2.7777777777777957E-4</v>
      </c>
      <c r="J47" s="14">
        <f t="shared" si="1"/>
        <v>5.5555555555555909</v>
      </c>
      <c r="M47" s="8">
        <v>2.6900000000000001E-3</v>
      </c>
      <c r="N47" s="3">
        <f>(-INDEX(Overview[b],8)+SQRT(POWER(INDEX(Overview[b],8),2)-(4*INDEX(Overview[a],8)*st_c[[#This Row],[c]])))/(2*INDEX(Overview[a],8))</f>
        <v>9.8212081219464009E-2</v>
      </c>
      <c r="O47" s="3">
        <f t="shared" si="5"/>
        <v>4.2863391705487419E-4</v>
      </c>
      <c r="P47" s="14">
        <f t="shared" si="2"/>
        <v>8.5726783410974843</v>
      </c>
    </row>
    <row r="48" spans="1:16" x14ac:dyDescent="0.25">
      <c r="A48" s="2">
        <v>4.5000000000000004E-4</v>
      </c>
      <c r="B48" s="3" cm="1">
        <f t="array" ref="B48">SQRT((4*POWER(ttotal8,2)*st_a[[#This Row],[s(ta)]])/(9*s_t))</f>
        <v>3.2274861218395144E-2</v>
      </c>
      <c r="C48" s="3">
        <f t="shared" si="3"/>
        <v>3.606242931838699E-4</v>
      </c>
      <c r="D48" s="14">
        <f t="shared" si="0"/>
        <v>7.2124858636773981</v>
      </c>
      <c r="G48" s="8">
        <v>1.2000000000000001E-3</v>
      </c>
      <c r="H48" s="3" cm="1">
        <f t="array" ref="H48">((2*ttotal8)/(3*s_t))*(st_b[[#This Row],[s(tb)]]+(s_t/4))</f>
        <v>5.4166666666666662E-2</v>
      </c>
      <c r="I48" s="3">
        <f t="shared" si="4"/>
        <v>2.7777777777777263E-4</v>
      </c>
      <c r="J48" s="14">
        <f t="shared" si="1"/>
        <v>5.5555555555554523</v>
      </c>
      <c r="M48" s="8">
        <v>2.7000000000000001E-3</v>
      </c>
      <c r="N48" s="3">
        <f>(-INDEX(Overview[b],8)+SQRT(POWER(INDEX(Overview[b],8),2)-(4*INDEX(Overview[a],8)*st_c[[#This Row],[c]])))/(2*INDEX(Overview[a],8))</f>
        <v>9.8647686165263537E-2</v>
      </c>
      <c r="O48" s="3">
        <f t="shared" si="5"/>
        <v>4.3560494579952813E-4</v>
      </c>
      <c r="P48" s="14">
        <f t="shared" si="2"/>
        <v>8.7120989159905626</v>
      </c>
    </row>
    <row r="49" spans="1:16" x14ac:dyDescent="0.25">
      <c r="A49" s="2">
        <v>4.6000000000000001E-4</v>
      </c>
      <c r="B49" s="3" cm="1">
        <f t="array" ref="B49">SQRT((4*POWER(ttotal8,2)*st_a[[#This Row],[s(ta)]])/(9*s_t))</f>
        <v>3.2631500345752032E-2</v>
      </c>
      <c r="C49" s="3">
        <f t="shared" si="3"/>
        <v>3.566391273568878E-4</v>
      </c>
      <c r="D49" s="14">
        <f t="shared" si="0"/>
        <v>7.1327825471377553</v>
      </c>
      <c r="G49" s="8">
        <v>1.2100000000000001E-3</v>
      </c>
      <c r="H49" s="3" cm="1">
        <f t="array" ref="H49">((2*ttotal8)/(3*s_t))*(st_b[[#This Row],[s(tb)]]+(s_t/4))</f>
        <v>5.4444444444444434E-2</v>
      </c>
      <c r="I49" s="3">
        <f t="shared" si="4"/>
        <v>2.7777777777777263E-4</v>
      </c>
      <c r="J49" s="14">
        <f t="shared" si="1"/>
        <v>5.5555555555554523</v>
      </c>
      <c r="M49" s="8">
        <v>2.7100000000000002E-3</v>
      </c>
      <c r="N49" s="3">
        <f>(-INDEX(Overview[b],8)+SQRT(POWER(INDEX(Overview[b],8),2)-(4*INDEX(Overview[a],8)*st_c[[#This Row],[c]])))/(2*INDEX(Overview[a],8))</f>
        <v>9.9090613741419989E-2</v>
      </c>
      <c r="O49" s="3">
        <f t="shared" si="5"/>
        <v>4.4292757615645162E-4</v>
      </c>
      <c r="P49" s="14">
        <f t="shared" si="2"/>
        <v>8.8585515231290319</v>
      </c>
    </row>
    <row r="50" spans="1:16" x14ac:dyDescent="0.25">
      <c r="A50" s="2">
        <v>4.7000000000000004E-4</v>
      </c>
      <c r="B50" s="3" cm="1">
        <f t="array" ref="B50">SQRT((4*POWER(ttotal8,2)*st_a[[#This Row],[s(ta)]])/(9*s_t))</f>
        <v>3.2984283575105328E-2</v>
      </c>
      <c r="C50" s="3">
        <f t="shared" si="3"/>
        <v>3.5278322935329565E-4</v>
      </c>
      <c r="D50" s="14">
        <f t="shared" si="0"/>
        <v>7.0556645870659125</v>
      </c>
      <c r="G50" s="8">
        <v>1.2200000000000002E-3</v>
      </c>
      <c r="H50" s="3" cm="1">
        <f t="array" ref="H50">((2*ttotal8)/(3*s_t))*(st_b[[#This Row],[s(tb)]]+(s_t/4))</f>
        <v>5.4722222222222228E-2</v>
      </c>
      <c r="I50" s="3">
        <f t="shared" si="4"/>
        <v>2.7777777777779344E-4</v>
      </c>
      <c r="J50" s="14">
        <f t="shared" si="1"/>
        <v>5.5555555555558689</v>
      </c>
      <c r="M50" s="8">
        <v>2.7200000000000002E-3</v>
      </c>
      <c r="N50" s="3">
        <f>(-INDEX(Overview[b],8)+SQRT(POWER(INDEX(Overview[b],8),2)-(4*INDEX(Overview[a],8)*st_c[[#This Row],[c]])))/(2*INDEX(Overview[a],8))</f>
        <v>9.9541246139134246E-2</v>
      </c>
      <c r="O50" s="3">
        <f t="shared" si="5"/>
        <v>4.5063239771425678E-4</v>
      </c>
      <c r="P50" s="14">
        <f t="shared" si="2"/>
        <v>9.0126479542851357</v>
      </c>
    </row>
    <row r="51" spans="1:16" x14ac:dyDescent="0.25">
      <c r="A51" s="2">
        <v>4.8000000000000007E-4</v>
      </c>
      <c r="B51" s="3" cm="1">
        <f t="array" ref="B51">SQRT((4*POWER(ttotal8,2)*st_a[[#This Row],[s(ta)]])/(9*s_t))</f>
        <v>3.333333333333334E-2</v>
      </c>
      <c r="C51" s="3">
        <f t="shared" si="3"/>
        <v>3.4904975822801221E-4</v>
      </c>
      <c r="D51" s="14">
        <f t="shared" si="0"/>
        <v>6.9809951645602437</v>
      </c>
      <c r="G51" s="8">
        <v>1.2300000000000002E-3</v>
      </c>
      <c r="H51" s="3" cm="1">
        <f t="array" ref="H51">((2*ttotal8)/(3*s_t))*(st_b[[#This Row],[s(tb)]]+(s_t/4))</f>
        <v>5.4999999999999993E-2</v>
      </c>
      <c r="I51" s="3">
        <f t="shared" si="4"/>
        <v>2.7777777777776569E-4</v>
      </c>
      <c r="J51" s="14">
        <f t="shared" si="1"/>
        <v>5.5555555555553138</v>
      </c>
      <c r="M51" s="8">
        <v>2.7300000000000002E-3</v>
      </c>
      <c r="N51" s="3">
        <f>(-INDEX(Overview[b],8)+SQRT(POWER(INDEX(Overview[b],8),2)-(4*INDEX(Overview[a],8)*st_c[[#This Row],[c]])))/(2*INDEX(Overview[a],8))</f>
        <v>0.1</v>
      </c>
      <c r="O51" s="3">
        <f t="shared" si="5"/>
        <v>4.5875386086575987E-4</v>
      </c>
      <c r="P51" s="14">
        <f t="shared" si="2"/>
        <v>9.1750772173151969</v>
      </c>
    </row>
    <row r="52" spans="1:16" x14ac:dyDescent="0.25">
      <c r="A52" s="2">
        <v>4.9000000000000009E-4</v>
      </c>
      <c r="B52" s="3" cm="1">
        <f t="array" ref="B52">SQRT((4*POWER(ttotal8,2)*st_a[[#This Row],[s(ta)]])/(9*s_t))</f>
        <v>3.3678765702728174E-2</v>
      </c>
      <c r="C52" s="3">
        <f t="shared" si="3"/>
        <v>3.4543236939483385E-4</v>
      </c>
      <c r="D52" s="14">
        <f t="shared" si="0"/>
        <v>6.9086473878966768</v>
      </c>
      <c r="G52" s="8">
        <v>1.24E-3</v>
      </c>
      <c r="H52" s="3" cm="1">
        <f t="array" ref="H52">((2*ttotal8)/(3*s_t))*(st_b[[#This Row],[s(tb)]]+(s_t/4))</f>
        <v>5.5277777777777773E-2</v>
      </c>
      <c r="I52" s="3">
        <f t="shared" si="4"/>
        <v>2.7777777777777957E-4</v>
      </c>
      <c r="J52" s="14">
        <f t="shared" si="1"/>
        <v>5.5555555555555909</v>
      </c>
      <c r="M52" s="8">
        <v>2.7400000000000002E-3</v>
      </c>
      <c r="N52" s="3">
        <f>(-INDEX(Overview[b],8)+SQRT(POWER(INDEX(Overview[b],8),2)-(4*INDEX(Overview[a],8)*st_c[[#This Row],[c]])))/(2*INDEX(Overview[a],8))</f>
        <v>0.1004673309268671</v>
      </c>
      <c r="O52" s="3">
        <f t="shared" si="5"/>
        <v>4.6733092686709887E-4</v>
      </c>
      <c r="P52" s="14">
        <f t="shared" si="2"/>
        <v>9.3466185373419766</v>
      </c>
    </row>
    <row r="53" spans="1:16" x14ac:dyDescent="0.25">
      <c r="A53" s="2">
        <v>5.0000000000000001E-4</v>
      </c>
      <c r="B53" s="3" cm="1">
        <f t="array" ref="B53">SQRT((4*POWER(ttotal8,2)*st_a[[#This Row],[s(ta)]])/(9*s_t))</f>
        <v>3.4020690871988585E-2</v>
      </c>
      <c r="C53" s="3">
        <f t="shared" si="3"/>
        <v>3.4192516926041111E-4</v>
      </c>
      <c r="D53" s="14">
        <f t="shared" si="0"/>
        <v>6.838503385208222</v>
      </c>
      <c r="G53" s="8">
        <v>1.25E-3</v>
      </c>
      <c r="H53" s="3" cm="1">
        <f t="array" ref="H53">((2*ttotal8)/(3*s_t))*(st_b[[#This Row],[s(tb)]]+(s_t/4))</f>
        <v>5.5555555555555552E-2</v>
      </c>
      <c r="I53" s="3">
        <f t="shared" si="4"/>
        <v>2.7777777777777957E-4</v>
      </c>
      <c r="J53" s="14">
        <f t="shared" si="1"/>
        <v>5.5555555555555909</v>
      </c>
      <c r="M53" s="8">
        <v>2.7500000000000003E-3</v>
      </c>
      <c r="N53" s="3">
        <f>(-INDEX(Overview[b],8)+SQRT(POWER(INDEX(Overview[b],8),2)-(4*INDEX(Overview[a],8)*st_c[[#This Row],[c]])))/(2*INDEX(Overview[a],8))</f>
        <v>0.10094373878376564</v>
      </c>
      <c r="O53" s="3">
        <f t="shared" si="5"/>
        <v>4.7640785689853637E-4</v>
      </c>
      <c r="P53" s="14">
        <f t="shared" si="2"/>
        <v>9.5281571379707266</v>
      </c>
    </row>
    <row r="54" spans="1:16" x14ac:dyDescent="0.25">
      <c r="A54" s="2">
        <v>5.1000000000000004E-4</v>
      </c>
      <c r="B54" s="3" cm="1">
        <f t="array" ref="B54">SQRT((4*POWER(ttotal8,2)*st_a[[#This Row],[s(ta)]])/(9*s_t))</f>
        <v>3.4359213546813837E-2</v>
      </c>
      <c r="C54" s="3">
        <f t="shared" si="3"/>
        <v>3.3852267482525206E-4</v>
      </c>
      <c r="D54" s="14">
        <f t="shared" si="0"/>
        <v>6.7704534965050405</v>
      </c>
      <c r="G54" s="8">
        <v>1.2600000000000001E-3</v>
      </c>
      <c r="H54" s="3" cm="1">
        <f t="array" ref="H54">((2*ttotal8)/(3*s_t))*(st_b[[#This Row],[s(tb)]]+(s_t/4))</f>
        <v>5.5833333333333332E-2</v>
      </c>
      <c r="I54" s="3">
        <f t="shared" si="4"/>
        <v>2.7777777777777957E-4</v>
      </c>
      <c r="J54" s="14">
        <f t="shared" si="1"/>
        <v>5.5555555555555909</v>
      </c>
      <c r="M54" s="8">
        <v>2.7600000000000003E-3</v>
      </c>
      <c r="N54" s="3">
        <f>(-INDEX(Overview[b],8)+SQRT(POWER(INDEX(Overview[b],8),2)-(4*INDEX(Overview[a],8)*st_c[[#This Row],[c]])))/(2*INDEX(Overview[a],8))</f>
        <v>0.10142977396044846</v>
      </c>
      <c r="O54" s="3">
        <f t="shared" si="5"/>
        <v>4.8603517668281693E-4</v>
      </c>
      <c r="P54" s="14">
        <f t="shared" si="2"/>
        <v>9.7207035336563372</v>
      </c>
    </row>
    <row r="55" spans="1:16" x14ac:dyDescent="0.25">
      <c r="A55" s="2">
        <v>5.2000000000000006E-4</v>
      </c>
      <c r="B55" s="3" cm="1">
        <f t="array" ref="B55">SQRT((4*POWER(ttotal8,2)*st_a[[#This Row],[s(ta)]])/(9*s_t))</f>
        <v>3.4694433324435545E-2</v>
      </c>
      <c r="C55" s="3">
        <f t="shared" si="3"/>
        <v>3.3521977762170779E-4</v>
      </c>
      <c r="D55" s="14">
        <f t="shared" si="0"/>
        <v>6.7043955524341552</v>
      </c>
      <c r="G55" s="8">
        <v>1.2700000000000001E-3</v>
      </c>
      <c r="H55" s="3" cm="1">
        <f t="array" ref="H55">((2*ttotal8)/(3*s_t))*(st_b[[#This Row],[s(tb)]]+(s_t/4))</f>
        <v>5.6111111111111112E-2</v>
      </c>
      <c r="I55" s="3">
        <f t="shared" si="4"/>
        <v>2.7777777777777957E-4</v>
      </c>
      <c r="J55" s="14">
        <f t="shared" si="1"/>
        <v>5.5555555555555909</v>
      </c>
      <c r="M55" s="8">
        <v>2.7700000000000003E-3</v>
      </c>
      <c r="N55" s="3">
        <f>(-INDEX(Overview[b],8)+SQRT(POWER(INDEX(Overview[b],8),2)-(4*INDEX(Overview[a],8)*st_c[[#This Row],[c]])))/(2*INDEX(Overview[a],8))</f>
        <v>0.1019260448252276</v>
      </c>
      <c r="O55" s="3">
        <f t="shared" si="5"/>
        <v>4.9627086477914417E-4</v>
      </c>
      <c r="P55" s="14">
        <f t="shared" si="2"/>
        <v>9.9254172955828821</v>
      </c>
    </row>
    <row r="56" spans="1:16" x14ac:dyDescent="0.25">
      <c r="A56" s="2">
        <v>5.3000000000000009E-4</v>
      </c>
      <c r="B56" s="3" cm="1">
        <f t="array" ref="B56">SQRT((4*POWER(ttotal8,2)*st_a[[#This Row],[s(ta)]])/(9*s_t))</f>
        <v>3.5026445035884701E-2</v>
      </c>
      <c r="C56" s="3">
        <f t="shared" si="3"/>
        <v>3.3201171144915664E-4</v>
      </c>
      <c r="D56" s="14">
        <f t="shared" si="0"/>
        <v>6.6402342289831324</v>
      </c>
      <c r="G56" s="8">
        <v>1.2800000000000001E-3</v>
      </c>
      <c r="H56" s="3" cm="1">
        <f t="array" ref="H56">((2*ttotal8)/(3*s_t))*(st_b[[#This Row],[s(tb)]]+(s_t/4))</f>
        <v>5.6388888888888884E-2</v>
      </c>
      <c r="I56" s="3">
        <f t="shared" si="4"/>
        <v>2.7777777777777263E-4</v>
      </c>
      <c r="J56" s="14">
        <f t="shared" si="1"/>
        <v>5.5555555555554523</v>
      </c>
      <c r="M56" s="8">
        <v>2.7800000000000004E-3</v>
      </c>
      <c r="N56" s="3">
        <f>(-INDEX(Overview[b],8)+SQRT(POWER(INDEX(Overview[b],8),2)-(4*INDEX(Overview[a],8)*st_c[[#This Row],[c]])))/(2*INDEX(Overview[a],8))</f>
        <v>0.10243322665378903</v>
      </c>
      <c r="O56" s="3">
        <f t="shared" si="5"/>
        <v>5.0718182856142324E-4</v>
      </c>
      <c r="P56" s="14">
        <f t="shared" si="2"/>
        <v>10.143636571228464</v>
      </c>
    </row>
    <row r="57" spans="1:16" x14ac:dyDescent="0.25">
      <c r="A57" s="2">
        <v>5.4000000000000001E-4</v>
      </c>
      <c r="B57" s="3" cm="1">
        <f t="array" ref="B57">SQRT((4*POWER(ttotal8,2)*st_a[[#This Row],[s(ta)]])/(9*s_t))</f>
        <v>3.5355339059327376E-2</v>
      </c>
      <c r="C57" s="3">
        <f t="shared" si="3"/>
        <v>3.288940234426746E-4</v>
      </c>
      <c r="D57" s="14">
        <f t="shared" si="0"/>
        <v>6.5778804688534915</v>
      </c>
      <c r="G57" s="8">
        <v>1.2900000000000001E-3</v>
      </c>
      <c r="H57" s="3" cm="1">
        <f t="array" ref="H57">((2*ttotal8)/(3*s_t))*(st_b[[#This Row],[s(tb)]]+(s_t/4))</f>
        <v>5.6666666666666664E-2</v>
      </c>
      <c r="I57" s="3">
        <f t="shared" si="4"/>
        <v>2.7777777777777957E-4</v>
      </c>
      <c r="J57" s="14">
        <f t="shared" si="1"/>
        <v>5.5555555555555909</v>
      </c>
      <c r="M57" s="8">
        <v>2.7900000000000004E-3</v>
      </c>
      <c r="N57" s="3">
        <f>(-INDEX(Overview[b],8)+SQRT(POWER(INDEX(Overview[b],8),2)-(4*INDEX(Overview[a],8)*st_c[[#This Row],[c]])))/(2*INDEX(Overview[a],8))</f>
        <v>0.10295207240779515</v>
      </c>
      <c r="O57" s="3">
        <f t="shared" si="5"/>
        <v>5.1884575400612531E-4</v>
      </c>
      <c r="P57" s="14">
        <f t="shared" si="2"/>
        <v>10.376915080122506</v>
      </c>
    </row>
    <row r="58" spans="1:16" x14ac:dyDescent="0.25">
      <c r="A58" s="2">
        <v>5.5000000000000003E-4</v>
      </c>
      <c r="B58" s="3" cm="1">
        <f t="array" ref="B58">SQRT((4*POWER(ttotal8,2)*st_a[[#This Row],[s(ta)]])/(9*s_t))</f>
        <v>3.5681201607403137E-2</v>
      </c>
      <c r="C58" s="3">
        <f t="shared" si="3"/>
        <v>3.2586254807576154E-4</v>
      </c>
      <c r="D58" s="14">
        <f t="shared" si="0"/>
        <v>6.5172509615152308</v>
      </c>
      <c r="G58" s="8">
        <v>1.3000000000000002E-3</v>
      </c>
      <c r="H58" s="3" cm="1">
        <f t="array" ref="H58">((2*ttotal8)/(3*s_t))*(st_b[[#This Row],[s(tb)]]+(s_t/4))</f>
        <v>5.6944444444444443E-2</v>
      </c>
      <c r="I58" s="3">
        <f t="shared" si="4"/>
        <v>2.7777777777777957E-4</v>
      </c>
      <c r="J58" s="14">
        <f t="shared" si="1"/>
        <v>5.5555555555555909</v>
      </c>
      <c r="M58" s="8">
        <v>2.8000000000000004E-3</v>
      </c>
      <c r="N58" s="3">
        <f>(-INDEX(Overview[b],8)+SQRT(POWER(INDEX(Overview[b],8),2)-(4*INDEX(Overview[a],8)*st_c[[#This Row],[c]])))/(2*INDEX(Overview[a],8))</f>
        <v>0.1034834258544033</v>
      </c>
      <c r="O58" s="3">
        <f t="shared" si="5"/>
        <v>5.3135344660815154E-4</v>
      </c>
      <c r="P58" s="14">
        <f t="shared" si="2"/>
        <v>10.627068932163031</v>
      </c>
    </row>
    <row r="59" spans="1:16" x14ac:dyDescent="0.25">
      <c r="A59" s="2">
        <v>5.6000000000000006E-4</v>
      </c>
      <c r="B59" s="3" cm="1">
        <f t="array" ref="B59">SQRT((4*POWER(ttotal8,2)*st_a[[#This Row],[s(ta)]])/(9*s_t))</f>
        <v>3.600411499115478E-2</v>
      </c>
      <c r="C59" s="3">
        <f t="shared" si="3"/>
        <v>3.2291338375164264E-4</v>
      </c>
      <c r="D59" s="14">
        <f t="shared" si="0"/>
        <v>6.458267675032852</v>
      </c>
      <c r="G59" s="8">
        <v>1.3100000000000002E-3</v>
      </c>
      <c r="H59" s="3" cm="1">
        <f t="array" ref="H59">((2*ttotal8)/(3*s_t))*(st_b[[#This Row],[s(tb)]]+(s_t/4))</f>
        <v>5.7222222222222223E-2</v>
      </c>
      <c r="I59" s="3">
        <f t="shared" si="4"/>
        <v>2.7777777777777957E-4</v>
      </c>
      <c r="J59" s="14">
        <f t="shared" si="1"/>
        <v>5.5555555555555909</v>
      </c>
      <c r="M59" s="8">
        <v>2.8100000000000004E-3</v>
      </c>
      <c r="N59" s="3">
        <f>(-INDEX(Overview[b],8)+SQRT(POWER(INDEX(Overview[b],8),2)-(4*INDEX(Overview[a],8)*st_c[[#This Row],[c]])))/(2*INDEX(Overview[a],8))</f>
        <v>0.10402823767980347</v>
      </c>
      <c r="O59" s="3">
        <f t="shared" si="5"/>
        <v>5.4481182540017103E-4</v>
      </c>
      <c r="P59" s="14">
        <f t="shared" si="2"/>
        <v>10.896236508003421</v>
      </c>
    </row>
    <row r="60" spans="1:16" x14ac:dyDescent="0.25">
      <c r="A60" s="2">
        <v>5.7000000000000009E-4</v>
      </c>
      <c r="B60" s="3" cm="1">
        <f t="array" ref="B60">SQRT((4*POWER(ttotal8,2)*st_a[[#This Row],[s(ta)]])/(9*s_t))</f>
        <v>3.6324157862838949E-2</v>
      </c>
      <c r="C60" s="3">
        <f t="shared" si="3"/>
        <v>3.2004287168416884E-4</v>
      </c>
      <c r="D60" s="14">
        <f t="shared" si="0"/>
        <v>6.4008574336833766</v>
      </c>
      <c r="G60" s="8">
        <v>1.3200000000000002E-3</v>
      </c>
      <c r="H60" s="3" cm="1">
        <f t="array" ref="H60">((2*ttotal8)/(3*s_t))*(st_b[[#This Row],[s(tb)]]+(s_t/4))</f>
        <v>5.7500000000000002E-2</v>
      </c>
      <c r="I60" s="3">
        <f t="shared" si="4"/>
        <v>2.7777777777777957E-4</v>
      </c>
      <c r="J60" s="14">
        <f t="shared" si="1"/>
        <v>5.5555555555555909</v>
      </c>
      <c r="M60" s="8">
        <v>2.82E-3</v>
      </c>
      <c r="N60" s="3">
        <f>(-INDEX(Overview[b],8)+SQRT(POWER(INDEX(Overview[b],8),2)-(4*INDEX(Overview[a],8)*st_c[[#This Row],[c]])))/(2*INDEX(Overview[a],8))</f>
        <v>0.10458758547680684</v>
      </c>
      <c r="O60" s="3">
        <f t="shared" si="5"/>
        <v>5.5934779700336779E-4</v>
      </c>
      <c r="P60" s="14">
        <f t="shared" si="2"/>
        <v>11.186955940067355</v>
      </c>
    </row>
    <row r="61" spans="1:16" x14ac:dyDescent="0.25">
      <c r="A61" s="2">
        <v>5.8E-4</v>
      </c>
      <c r="B61" s="3" cm="1">
        <f t="array" ref="B61">SQRT((4*POWER(ttotal8,2)*st_a[[#This Row],[s(ta)]])/(9*s_t))</f>
        <v>3.6641405439647001E-2</v>
      </c>
      <c r="C61" s="3">
        <f t="shared" si="3"/>
        <v>3.1724757680805238E-4</v>
      </c>
      <c r="D61" s="14">
        <f t="shared" si="0"/>
        <v>6.3449515361610471</v>
      </c>
      <c r="G61" s="8">
        <v>1.33E-3</v>
      </c>
      <c r="H61" s="3" cm="1">
        <f t="array" ref="H61">((2*ttotal8)/(3*s_t))*(st_b[[#This Row],[s(tb)]]+(s_t/4))</f>
        <v>5.7777777777777782E-2</v>
      </c>
      <c r="I61" s="3">
        <f t="shared" si="4"/>
        <v>2.7777777777777957E-4</v>
      </c>
      <c r="J61" s="14">
        <f t="shared" si="1"/>
        <v>5.5555555555555909</v>
      </c>
      <c r="M61" s="8">
        <v>2.8300000000000001E-3</v>
      </c>
      <c r="N61" s="3">
        <f>(-INDEX(Overview[b],8)+SQRT(POWER(INDEX(Overview[b],8),2)-(4*INDEX(Overview[a],8)*st_c[[#This Row],[c]])))/(2*INDEX(Overview[a],8))</f>
        <v>0.10516269880960324</v>
      </c>
      <c r="O61" s="3">
        <f t="shared" si="5"/>
        <v>5.7511333279640364E-4</v>
      </c>
      <c r="P61" s="14">
        <f t="shared" si="2"/>
        <v>11.502266655928072</v>
      </c>
    </row>
    <row r="62" spans="1:16" x14ac:dyDescent="0.25">
      <c r="A62" s="2">
        <v>5.9000000000000003E-4</v>
      </c>
      <c r="B62" s="3" cm="1">
        <f t="array" ref="B62">SQRT((4*POWER(ttotal8,2)*st_a[[#This Row],[s(ta)]])/(9*s_t))</f>
        <v>3.6955929710139085E-2</v>
      </c>
      <c r="C62" s="3">
        <f t="shared" si="3"/>
        <v>3.1452427049208365E-4</v>
      </c>
      <c r="D62" s="14">
        <f t="shared" si="0"/>
        <v>6.2904854098416729</v>
      </c>
      <c r="G62" s="8">
        <v>1.34E-3</v>
      </c>
      <c r="H62" s="3" cm="1">
        <f t="array" ref="H62">((2*ttotal8)/(3*s_t))*(st_b[[#This Row],[s(tb)]]+(s_t/4))</f>
        <v>5.8055555555555548E-2</v>
      </c>
      <c r="I62" s="3">
        <f t="shared" si="4"/>
        <v>2.7777777777776569E-4</v>
      </c>
      <c r="J62" s="14">
        <f t="shared" si="1"/>
        <v>5.5555555555553138</v>
      </c>
      <c r="M62" s="8">
        <v>2.8400000000000001E-3</v>
      </c>
      <c r="N62" s="3">
        <f>(-INDEX(Overview[b],8)+SQRT(POWER(INDEX(Overview[b],8),2)-(4*INDEX(Overview[a],8)*st_c[[#This Row],[c]])))/(2*INDEX(Overview[a],8))</f>
        <v>0.1057549910270125</v>
      </c>
      <c r="O62" s="3">
        <f t="shared" si="5"/>
        <v>5.9229221740925153E-4</v>
      </c>
      <c r="P62" s="14">
        <f t="shared" si="2"/>
        <v>11.845844348185031</v>
      </c>
    </row>
    <row r="63" spans="1:16" x14ac:dyDescent="0.25">
      <c r="A63" s="2">
        <v>6.0000000000000006E-4</v>
      </c>
      <c r="B63" s="3" cm="1">
        <f t="array" ref="B63">SQRT((4*POWER(ttotal8,2)*st_a[[#This Row],[s(ta)]])/(9*s_t))</f>
        <v>3.7267799624996496E-2</v>
      </c>
      <c r="C63" s="3">
        <f t="shared" si="3"/>
        <v>3.1186991485741139E-4</v>
      </c>
      <c r="D63" s="14">
        <f t="shared" si="0"/>
        <v>6.2373982971482276</v>
      </c>
      <c r="G63" s="8">
        <v>1.3500000000000001E-3</v>
      </c>
      <c r="H63" s="3" cm="1">
        <f t="array" ref="H63">((2*ttotal8)/(3*s_t))*(st_b[[#This Row],[s(tb)]]+(s_t/4))</f>
        <v>5.8333333333333334E-2</v>
      </c>
      <c r="I63" s="3">
        <f t="shared" si="4"/>
        <v>2.7777777777778651E-4</v>
      </c>
      <c r="J63" s="14">
        <f t="shared" si="1"/>
        <v>5.5555555555557294</v>
      </c>
      <c r="M63" s="8">
        <v>2.8500000000000001E-3</v>
      </c>
      <c r="N63" s="3">
        <f>(-INDEX(Overview[b],8)+SQRT(POWER(INDEX(Overview[b],8),2)-(4*INDEX(Overview[a],8)*st_c[[#This Row],[c]])))/(2*INDEX(Overview[a],8))</f>
        <v>0.10636610018750177</v>
      </c>
      <c r="O63" s="3">
        <f t="shared" si="5"/>
        <v>6.1110916048927322E-4</v>
      </c>
      <c r="P63" s="14">
        <f t="shared" si="2"/>
        <v>12.222183209785463</v>
      </c>
    </row>
    <row r="64" spans="1:16" x14ac:dyDescent="0.25">
      <c r="A64" s="2">
        <v>6.1000000000000008E-4</v>
      </c>
      <c r="B64" s="3" cm="1">
        <f t="array" ref="B64">SQRT((4*POWER(ttotal8,2)*st_a[[#This Row],[s(ta)]])/(9*s_t))</f>
        <v>3.7577081273524118E-2</v>
      </c>
      <c r="C64" s="3">
        <f t="shared" si="3"/>
        <v>3.0928164852762202E-4</v>
      </c>
      <c r="D64" s="14">
        <f t="shared" si="0"/>
        <v>6.1856329705524402</v>
      </c>
      <c r="G64" s="8">
        <v>1.3600000000000001E-3</v>
      </c>
      <c r="H64" s="3" cm="1">
        <f t="array" ref="H64">((2*ttotal8)/(3*s_t))*(st_b[[#This Row],[s(tb)]]+(s_t/4))</f>
        <v>5.86111111111111E-2</v>
      </c>
      <c r="I64" s="3">
        <f t="shared" si="4"/>
        <v>2.7777777777776569E-4</v>
      </c>
      <c r="J64" s="14">
        <f t="shared" si="1"/>
        <v>5.5555555555553138</v>
      </c>
      <c r="M64" s="8">
        <v>2.8600000000000001E-3</v>
      </c>
      <c r="N64" s="3">
        <f>(-INDEX(Overview[b],8)+SQRT(POWER(INDEX(Overview[b],8),2)-(4*INDEX(Overview[a],8)*st_c[[#This Row],[c]])))/(2*INDEX(Overview[a],8))</f>
        <v>0.10699794250442263</v>
      </c>
      <c r="O64" s="3">
        <f t="shared" si="5"/>
        <v>6.3184231692085813E-4</v>
      </c>
      <c r="P64" s="14">
        <f t="shared" si="2"/>
        <v>12.636846338417161</v>
      </c>
    </row>
    <row r="65" spans="1:16" x14ac:dyDescent="0.25">
      <c r="A65" s="2">
        <v>6.2E-4</v>
      </c>
      <c r="B65" s="3" cm="1">
        <f t="array" ref="B65">SQRT((4*POWER(ttotal8,2)*st_a[[#This Row],[s(ta)]])/(9*s_t))</f>
        <v>3.7883838047182934E-2</v>
      </c>
      <c r="C65" s="3">
        <f t="shared" si="3"/>
        <v>3.0675677365881587E-4</v>
      </c>
      <c r="D65" s="14">
        <f t="shared" si="0"/>
        <v>6.1351354731763168</v>
      </c>
      <c r="G65" s="8">
        <v>1.3700000000000001E-3</v>
      </c>
      <c r="H65" s="3" cm="1">
        <f t="array" ref="H65">((2*ttotal8)/(3*s_t))*(st_b[[#This Row],[s(tb)]]+(s_t/4))</f>
        <v>5.8888888888888893E-2</v>
      </c>
      <c r="I65" s="3">
        <f t="shared" si="4"/>
        <v>2.7777777777779344E-4</v>
      </c>
      <c r="J65" s="14">
        <f t="shared" si="1"/>
        <v>5.5555555555558689</v>
      </c>
      <c r="M65" s="8">
        <v>2.8700000000000002E-3</v>
      </c>
      <c r="N65" s="3">
        <f>(-INDEX(Overview[b],8)+SQRT(POWER(INDEX(Overview[b],8),2)-(4*INDEX(Overview[a],8)*st_c[[#This Row],[c]])))/(2*INDEX(Overview[a],8))</f>
        <v>0.10765278333778223</v>
      </c>
      <c r="O65" s="3">
        <f t="shared" si="5"/>
        <v>6.548408333596073E-4</v>
      </c>
      <c r="P65" s="14">
        <f t="shared" si="2"/>
        <v>13.096816667192146</v>
      </c>
    </row>
    <row r="66" spans="1:16" x14ac:dyDescent="0.25">
      <c r="A66" s="2">
        <v>6.3000000000000003E-4</v>
      </c>
      <c r="B66" s="3" cm="1">
        <f t="array" ref="B66">SQRT((4*POWER(ttotal8,2)*st_a[[#This Row],[s(ta)]])/(9*s_t))</f>
        <v>3.8188130791298666E-2</v>
      </c>
      <c r="C66" s="3">
        <f t="shared" si="3"/>
        <v>3.0429274411573198E-4</v>
      </c>
      <c r="D66" s="14">
        <f t="shared" si="0"/>
        <v>6.0858548823146394</v>
      </c>
      <c r="G66" s="8">
        <v>1.3800000000000002E-3</v>
      </c>
      <c r="H66" s="3" cm="1">
        <f t="array" ref="H66">((2*ttotal8)/(3*s_t))*(st_b[[#This Row],[s(tb)]]+(s_t/4))</f>
        <v>5.9166666666666659E-2</v>
      </c>
      <c r="I66" s="3">
        <f t="shared" si="4"/>
        <v>2.7777777777776569E-4</v>
      </c>
      <c r="J66" s="14">
        <f t="shared" si="1"/>
        <v>5.5555555555553138</v>
      </c>
      <c r="M66" s="8">
        <v>2.8800000000000002E-3</v>
      </c>
      <c r="N66" s="3">
        <f>(-INDEX(Overview[b],8)+SQRT(POWER(INDEX(Overview[b],8),2)-(4*INDEX(Overview[a],8)*st_c[[#This Row],[c]])))/(2*INDEX(Overview[a],8))</f>
        <v>0.10833333333333341</v>
      </c>
      <c r="O66" s="3">
        <f t="shared" si="5"/>
        <v>6.8054999555117179E-4</v>
      </c>
      <c r="P66" s="14">
        <f t="shared" si="2"/>
        <v>13.610999911023436</v>
      </c>
    </row>
    <row r="67" spans="1:16" x14ac:dyDescent="0.25">
      <c r="A67" s="2">
        <v>6.4000000000000005E-4</v>
      </c>
      <c r="B67" s="3" cm="1">
        <f t="array" ref="B67">SQRT((4*POWER(ttotal8,2)*st_a[[#This Row],[s(ta)]])/(9*s_t))</f>
        <v>3.849001794597505E-2</v>
      </c>
      <c r="C67" s="3">
        <f t="shared" si="3"/>
        <v>3.018871546763835E-4</v>
      </c>
      <c r="D67" s="14">
        <f t="shared" si="0"/>
        <v>6.0377430935276699</v>
      </c>
      <c r="G67" s="8">
        <v>1.3900000000000002E-3</v>
      </c>
      <c r="H67" s="3" cm="1">
        <f t="array" ref="H67">((2*ttotal8)/(3*s_t))*(st_b[[#This Row],[s(tb)]]+(s_t/4))</f>
        <v>5.9444444444444453E-2</v>
      </c>
      <c r="I67" s="3">
        <f t="shared" si="4"/>
        <v>2.7777777777779344E-4</v>
      </c>
      <c r="J67" s="14">
        <f t="shared" si="1"/>
        <v>5.5555555555558689</v>
      </c>
      <c r="M67" s="8">
        <v>2.8900000000000002E-3</v>
      </c>
      <c r="N67" s="3">
        <f>(-INDEX(Overview[b],8)+SQRT(POWER(INDEX(Overview[b],8),2)-(4*INDEX(Overview[a],8)*st_c[[#This Row],[c]])))/(2*INDEX(Overview[a],8))</f>
        <v>0.10904288153739441</v>
      </c>
      <c r="O67" s="3">
        <f t="shared" si="5"/>
        <v>7.0954820406100849E-4</v>
      </c>
      <c r="P67" s="14">
        <f t="shared" si="2"/>
        <v>14.190964081220169</v>
      </c>
    </row>
    <row r="68" spans="1:16" x14ac:dyDescent="0.25">
      <c r="A68" s="2">
        <v>6.5000000000000008E-4</v>
      </c>
      <c r="B68" s="3" cm="1">
        <f t="array" ref="B68">SQRT((4*POWER(ttotal8,2)*st_a[[#This Row],[s(ta)]])/(9*s_t))</f>
        <v>3.8789555677135948E-2</v>
      </c>
      <c r="C68" s="3">
        <f t="shared" si="3"/>
        <v>2.9953773116089821E-4</v>
      </c>
      <c r="D68" s="14">
        <f t="shared" ref="D68:D78" si="6">C68/0.00005</f>
        <v>5.9907546232179643</v>
      </c>
      <c r="G68" s="8">
        <v>1.4000000000000002E-3</v>
      </c>
      <c r="H68" s="3" cm="1">
        <f t="array" ref="H68">((2*ttotal8)/(3*s_t))*(st_b[[#This Row],[s(tb)]]+(s_t/4))</f>
        <v>5.9722222222222218E-2</v>
      </c>
      <c r="I68" s="3">
        <f t="shared" si="4"/>
        <v>2.7777777777776569E-4</v>
      </c>
      <c r="J68" s="14">
        <f t="shared" ref="J68:J131" si="7">I68/0.00005</f>
        <v>5.5555555555553138</v>
      </c>
      <c r="M68" s="8">
        <v>2.9000000000000002E-3</v>
      </c>
      <c r="N68" s="3">
        <f>(-INDEX(Overview[b],8)+SQRT(POWER(INDEX(Overview[b],8),2)-(4*INDEX(Overview[a],8)*st_c[[#This Row],[c]])))/(2*INDEX(Overview[a],8))</f>
        <v>0.10978548451374542</v>
      </c>
      <c r="O68" s="3">
        <f t="shared" si="5"/>
        <v>7.4260297635100891E-4</v>
      </c>
      <c r="P68" s="14">
        <f t="shared" ref="P68:P78" si="8">O68/0.00005</f>
        <v>14.852059527020177</v>
      </c>
    </row>
    <row r="69" spans="1:16" x14ac:dyDescent="0.25">
      <c r="A69" s="2">
        <v>6.600000000000001E-4</v>
      </c>
      <c r="B69" s="3" cm="1">
        <f t="array" ref="B69">SQRT((4*POWER(ttotal8,2)*st_a[[#This Row],[s(ta)]])/(9*s_t))</f>
        <v>3.9086797998528586E-2</v>
      </c>
      <c r="C69" s="3">
        <f t="shared" ref="C69:C78" si="9">B69-B68</f>
        <v>2.9724232139263784E-4</v>
      </c>
      <c r="D69" s="14">
        <f t="shared" si="6"/>
        <v>5.9448464278527569</v>
      </c>
      <c r="G69" s="8">
        <v>1.41E-3</v>
      </c>
      <c r="H69" s="3" cm="1">
        <f t="array" ref="H69">((2*ttotal8)/(3*s_t))*(st_b[[#This Row],[s(tb)]]+(s_t/4))</f>
        <v>0.06</v>
      </c>
      <c r="I69" s="3">
        <f t="shared" ref="I69:I132" si="10">H69-H68</f>
        <v>2.7777777777777957E-4</v>
      </c>
      <c r="J69" s="14">
        <f t="shared" si="7"/>
        <v>5.5555555555555909</v>
      </c>
      <c r="M69" s="8">
        <v>2.9100000000000003E-3</v>
      </c>
      <c r="N69" s="3">
        <f>(-INDEX(Overview[b],8)+SQRT(POWER(INDEX(Overview[b],8),2)-(4*INDEX(Overview[a],8)*st_c[[#This Row],[c]])))/(2*INDEX(Overview[a],8))</f>
        <v>0.11056624327025939</v>
      </c>
      <c r="O69" s="3">
        <f t="shared" ref="O69:O78" si="11">N69-N68</f>
        <v>7.8075875651396898E-4</v>
      </c>
      <c r="P69" s="14">
        <f t="shared" si="8"/>
        <v>15.615175130279379</v>
      </c>
    </row>
    <row r="70" spans="1:16" x14ac:dyDescent="0.25">
      <c r="A70" s="2">
        <v>6.7000000000000002E-4</v>
      </c>
      <c r="B70" s="3" cm="1">
        <f t="array" ref="B70">SQRT((4*POWER(ttotal8,2)*st_a[[#This Row],[s(ta)]])/(9*s_t))</f>
        <v>3.9381796885438407E-2</v>
      </c>
      <c r="C70" s="3">
        <f t="shared" si="9"/>
        <v>2.9499888690982107E-4</v>
      </c>
      <c r="D70" s="14">
        <f t="shared" si="6"/>
        <v>5.8999777381964211</v>
      </c>
      <c r="G70" s="8">
        <v>1.42E-3</v>
      </c>
      <c r="H70" s="3" cm="1">
        <f t="array" ref="H70">((2*ttotal8)/(3*s_t))*(st_b[[#This Row],[s(tb)]]+(s_t/4))</f>
        <v>6.027777777777777E-2</v>
      </c>
      <c r="I70" s="3">
        <f t="shared" si="10"/>
        <v>2.7777777777777263E-4</v>
      </c>
      <c r="J70" s="14">
        <f t="shared" si="7"/>
        <v>5.5555555555554523</v>
      </c>
      <c r="M70" s="8">
        <v>2.9200000000000003E-3</v>
      </c>
      <c r="N70" s="3">
        <f>(-INDEX(Overview[b],8)+SQRT(POWER(INDEX(Overview[b],8),2)-(4*INDEX(Overview[a],8)*st_c[[#This Row],[c]])))/(2*INDEX(Overview[a],8))</f>
        <v>0.11139172365120469</v>
      </c>
      <c r="O70" s="3">
        <f t="shared" si="11"/>
        <v>8.2548038094529264E-4</v>
      </c>
      <c r="P70" s="14">
        <f t="shared" si="8"/>
        <v>16.509607618905854</v>
      </c>
    </row>
    <row r="71" spans="1:16" x14ac:dyDescent="0.25">
      <c r="A71" s="2">
        <v>6.8000000000000005E-4</v>
      </c>
      <c r="B71" s="3" cm="1">
        <f t="array" ref="B71">SQRT((4*POWER(ttotal8,2)*st_a[[#This Row],[s(ta)]])/(9*s_t))</f>
        <v>3.9674602380793615E-2</v>
      </c>
      <c r="C71" s="3">
        <f t="shared" si="9"/>
        <v>2.9280549535520839E-4</v>
      </c>
      <c r="D71" s="14">
        <f t="shared" si="6"/>
        <v>5.8561099071041678</v>
      </c>
      <c r="G71" s="8">
        <v>1.4300000000000001E-3</v>
      </c>
      <c r="H71" s="3" cm="1">
        <f t="array" ref="H71">((2*ttotal8)/(3*s_t))*(st_b[[#This Row],[s(tb)]]+(s_t/4))</f>
        <v>6.055555555555555E-2</v>
      </c>
      <c r="I71" s="3">
        <f t="shared" si="10"/>
        <v>2.7777777777777957E-4</v>
      </c>
      <c r="J71" s="14">
        <f t="shared" si="7"/>
        <v>5.5555555555555909</v>
      </c>
      <c r="M71" s="8">
        <v>2.9300000000000003E-3</v>
      </c>
      <c r="N71" s="3">
        <f>(-INDEX(Overview[b],8)+SQRT(POWER(INDEX(Overview[b],8),2)-(4*INDEX(Overview[a],8)*st_c[[#This Row],[c]])))/(2*INDEX(Overview[a],8))</f>
        <v>0.11227062306956721</v>
      </c>
      <c r="O71" s="3">
        <f t="shared" si="11"/>
        <v>8.7889941836252761E-4</v>
      </c>
      <c r="P71" s="14">
        <f t="shared" si="8"/>
        <v>17.577988367250551</v>
      </c>
    </row>
    <row r="72" spans="1:16" x14ac:dyDescent="0.25">
      <c r="A72" s="2">
        <v>6.9000000000000008E-4</v>
      </c>
      <c r="B72" s="3" cm="1">
        <f t="array" ref="B72">SQRT((4*POWER(ttotal8,2)*st_a[[#This Row],[s(ta)]])/(9*s_t))</f>
        <v>3.9965262694272662E-2</v>
      </c>
      <c r="C72" s="3">
        <f t="shared" si="9"/>
        <v>2.9066031347904642E-4</v>
      </c>
      <c r="D72" s="14">
        <f t="shared" si="6"/>
        <v>5.8132062695809283</v>
      </c>
      <c r="G72" s="8">
        <v>1.4400000000000001E-3</v>
      </c>
      <c r="H72" s="3" cm="1">
        <f t="array" ref="H72">((2*ttotal8)/(3*s_t))*(st_b[[#This Row],[s(tb)]]+(s_t/4))</f>
        <v>6.083333333333333E-2</v>
      </c>
      <c r="I72" s="3">
        <f t="shared" si="10"/>
        <v>2.7777777777777957E-4</v>
      </c>
      <c r="J72" s="14">
        <f t="shared" si="7"/>
        <v>5.5555555555555909</v>
      </c>
      <c r="M72" s="8">
        <v>2.9400000000000003E-3</v>
      </c>
      <c r="N72" s="3">
        <f>(-INDEX(Overview[b],8)+SQRT(POWER(INDEX(Overview[b],8),2)-(4*INDEX(Overview[a],8)*st_c[[#This Row],[c]])))/(2*INDEX(Overview[a],8))</f>
        <v>0.11321488698022421</v>
      </c>
      <c r="O72" s="3">
        <f t="shared" si="11"/>
        <v>9.44263910656995E-4</v>
      </c>
      <c r="P72" s="14">
        <f t="shared" si="8"/>
        <v>18.885278213139898</v>
      </c>
    </row>
    <row r="73" spans="1:16" x14ac:dyDescent="0.25">
      <c r="A73" s="2">
        <v>7.000000000000001E-4</v>
      </c>
      <c r="B73" s="3" cm="1">
        <f t="array" ref="B73">SQRT((4*POWER(ttotal8,2)*st_a[[#This Row],[s(ta)]])/(9*s_t))</f>
        <v>4.0253824294970666E-2</v>
      </c>
      <c r="C73" s="3">
        <f t="shared" si="9"/>
        <v>2.8856160069800491E-4</v>
      </c>
      <c r="D73" s="14">
        <f t="shared" si="6"/>
        <v>5.7712320139600974</v>
      </c>
      <c r="G73" s="8">
        <v>1.4500000000000001E-3</v>
      </c>
      <c r="H73" s="3" cm="1">
        <f t="array" ref="H73">((2*ttotal8)/(3*s_t))*(st_b[[#This Row],[s(tb)]]+(s_t/4))</f>
        <v>6.1111111111111109E-2</v>
      </c>
      <c r="I73" s="3">
        <f t="shared" si="10"/>
        <v>2.7777777777777957E-4</v>
      </c>
      <c r="J73" s="14">
        <f t="shared" si="7"/>
        <v>5.5555555555555909</v>
      </c>
      <c r="M73" s="8">
        <v>2.9500000000000004E-3</v>
      </c>
      <c r="N73" s="3">
        <f>(-INDEX(Overview[b],8)+SQRT(POWER(INDEX(Overview[b],8),2)-(4*INDEX(Overview[a],8)*st_c[[#This Row],[c]])))/(2*INDEX(Overview[a],8))</f>
        <v>0.1142417129272017</v>
      </c>
      <c r="O73" s="3">
        <f t="shared" si="11"/>
        <v>1.0268259469774915E-3</v>
      </c>
      <c r="P73" s="14">
        <f t="shared" si="8"/>
        <v>20.536518939549829</v>
      </c>
    </row>
    <row r="74" spans="1:16" x14ac:dyDescent="0.25">
      <c r="A74" s="2">
        <v>7.1000000000000002E-4</v>
      </c>
      <c r="B74" s="3" cm="1">
        <f t="array" ref="B74">SQRT((4*POWER(ttotal8,2)*st_a[[#This Row],[s(ta)]])/(9*s_t))</f>
        <v>4.0540331998128953E-2</v>
      </c>
      <c r="C74" s="3">
        <f t="shared" si="9"/>
        <v>2.8650770315828689E-4</v>
      </c>
      <c r="D74" s="14">
        <f t="shared" si="6"/>
        <v>5.7301540631657373</v>
      </c>
      <c r="G74" s="8">
        <v>1.4600000000000001E-3</v>
      </c>
      <c r="H74" s="3" cm="1">
        <f t="array" ref="H74">((2*ttotal8)/(3*s_t))*(st_b[[#This Row],[s(tb)]]+(s_t/4))</f>
        <v>6.1388888888888889E-2</v>
      </c>
      <c r="I74" s="3">
        <f t="shared" si="10"/>
        <v>2.7777777777777957E-4</v>
      </c>
      <c r="J74" s="14">
        <f t="shared" si="7"/>
        <v>5.5555555555555909</v>
      </c>
      <c r="M74" s="8">
        <v>2.9600000000000004E-3</v>
      </c>
      <c r="N74" s="3">
        <f>(-INDEX(Overview[b],8)+SQRT(POWER(INDEX(Overview[b],8),2)-(4*INDEX(Overview[a],8)*st_c[[#This Row],[c]])))/(2*INDEX(Overview[a],8))</f>
        <v>0.11537749551350643</v>
      </c>
      <c r="O74" s="3">
        <f t="shared" si="11"/>
        <v>1.1357825863047288E-3</v>
      </c>
      <c r="P74" s="14">
        <f t="shared" si="8"/>
        <v>22.715651726094574</v>
      </c>
    </row>
    <row r="75" spans="1:16" x14ac:dyDescent="0.25">
      <c r="A75" s="2">
        <v>7.2000000000000005E-4</v>
      </c>
      <c r="B75" s="3" cm="1">
        <f t="array" ref="B75">SQRT((4*POWER(ttotal8,2)*st_a[[#This Row],[s(ta)]])/(9*s_t))</f>
        <v>4.0824829046386304E-2</v>
      </c>
      <c r="C75" s="3">
        <f t="shared" si="9"/>
        <v>2.8449704825735112E-4</v>
      </c>
      <c r="D75" s="14">
        <f t="shared" si="6"/>
        <v>5.6899409651470219</v>
      </c>
      <c r="G75" s="8">
        <v>1.4700000000000002E-3</v>
      </c>
      <c r="H75" s="3" cm="1">
        <f t="array" ref="H75">((2*ttotal8)/(3*s_t))*(st_b[[#This Row],[s(tb)]]+(s_t/4))</f>
        <v>6.1666666666666668E-2</v>
      </c>
      <c r="I75" s="3">
        <f t="shared" si="10"/>
        <v>2.7777777777777957E-4</v>
      </c>
      <c r="J75" s="14">
        <f t="shared" si="7"/>
        <v>5.5555555555555909</v>
      </c>
      <c r="M75" s="8">
        <v>2.9700000000000004E-3</v>
      </c>
      <c r="N75" s="3">
        <f>(-INDEX(Overview[b],8)+SQRT(POWER(INDEX(Overview[b],8),2)-(4*INDEX(Overview[a],8)*st_c[[#This Row],[c]])))/(2*INDEX(Overview[a],8))</f>
        <v>0.11666666666666674</v>
      </c>
      <c r="O75" s="3">
        <f t="shared" si="11"/>
        <v>1.2891711531603095E-3</v>
      </c>
      <c r="P75" s="14">
        <f t="shared" si="8"/>
        <v>25.78342306320619</v>
      </c>
    </row>
    <row r="76" spans="1:16" x14ac:dyDescent="0.25">
      <c r="A76" s="2">
        <v>7.3000000000000007E-4</v>
      </c>
      <c r="B76" s="3" cm="1">
        <f t="array" ref="B76">SQRT((4*POWER(ttotal8,2)*st_a[[#This Row],[s(ta)]])/(9*s_t))</f>
        <v>4.1107357185968731E-2</v>
      </c>
      <c r="C76" s="3">
        <f t="shared" si="9"/>
        <v>2.8252813958242612E-4</v>
      </c>
      <c r="D76" s="14">
        <f t="shared" si="6"/>
        <v>5.6505627916485217</v>
      </c>
      <c r="G76" s="8">
        <v>1.4800000000000002E-3</v>
      </c>
      <c r="H76" s="3" cm="1">
        <f t="array" ref="H76">((2*ttotal8)/(3*s_t))*(st_b[[#This Row],[s(tb)]]+(s_t/4))</f>
        <v>6.1944444444444441E-2</v>
      </c>
      <c r="I76" s="3">
        <f t="shared" si="10"/>
        <v>2.7777777777777263E-4</v>
      </c>
      <c r="J76" s="14">
        <f t="shared" si="7"/>
        <v>5.5555555555554523</v>
      </c>
      <c r="M76" s="8">
        <v>2.9800000000000004E-3</v>
      </c>
      <c r="N76" s="3">
        <f>(-INDEX(Overview[b],8)+SQRT(POWER(INDEX(Overview[b],8),2)-(4*INDEX(Overview[a],8)*st_c[[#This Row],[c]])))/(2*INDEX(Overview[a],8))</f>
        <v>0.11819586182560234</v>
      </c>
      <c r="O76" s="3">
        <f t="shared" si="11"/>
        <v>1.5291951589355979E-3</v>
      </c>
      <c r="P76" s="14">
        <f t="shared" si="8"/>
        <v>30.583903178711957</v>
      </c>
    </row>
    <row r="77" spans="1:16" x14ac:dyDescent="0.25">
      <c r="A77" s="2">
        <v>7.400000000000001E-4</v>
      </c>
      <c r="B77" s="3" cm="1">
        <f t="array" ref="B77">SQRT((4*POWER(ttotal8,2)*st_a[[#This Row],[s(ta)]])/(9*s_t))</f>
        <v>4.1387956738198166E-2</v>
      </c>
      <c r="C77" s="3">
        <f t="shared" si="9"/>
        <v>2.8059955222943522E-4</v>
      </c>
      <c r="D77" s="14">
        <f t="shared" si="6"/>
        <v>5.611991044588704</v>
      </c>
      <c r="G77" s="8">
        <v>1.4900000000000002E-3</v>
      </c>
      <c r="H77" s="3" cm="1">
        <f t="array" ref="H77">((2*ttotal8)/(3*s_t))*(st_b[[#This Row],[s(tb)]]+(s_t/4))</f>
        <v>6.222222222222222E-2</v>
      </c>
      <c r="I77" s="3">
        <f t="shared" si="10"/>
        <v>2.7777777777777957E-4</v>
      </c>
      <c r="J77" s="14">
        <f t="shared" si="7"/>
        <v>5.5555555555555909</v>
      </c>
      <c r="M77" s="8">
        <v>2.99E-3</v>
      </c>
      <c r="N77" s="3">
        <f>(-INDEX(Overview[b],8)+SQRT(POWER(INDEX(Overview[b],8),2)-(4*INDEX(Overview[a],8)*st_c[[#This Row],[c]])))/(2*INDEX(Overview[a],8))</f>
        <v>0.12018874775675316</v>
      </c>
      <c r="O77" s="3">
        <f t="shared" si="11"/>
        <v>1.9928859311508229E-3</v>
      </c>
      <c r="P77" s="14">
        <f t="shared" si="8"/>
        <v>39.857718623016453</v>
      </c>
    </row>
    <row r="78" spans="1:16" x14ac:dyDescent="0.25">
      <c r="A78" s="2">
        <v>7.5000000000000002E-4</v>
      </c>
      <c r="B78" s="3" cm="1">
        <f t="array" ref="B78">SQRT((4*POWER(ttotal8,2)*st_a[[#This Row],[s(ta)]])/(9*s_t))</f>
        <v>4.1666666666666671E-2</v>
      </c>
      <c r="C78" s="3">
        <f t="shared" si="9"/>
        <v>2.7870992846850545E-4</v>
      </c>
      <c r="D78" s="14">
        <f t="shared" si="6"/>
        <v>5.5741985693701084</v>
      </c>
      <c r="G78" s="8">
        <v>1.5E-3</v>
      </c>
      <c r="H78" s="3" cm="1">
        <f t="array" ref="H78">((2*ttotal8)/(3*s_t))*(st_b[[#This Row],[s(tb)]]+(s_t/4))</f>
        <v>6.25E-2</v>
      </c>
      <c r="I78" s="3">
        <f t="shared" si="10"/>
        <v>2.7777777777777957E-4</v>
      </c>
      <c r="J78" s="14">
        <f t="shared" si="7"/>
        <v>5.5555555555555909</v>
      </c>
      <c r="M78" s="8">
        <v>3.0000000000000001E-3</v>
      </c>
      <c r="N78" s="3">
        <f>(-INDEX(Overview[b],8)+SQRT(POWER(INDEX(Overview[b],8),2)-(4*INDEX(Overview[a],8)*st_c[[#This Row],[c]])))/(2*INDEX(Overview[a],8))</f>
        <v>0.125</v>
      </c>
      <c r="O78" s="3">
        <f t="shared" si="11"/>
        <v>4.8112522432468413E-3</v>
      </c>
      <c r="P78" s="14">
        <f t="shared" si="8"/>
        <v>96.22504486493682</v>
      </c>
    </row>
    <row r="79" spans="1:16" x14ac:dyDescent="0.25">
      <c r="G79" s="8">
        <v>1.5100000000000001E-3</v>
      </c>
      <c r="H79" s="3" cm="1">
        <f t="array" ref="H79">((2*ttotal8)/(3*s_t))*(st_b[[#This Row],[s(tb)]]+(s_t/4))</f>
        <v>6.2777777777777766E-2</v>
      </c>
      <c r="I79" s="3">
        <f t="shared" si="10"/>
        <v>2.7777777777776569E-4</v>
      </c>
      <c r="J79" s="14">
        <f t="shared" si="7"/>
        <v>5.5555555555553138</v>
      </c>
    </row>
    <row r="80" spans="1:16" x14ac:dyDescent="0.25">
      <c r="G80" s="8">
        <v>1.5200000000000001E-3</v>
      </c>
      <c r="H80" s="3" cm="1">
        <f t="array" ref="H80">((2*ttotal8)/(3*s_t))*(st_b[[#This Row],[s(tb)]]+(s_t/4))</f>
        <v>6.3055555555555559E-2</v>
      </c>
      <c r="I80" s="3">
        <f t="shared" si="10"/>
        <v>2.7777777777779344E-4</v>
      </c>
      <c r="J80" s="14">
        <f t="shared" si="7"/>
        <v>5.5555555555558689</v>
      </c>
    </row>
    <row r="81" spans="7:10" x14ac:dyDescent="0.25">
      <c r="G81" s="8">
        <v>1.5300000000000001E-3</v>
      </c>
      <c r="H81" s="3" cm="1">
        <f t="array" ref="H81">((2*ttotal8)/(3*s_t))*(st_b[[#This Row],[s(tb)]]+(s_t/4))</f>
        <v>6.3333333333333325E-2</v>
      </c>
      <c r="I81" s="3">
        <f t="shared" si="10"/>
        <v>2.7777777777776569E-4</v>
      </c>
      <c r="J81" s="14">
        <f t="shared" si="7"/>
        <v>5.5555555555553138</v>
      </c>
    </row>
    <row r="82" spans="7:10" x14ac:dyDescent="0.25">
      <c r="G82" s="8">
        <v>1.5400000000000001E-3</v>
      </c>
      <c r="H82" s="3" cm="1">
        <f t="array" ref="H82">((2*ttotal8)/(3*s_t))*(st_b[[#This Row],[s(tb)]]+(s_t/4))</f>
        <v>6.3611111111111118E-2</v>
      </c>
      <c r="I82" s="3">
        <f t="shared" si="10"/>
        <v>2.7777777777779344E-4</v>
      </c>
      <c r="J82" s="14">
        <f t="shared" si="7"/>
        <v>5.5555555555558689</v>
      </c>
    </row>
    <row r="83" spans="7:10" x14ac:dyDescent="0.25">
      <c r="G83" s="8">
        <v>1.5500000000000002E-3</v>
      </c>
      <c r="H83" s="3" cm="1">
        <f t="array" ref="H83">((2*ttotal8)/(3*s_t))*(st_b[[#This Row],[s(tb)]]+(s_t/4))</f>
        <v>6.3888888888888884E-2</v>
      </c>
      <c r="I83" s="3">
        <f t="shared" si="10"/>
        <v>2.7777777777776569E-4</v>
      </c>
      <c r="J83" s="14">
        <f t="shared" si="7"/>
        <v>5.5555555555553138</v>
      </c>
    </row>
    <row r="84" spans="7:10" x14ac:dyDescent="0.25">
      <c r="G84" s="8">
        <v>1.5600000000000002E-3</v>
      </c>
      <c r="H84" s="3" cm="1">
        <f t="array" ref="H84">((2*ttotal8)/(3*s_t))*(st_b[[#This Row],[s(tb)]]+(s_t/4))</f>
        <v>6.4166666666666677E-2</v>
      </c>
      <c r="I84" s="3">
        <f t="shared" si="10"/>
        <v>2.7777777777779344E-4</v>
      </c>
      <c r="J84" s="14">
        <f t="shared" si="7"/>
        <v>5.5555555555558689</v>
      </c>
    </row>
    <row r="85" spans="7:10" x14ac:dyDescent="0.25">
      <c r="G85" s="8">
        <v>1.5700000000000002E-3</v>
      </c>
      <c r="H85" s="3" cm="1">
        <f t="array" ref="H85">((2*ttotal8)/(3*s_t))*(st_b[[#This Row],[s(tb)]]+(s_t/4))</f>
        <v>6.4444444444444443E-2</v>
      </c>
      <c r="I85" s="3">
        <f t="shared" si="10"/>
        <v>2.7777777777776569E-4</v>
      </c>
      <c r="J85" s="14">
        <f t="shared" si="7"/>
        <v>5.5555555555553138</v>
      </c>
    </row>
    <row r="86" spans="7:10" x14ac:dyDescent="0.25">
      <c r="G86" s="8">
        <v>1.58E-3</v>
      </c>
      <c r="H86" s="3" cm="1">
        <f t="array" ref="H86">((2*ttotal8)/(3*s_t))*(st_b[[#This Row],[s(tb)]]+(s_t/4))</f>
        <v>6.4722222222222223E-2</v>
      </c>
      <c r="I86" s="3">
        <f t="shared" si="10"/>
        <v>2.7777777777777957E-4</v>
      </c>
      <c r="J86" s="14">
        <f t="shared" si="7"/>
        <v>5.5555555555555909</v>
      </c>
    </row>
    <row r="87" spans="7:10" x14ac:dyDescent="0.25">
      <c r="G87" s="8">
        <v>1.5900000000000001E-3</v>
      </c>
      <c r="H87" s="3" cm="1">
        <f t="array" ref="H87">((2*ttotal8)/(3*s_t))*(st_b[[#This Row],[s(tb)]]+(s_t/4))</f>
        <v>6.5000000000000002E-2</v>
      </c>
      <c r="I87" s="3">
        <f t="shared" si="10"/>
        <v>2.7777777777777957E-4</v>
      </c>
      <c r="J87" s="14">
        <f t="shared" si="7"/>
        <v>5.5555555555555909</v>
      </c>
    </row>
    <row r="88" spans="7:10" x14ac:dyDescent="0.25">
      <c r="G88" s="8">
        <v>1.6000000000000001E-3</v>
      </c>
      <c r="H88" s="3" cm="1">
        <f t="array" ref="H88">((2*ttotal8)/(3*s_t))*(st_b[[#This Row],[s(tb)]]+(s_t/4))</f>
        <v>6.5277777777777768E-2</v>
      </c>
      <c r="I88" s="3">
        <f t="shared" si="10"/>
        <v>2.7777777777776569E-4</v>
      </c>
      <c r="J88" s="14">
        <f t="shared" si="7"/>
        <v>5.5555555555553138</v>
      </c>
    </row>
    <row r="89" spans="7:10" x14ac:dyDescent="0.25">
      <c r="G89" s="8">
        <v>1.6100000000000001E-3</v>
      </c>
      <c r="H89" s="3" cm="1">
        <f t="array" ref="H89">((2*ttotal8)/(3*s_t))*(st_b[[#This Row],[s(tb)]]+(s_t/4))</f>
        <v>6.5555555555555547E-2</v>
      </c>
      <c r="I89" s="3">
        <f t="shared" si="10"/>
        <v>2.7777777777777957E-4</v>
      </c>
      <c r="J89" s="14">
        <f t="shared" si="7"/>
        <v>5.5555555555555909</v>
      </c>
    </row>
    <row r="90" spans="7:10" x14ac:dyDescent="0.25">
      <c r="G90" s="8">
        <v>1.6200000000000001E-3</v>
      </c>
      <c r="H90" s="3" cm="1">
        <f t="array" ref="H90">((2*ttotal8)/(3*s_t))*(st_b[[#This Row],[s(tb)]]+(s_t/4))</f>
        <v>6.5833333333333327E-2</v>
      </c>
      <c r="I90" s="3">
        <f t="shared" si="10"/>
        <v>2.7777777777777957E-4</v>
      </c>
      <c r="J90" s="14">
        <f t="shared" si="7"/>
        <v>5.5555555555555909</v>
      </c>
    </row>
    <row r="91" spans="7:10" x14ac:dyDescent="0.25">
      <c r="G91" s="8">
        <v>1.6300000000000002E-3</v>
      </c>
      <c r="H91" s="3" cm="1">
        <f t="array" ref="H91">((2*ttotal8)/(3*s_t))*(st_b[[#This Row],[s(tb)]]+(s_t/4))</f>
        <v>6.6111111111111107E-2</v>
      </c>
      <c r="I91" s="3">
        <f t="shared" si="10"/>
        <v>2.7777777777777957E-4</v>
      </c>
      <c r="J91" s="14">
        <f t="shared" si="7"/>
        <v>5.5555555555555909</v>
      </c>
    </row>
    <row r="92" spans="7:10" x14ac:dyDescent="0.25">
      <c r="G92" s="8">
        <v>1.6400000000000002E-3</v>
      </c>
      <c r="H92" s="3" cm="1">
        <f t="array" ref="H92">((2*ttotal8)/(3*s_t))*(st_b[[#This Row],[s(tb)]]+(s_t/4))</f>
        <v>6.6388888888888886E-2</v>
      </c>
      <c r="I92" s="3">
        <f t="shared" si="10"/>
        <v>2.7777777777777957E-4</v>
      </c>
      <c r="J92" s="14">
        <f t="shared" si="7"/>
        <v>5.5555555555555909</v>
      </c>
    </row>
    <row r="93" spans="7:10" x14ac:dyDescent="0.25">
      <c r="G93" s="8">
        <v>1.6500000000000002E-3</v>
      </c>
      <c r="H93" s="3" cm="1">
        <f t="array" ref="H93">((2*ttotal8)/(3*s_t))*(st_b[[#This Row],[s(tb)]]+(s_t/4))</f>
        <v>6.6666666666666666E-2</v>
      </c>
      <c r="I93" s="3">
        <f t="shared" si="10"/>
        <v>2.7777777777777957E-4</v>
      </c>
      <c r="J93" s="14">
        <f t="shared" si="7"/>
        <v>5.5555555555555909</v>
      </c>
    </row>
    <row r="94" spans="7:10" x14ac:dyDescent="0.25">
      <c r="G94" s="8">
        <v>1.6600000000000002E-3</v>
      </c>
      <c r="H94" s="3" cm="1">
        <f t="array" ref="H94">((2*ttotal8)/(3*s_t))*(st_b[[#This Row],[s(tb)]]+(s_t/4))</f>
        <v>6.6944444444444445E-2</v>
      </c>
      <c r="I94" s="3">
        <f t="shared" si="10"/>
        <v>2.7777777777777957E-4</v>
      </c>
      <c r="J94" s="14">
        <f t="shared" si="7"/>
        <v>5.5555555555555909</v>
      </c>
    </row>
    <row r="95" spans="7:10" x14ac:dyDescent="0.25">
      <c r="G95" s="8">
        <v>1.67E-3</v>
      </c>
      <c r="H95" s="3" cm="1">
        <f t="array" ref="H95">((2*ttotal8)/(3*s_t))*(st_b[[#This Row],[s(tb)]]+(s_t/4))</f>
        <v>6.7222222222222225E-2</v>
      </c>
      <c r="I95" s="3">
        <f t="shared" si="10"/>
        <v>2.7777777777777957E-4</v>
      </c>
      <c r="J95" s="14">
        <f t="shared" si="7"/>
        <v>5.5555555555555909</v>
      </c>
    </row>
    <row r="96" spans="7:10" x14ac:dyDescent="0.25">
      <c r="G96" s="8">
        <v>1.6800000000000001E-3</v>
      </c>
      <c r="H96" s="3" cm="1">
        <f t="array" ref="H96">((2*ttotal8)/(3*s_t))*(st_b[[#This Row],[s(tb)]]+(s_t/4))</f>
        <v>6.7499999999999991E-2</v>
      </c>
      <c r="I96" s="3">
        <f t="shared" si="10"/>
        <v>2.7777777777776569E-4</v>
      </c>
      <c r="J96" s="14">
        <f t="shared" si="7"/>
        <v>5.5555555555553138</v>
      </c>
    </row>
    <row r="97" spans="7:10" x14ac:dyDescent="0.25">
      <c r="G97" s="8">
        <v>1.6900000000000001E-3</v>
      </c>
      <c r="H97" s="3" cm="1">
        <f t="array" ref="H97">((2*ttotal8)/(3*s_t))*(st_b[[#This Row],[s(tb)]]+(s_t/4))</f>
        <v>6.7777777777777784E-2</v>
      </c>
      <c r="I97" s="3">
        <f t="shared" si="10"/>
        <v>2.7777777777779344E-4</v>
      </c>
      <c r="J97" s="14">
        <f t="shared" si="7"/>
        <v>5.5555555555558689</v>
      </c>
    </row>
    <row r="98" spans="7:10" x14ac:dyDescent="0.25">
      <c r="G98" s="8">
        <v>1.7000000000000001E-3</v>
      </c>
      <c r="H98" s="3" cm="1">
        <f t="array" ref="H98">((2*ttotal8)/(3*s_t))*(st_b[[#This Row],[s(tb)]]+(s_t/4))</f>
        <v>6.805555555555555E-2</v>
      </c>
      <c r="I98" s="3">
        <f t="shared" si="10"/>
        <v>2.7777777777776569E-4</v>
      </c>
      <c r="J98" s="14">
        <f t="shared" si="7"/>
        <v>5.5555555555553138</v>
      </c>
    </row>
    <row r="99" spans="7:10" x14ac:dyDescent="0.25">
      <c r="G99" s="8">
        <v>1.7100000000000001E-3</v>
      </c>
      <c r="H99" s="3" cm="1">
        <f t="array" ref="H99">((2*ttotal8)/(3*s_t))*(st_b[[#This Row],[s(tb)]]+(s_t/4))</f>
        <v>6.8333333333333343E-2</v>
      </c>
      <c r="I99" s="3">
        <f t="shared" si="10"/>
        <v>2.7777777777779344E-4</v>
      </c>
      <c r="J99" s="14">
        <f t="shared" si="7"/>
        <v>5.5555555555558689</v>
      </c>
    </row>
    <row r="100" spans="7:10" x14ac:dyDescent="0.25">
      <c r="G100" s="8">
        <v>1.7200000000000002E-3</v>
      </c>
      <c r="H100" s="3" cm="1">
        <f t="array" ref="H100">((2*ttotal8)/(3*s_t))*(st_b[[#This Row],[s(tb)]]+(s_t/4))</f>
        <v>6.8611111111111109E-2</v>
      </c>
      <c r="I100" s="3">
        <f t="shared" si="10"/>
        <v>2.7777777777776569E-4</v>
      </c>
      <c r="J100" s="14">
        <f t="shared" si="7"/>
        <v>5.5555555555553138</v>
      </c>
    </row>
    <row r="101" spans="7:10" x14ac:dyDescent="0.25">
      <c r="G101" s="8">
        <v>1.7300000000000002E-3</v>
      </c>
      <c r="H101" s="3" cm="1">
        <f t="array" ref="H101">((2*ttotal8)/(3*s_t))*(st_b[[#This Row],[s(tb)]]+(s_t/4))</f>
        <v>6.8888888888888888E-2</v>
      </c>
      <c r="I101" s="3">
        <f t="shared" si="10"/>
        <v>2.7777777777777957E-4</v>
      </c>
      <c r="J101" s="14">
        <f t="shared" si="7"/>
        <v>5.5555555555555909</v>
      </c>
    </row>
    <row r="102" spans="7:10" x14ac:dyDescent="0.25">
      <c r="G102" s="8">
        <v>1.7400000000000002E-3</v>
      </c>
      <c r="H102" s="3" cm="1">
        <f t="array" ref="H102">((2*ttotal8)/(3*s_t))*(st_b[[#This Row],[s(tb)]]+(s_t/4))</f>
        <v>6.9166666666666654E-2</v>
      </c>
      <c r="I102" s="3">
        <f t="shared" si="10"/>
        <v>2.7777777777776569E-4</v>
      </c>
      <c r="J102" s="14">
        <f t="shared" si="7"/>
        <v>5.5555555555553138</v>
      </c>
    </row>
    <row r="103" spans="7:10" x14ac:dyDescent="0.25">
      <c r="G103" s="8">
        <v>1.75E-3</v>
      </c>
      <c r="H103" s="3" cm="1">
        <f t="array" ref="H103">((2*ttotal8)/(3*s_t))*(st_b[[#This Row],[s(tb)]]+(s_t/4))</f>
        <v>6.9444444444444434E-2</v>
      </c>
      <c r="I103" s="3">
        <f t="shared" si="10"/>
        <v>2.7777777777777957E-4</v>
      </c>
      <c r="J103" s="14">
        <f t="shared" si="7"/>
        <v>5.5555555555555909</v>
      </c>
    </row>
    <row r="104" spans="7:10" x14ac:dyDescent="0.25">
      <c r="G104" s="8">
        <v>1.7600000000000001E-3</v>
      </c>
      <c r="H104" s="3" cm="1">
        <f t="array" ref="H104">((2*ttotal8)/(3*s_t))*(st_b[[#This Row],[s(tb)]]+(s_t/4))</f>
        <v>6.9722222222222213E-2</v>
      </c>
      <c r="I104" s="3">
        <f t="shared" si="10"/>
        <v>2.7777777777777957E-4</v>
      </c>
      <c r="J104" s="14">
        <f t="shared" si="7"/>
        <v>5.5555555555555909</v>
      </c>
    </row>
    <row r="105" spans="7:10" x14ac:dyDescent="0.25">
      <c r="G105" s="8">
        <v>1.7700000000000001E-3</v>
      </c>
      <c r="H105" s="3" cm="1">
        <f t="array" ref="H105">((2*ttotal8)/(3*s_t))*(st_b[[#This Row],[s(tb)]]+(s_t/4))</f>
        <v>6.9999999999999993E-2</v>
      </c>
      <c r="I105" s="3">
        <f t="shared" si="10"/>
        <v>2.7777777777777957E-4</v>
      </c>
      <c r="J105" s="14">
        <f t="shared" si="7"/>
        <v>5.5555555555555909</v>
      </c>
    </row>
    <row r="106" spans="7:10" x14ac:dyDescent="0.25">
      <c r="G106" s="8">
        <v>1.7800000000000001E-3</v>
      </c>
      <c r="H106" s="3" cm="1">
        <f t="array" ref="H106">((2*ttotal8)/(3*s_t))*(st_b[[#This Row],[s(tb)]]+(s_t/4))</f>
        <v>7.0277777777777772E-2</v>
      </c>
      <c r="I106" s="3">
        <f t="shared" si="10"/>
        <v>2.7777777777777957E-4</v>
      </c>
      <c r="J106" s="14">
        <f t="shared" si="7"/>
        <v>5.5555555555555909</v>
      </c>
    </row>
    <row r="107" spans="7:10" x14ac:dyDescent="0.25">
      <c r="G107" s="8">
        <v>1.7900000000000001E-3</v>
      </c>
      <c r="H107" s="3" cm="1">
        <f t="array" ref="H107">((2*ttotal8)/(3*s_t))*(st_b[[#This Row],[s(tb)]]+(s_t/4))</f>
        <v>7.0555555555555552E-2</v>
      </c>
      <c r="I107" s="3">
        <f t="shared" si="10"/>
        <v>2.7777777777777957E-4</v>
      </c>
      <c r="J107" s="14">
        <f t="shared" si="7"/>
        <v>5.5555555555555909</v>
      </c>
    </row>
    <row r="108" spans="7:10" x14ac:dyDescent="0.25">
      <c r="G108" s="8">
        <v>1.8000000000000002E-3</v>
      </c>
      <c r="H108" s="3" cm="1">
        <f t="array" ref="H108">((2*ttotal8)/(3*s_t))*(st_b[[#This Row],[s(tb)]]+(s_t/4))</f>
        <v>7.0833333333333331E-2</v>
      </c>
      <c r="I108" s="3">
        <f t="shared" si="10"/>
        <v>2.7777777777777957E-4</v>
      </c>
      <c r="J108" s="14">
        <f t="shared" si="7"/>
        <v>5.5555555555555909</v>
      </c>
    </row>
    <row r="109" spans="7:10" x14ac:dyDescent="0.25">
      <c r="G109" s="8">
        <v>1.8100000000000002E-3</v>
      </c>
      <c r="H109" s="3" cm="1">
        <f t="array" ref="H109">((2*ttotal8)/(3*s_t))*(st_b[[#This Row],[s(tb)]]+(s_t/4))</f>
        <v>7.1111111111111111E-2</v>
      </c>
      <c r="I109" s="3">
        <f t="shared" si="10"/>
        <v>2.7777777777777957E-4</v>
      </c>
      <c r="J109" s="14">
        <f t="shared" si="7"/>
        <v>5.5555555555555909</v>
      </c>
    </row>
    <row r="110" spans="7:10" x14ac:dyDescent="0.25">
      <c r="G110" s="8">
        <v>1.8200000000000002E-3</v>
      </c>
      <c r="H110" s="3" cm="1">
        <f t="array" ref="H110">((2*ttotal8)/(3*s_t))*(st_b[[#This Row],[s(tb)]]+(s_t/4))</f>
        <v>7.1388888888888891E-2</v>
      </c>
      <c r="I110" s="3">
        <f t="shared" si="10"/>
        <v>2.7777777777777957E-4</v>
      </c>
      <c r="J110" s="14">
        <f t="shared" si="7"/>
        <v>5.5555555555555909</v>
      </c>
    </row>
    <row r="111" spans="7:10" x14ac:dyDescent="0.25">
      <c r="G111" s="8">
        <v>1.8300000000000002E-3</v>
      </c>
      <c r="H111" s="3" cm="1">
        <f t="array" ref="H111">((2*ttotal8)/(3*s_t))*(st_b[[#This Row],[s(tb)]]+(s_t/4))</f>
        <v>7.166666666666667E-2</v>
      </c>
      <c r="I111" s="3">
        <f t="shared" si="10"/>
        <v>2.7777777777777957E-4</v>
      </c>
      <c r="J111" s="14">
        <f t="shared" si="7"/>
        <v>5.5555555555555909</v>
      </c>
    </row>
    <row r="112" spans="7:10" x14ac:dyDescent="0.25">
      <c r="G112" s="8">
        <v>1.8400000000000001E-3</v>
      </c>
      <c r="H112" s="3" cm="1">
        <f t="array" ref="H112">((2*ttotal8)/(3*s_t))*(st_b[[#This Row],[s(tb)]]+(s_t/4))</f>
        <v>7.194444444444445E-2</v>
      </c>
      <c r="I112" s="3">
        <f t="shared" si="10"/>
        <v>2.7777777777777957E-4</v>
      </c>
      <c r="J112" s="14">
        <f t="shared" si="7"/>
        <v>5.5555555555555909</v>
      </c>
    </row>
    <row r="113" spans="7:10" x14ac:dyDescent="0.25">
      <c r="G113" s="8">
        <v>1.8500000000000001E-3</v>
      </c>
      <c r="H113" s="3" cm="1">
        <f t="array" ref="H113">((2*ttotal8)/(3*s_t))*(st_b[[#This Row],[s(tb)]]+(s_t/4))</f>
        <v>7.2222222222222215E-2</v>
      </c>
      <c r="I113" s="3">
        <f t="shared" si="10"/>
        <v>2.7777777777776569E-4</v>
      </c>
      <c r="J113" s="14">
        <f t="shared" si="7"/>
        <v>5.5555555555553138</v>
      </c>
    </row>
    <row r="114" spans="7:10" x14ac:dyDescent="0.25">
      <c r="G114" s="8">
        <v>1.8600000000000001E-3</v>
      </c>
      <c r="H114" s="3" cm="1">
        <f t="array" ref="H114">((2*ttotal8)/(3*s_t))*(st_b[[#This Row],[s(tb)]]+(s_t/4))</f>
        <v>7.2500000000000009E-2</v>
      </c>
      <c r="I114" s="3">
        <f t="shared" si="10"/>
        <v>2.7777777777779344E-4</v>
      </c>
      <c r="J114" s="14">
        <f t="shared" si="7"/>
        <v>5.5555555555558689</v>
      </c>
    </row>
    <row r="115" spans="7:10" x14ac:dyDescent="0.25">
      <c r="G115" s="8">
        <v>1.8700000000000001E-3</v>
      </c>
      <c r="H115" s="3" cm="1">
        <f t="array" ref="H115">((2*ttotal8)/(3*s_t))*(st_b[[#This Row],[s(tb)]]+(s_t/4))</f>
        <v>7.2777777777777775E-2</v>
      </c>
      <c r="I115" s="3">
        <f t="shared" si="10"/>
        <v>2.7777777777776569E-4</v>
      </c>
      <c r="J115" s="14">
        <f t="shared" si="7"/>
        <v>5.5555555555553138</v>
      </c>
    </row>
    <row r="116" spans="7:10" x14ac:dyDescent="0.25">
      <c r="G116" s="8">
        <v>1.8800000000000002E-3</v>
      </c>
      <c r="H116" s="3" cm="1">
        <f t="array" ref="H116">((2*ttotal8)/(3*s_t))*(st_b[[#This Row],[s(tb)]]+(s_t/4))</f>
        <v>7.3055555555555554E-2</v>
      </c>
      <c r="I116" s="3">
        <f t="shared" si="10"/>
        <v>2.7777777777777957E-4</v>
      </c>
      <c r="J116" s="14">
        <f t="shared" si="7"/>
        <v>5.5555555555555909</v>
      </c>
    </row>
    <row r="117" spans="7:10" x14ac:dyDescent="0.25">
      <c r="G117" s="8">
        <v>1.8900000000000002E-3</v>
      </c>
      <c r="H117" s="3" cm="1">
        <f t="array" ref="H117">((2*ttotal8)/(3*s_t))*(st_b[[#This Row],[s(tb)]]+(s_t/4))</f>
        <v>7.333333333333332E-2</v>
      </c>
      <c r="I117" s="3">
        <f t="shared" si="10"/>
        <v>2.7777777777776569E-4</v>
      </c>
      <c r="J117" s="14">
        <f t="shared" si="7"/>
        <v>5.5555555555553138</v>
      </c>
    </row>
    <row r="118" spans="7:10" x14ac:dyDescent="0.25">
      <c r="G118" s="8">
        <v>1.9000000000000002E-3</v>
      </c>
      <c r="H118" s="3" cm="1">
        <f t="array" ref="H118">((2*ttotal8)/(3*s_t))*(st_b[[#This Row],[s(tb)]]+(s_t/4))</f>
        <v>7.3611111111111113E-2</v>
      </c>
      <c r="I118" s="3">
        <f t="shared" si="10"/>
        <v>2.7777777777779344E-4</v>
      </c>
      <c r="J118" s="14">
        <f t="shared" si="7"/>
        <v>5.5555555555558689</v>
      </c>
    </row>
    <row r="119" spans="7:10" x14ac:dyDescent="0.25">
      <c r="G119" s="8">
        <v>1.9100000000000002E-3</v>
      </c>
      <c r="H119" s="3" cm="1">
        <f t="array" ref="H119">((2*ttotal8)/(3*s_t))*(st_b[[#This Row],[s(tb)]]+(s_t/4))</f>
        <v>7.3888888888888879E-2</v>
      </c>
      <c r="I119" s="3">
        <f t="shared" si="10"/>
        <v>2.7777777777776569E-4</v>
      </c>
      <c r="J119" s="14">
        <f t="shared" si="7"/>
        <v>5.5555555555553138</v>
      </c>
    </row>
    <row r="120" spans="7:10" x14ac:dyDescent="0.25">
      <c r="G120" s="8">
        <v>1.9200000000000003E-3</v>
      </c>
      <c r="H120" s="3" cm="1">
        <f t="array" ref="H120">((2*ttotal8)/(3*s_t))*(st_b[[#This Row],[s(tb)]]+(s_t/4))</f>
        <v>7.4166666666666672E-2</v>
      </c>
      <c r="I120" s="3">
        <f t="shared" si="10"/>
        <v>2.7777777777779344E-4</v>
      </c>
      <c r="J120" s="14">
        <f t="shared" si="7"/>
        <v>5.5555555555558689</v>
      </c>
    </row>
    <row r="121" spans="7:10" x14ac:dyDescent="0.25">
      <c r="G121" s="8">
        <v>1.9300000000000001E-3</v>
      </c>
      <c r="H121" s="3" cm="1">
        <f t="array" ref="H121">((2*ttotal8)/(3*s_t))*(st_b[[#This Row],[s(tb)]]+(s_t/4))</f>
        <v>7.4444444444444438E-2</v>
      </c>
      <c r="I121" s="3">
        <f t="shared" si="10"/>
        <v>2.7777777777776569E-4</v>
      </c>
      <c r="J121" s="14">
        <f t="shared" si="7"/>
        <v>5.5555555555553138</v>
      </c>
    </row>
    <row r="122" spans="7:10" x14ac:dyDescent="0.25">
      <c r="G122" s="8">
        <v>1.9400000000000001E-3</v>
      </c>
      <c r="H122" s="3" cm="1">
        <f t="array" ref="H122">((2*ttotal8)/(3*s_t))*(st_b[[#This Row],[s(tb)]]+(s_t/4))</f>
        <v>7.4722222222222218E-2</v>
      </c>
      <c r="I122" s="3">
        <f t="shared" si="10"/>
        <v>2.7777777777777957E-4</v>
      </c>
      <c r="J122" s="14">
        <f t="shared" si="7"/>
        <v>5.5555555555555909</v>
      </c>
    </row>
    <row r="123" spans="7:10" x14ac:dyDescent="0.25">
      <c r="G123" s="8">
        <v>1.9500000000000001E-3</v>
      </c>
      <c r="H123" s="3" cm="1">
        <f t="array" ref="H123">((2*ttotal8)/(3*s_t))*(st_b[[#This Row],[s(tb)]]+(s_t/4))</f>
        <v>7.4999999999999997E-2</v>
      </c>
      <c r="I123" s="3">
        <f t="shared" si="10"/>
        <v>2.7777777777777957E-4</v>
      </c>
      <c r="J123" s="14">
        <f t="shared" si="7"/>
        <v>5.5555555555555909</v>
      </c>
    </row>
    <row r="124" spans="7:10" x14ac:dyDescent="0.25">
      <c r="G124" s="8">
        <v>1.9600000000000004E-3</v>
      </c>
      <c r="H124" s="3" cm="1">
        <f t="array" ref="H124">((2*ttotal8)/(3*s_t))*(st_b[[#This Row],[s(tb)]]+(s_t/4))</f>
        <v>7.5277777777777791E-2</v>
      </c>
      <c r="I124" s="3">
        <f t="shared" si="10"/>
        <v>2.7777777777779344E-4</v>
      </c>
      <c r="J124" s="14">
        <f t="shared" si="7"/>
        <v>5.5555555555558689</v>
      </c>
    </row>
    <row r="125" spans="7:10" x14ac:dyDescent="0.25">
      <c r="G125" s="8">
        <v>1.97E-3</v>
      </c>
      <c r="H125" s="3" cm="1">
        <f t="array" ref="H125">((2*ttotal8)/(3*s_t))*(st_b[[#This Row],[s(tb)]]+(s_t/4))</f>
        <v>7.5555555555555556E-2</v>
      </c>
      <c r="I125" s="3">
        <f t="shared" si="10"/>
        <v>2.7777777777776569E-4</v>
      </c>
      <c r="J125" s="14">
        <f t="shared" si="7"/>
        <v>5.5555555555553138</v>
      </c>
    </row>
    <row r="126" spans="7:10" x14ac:dyDescent="0.25">
      <c r="G126" s="8">
        <v>1.98E-3</v>
      </c>
      <c r="H126" s="3" cm="1">
        <f t="array" ref="H126">((2*ttotal8)/(3*s_t))*(st_b[[#This Row],[s(tb)]]+(s_t/4))</f>
        <v>7.5833333333333322E-2</v>
      </c>
      <c r="I126" s="3">
        <f t="shared" si="10"/>
        <v>2.7777777777776569E-4</v>
      </c>
      <c r="J126" s="14">
        <f t="shared" si="7"/>
        <v>5.5555555555553138</v>
      </c>
    </row>
    <row r="127" spans="7:10" x14ac:dyDescent="0.25">
      <c r="G127" s="8">
        <v>1.99E-3</v>
      </c>
      <c r="H127" s="3" cm="1">
        <f t="array" ref="H127">((2*ttotal8)/(3*s_t))*(st_b[[#This Row],[s(tb)]]+(s_t/4))</f>
        <v>7.6111111111111115E-2</v>
      </c>
      <c r="I127" s="3">
        <f t="shared" si="10"/>
        <v>2.7777777777779344E-4</v>
      </c>
      <c r="J127" s="14">
        <f t="shared" si="7"/>
        <v>5.5555555555558689</v>
      </c>
    </row>
    <row r="128" spans="7:10" x14ac:dyDescent="0.25">
      <c r="G128" s="8">
        <v>2E-3</v>
      </c>
      <c r="H128" s="3" cm="1">
        <f t="array" ref="H128">((2*ttotal8)/(3*s_t))*(st_b[[#This Row],[s(tb)]]+(s_t/4))</f>
        <v>7.6388888888888881E-2</v>
      </c>
      <c r="I128" s="3">
        <f t="shared" si="10"/>
        <v>2.7777777777776569E-4</v>
      </c>
      <c r="J128" s="14">
        <f t="shared" si="7"/>
        <v>5.5555555555553138</v>
      </c>
    </row>
    <row r="129" spans="7:10" x14ac:dyDescent="0.25">
      <c r="G129" s="8">
        <v>2.0100000000000001E-3</v>
      </c>
      <c r="H129" s="3" cm="1">
        <f t="array" ref="H129">((2*ttotal8)/(3*s_t))*(st_b[[#This Row],[s(tb)]]+(s_t/4))</f>
        <v>7.6666666666666661E-2</v>
      </c>
      <c r="I129" s="3">
        <f t="shared" si="10"/>
        <v>2.7777777777777957E-4</v>
      </c>
      <c r="J129" s="14">
        <f t="shared" si="7"/>
        <v>5.5555555555555909</v>
      </c>
    </row>
    <row r="130" spans="7:10" x14ac:dyDescent="0.25">
      <c r="G130" s="8">
        <v>2.0200000000000001E-3</v>
      </c>
      <c r="H130" s="3" cm="1">
        <f t="array" ref="H130">((2*ttotal8)/(3*s_t))*(st_b[[#This Row],[s(tb)]]+(s_t/4))</f>
        <v>7.694444444444444E-2</v>
      </c>
      <c r="I130" s="3">
        <f t="shared" si="10"/>
        <v>2.7777777777777957E-4</v>
      </c>
      <c r="J130" s="14">
        <f t="shared" si="7"/>
        <v>5.5555555555555909</v>
      </c>
    </row>
    <row r="131" spans="7:10" x14ac:dyDescent="0.25">
      <c r="G131" s="8">
        <v>2.0300000000000001E-3</v>
      </c>
      <c r="H131" s="3" cm="1">
        <f t="array" ref="H131">((2*ttotal8)/(3*s_t))*(st_b[[#This Row],[s(tb)]]+(s_t/4))</f>
        <v>7.722222222222222E-2</v>
      </c>
      <c r="I131" s="3">
        <f t="shared" si="10"/>
        <v>2.7777777777777957E-4</v>
      </c>
      <c r="J131" s="14">
        <f t="shared" si="7"/>
        <v>5.5555555555555909</v>
      </c>
    </row>
    <row r="132" spans="7:10" x14ac:dyDescent="0.25">
      <c r="G132" s="8">
        <v>2.0400000000000001E-3</v>
      </c>
      <c r="H132" s="3" cm="1">
        <f t="array" ref="H132">((2*ttotal8)/(3*s_t))*(st_b[[#This Row],[s(tb)]]+(s_t/4))</f>
        <v>7.7499999999999986E-2</v>
      </c>
      <c r="I132" s="3">
        <f t="shared" si="10"/>
        <v>2.7777777777776569E-4</v>
      </c>
      <c r="J132" s="14">
        <f t="shared" ref="J132:J153" si="12">I132/0.00005</f>
        <v>5.5555555555553138</v>
      </c>
    </row>
    <row r="133" spans="7:10" x14ac:dyDescent="0.25">
      <c r="G133" s="8">
        <v>2.0500000000000002E-3</v>
      </c>
      <c r="H133" s="3" cm="1">
        <f t="array" ref="H133">((2*ttotal8)/(3*s_t))*(st_b[[#This Row],[s(tb)]]+(s_t/4))</f>
        <v>7.7777777777777779E-2</v>
      </c>
      <c r="I133" s="3">
        <f t="shared" ref="I133:I153" si="13">H133-H132</f>
        <v>2.7777777777779344E-4</v>
      </c>
      <c r="J133" s="14">
        <f t="shared" si="12"/>
        <v>5.5555555555558689</v>
      </c>
    </row>
    <row r="134" spans="7:10" x14ac:dyDescent="0.25">
      <c r="G134" s="8">
        <v>2.0600000000000002E-3</v>
      </c>
      <c r="H134" s="3" cm="1">
        <f t="array" ref="H134">((2*ttotal8)/(3*s_t))*(st_b[[#This Row],[s(tb)]]+(s_t/4))</f>
        <v>7.8055555555555545E-2</v>
      </c>
      <c r="I134" s="3">
        <f t="shared" si="13"/>
        <v>2.7777777777776569E-4</v>
      </c>
      <c r="J134" s="14">
        <f t="shared" si="12"/>
        <v>5.5555555555553138</v>
      </c>
    </row>
    <row r="135" spans="7:10" x14ac:dyDescent="0.25">
      <c r="G135" s="8">
        <v>2.0700000000000002E-3</v>
      </c>
      <c r="H135" s="3" cm="1">
        <f t="array" ref="H135">((2*ttotal8)/(3*s_t))*(st_b[[#This Row],[s(tb)]]+(s_t/4))</f>
        <v>7.8333333333333338E-2</v>
      </c>
      <c r="I135" s="3">
        <f t="shared" si="13"/>
        <v>2.7777777777779344E-4</v>
      </c>
      <c r="J135" s="14">
        <f t="shared" si="12"/>
        <v>5.5555555555558689</v>
      </c>
    </row>
    <row r="136" spans="7:10" x14ac:dyDescent="0.25">
      <c r="G136" s="8">
        <v>2.0800000000000003E-3</v>
      </c>
      <c r="H136" s="3" cm="1">
        <f t="array" ref="H136">((2*ttotal8)/(3*s_t))*(st_b[[#This Row],[s(tb)]]+(s_t/4))</f>
        <v>7.8611111111111104E-2</v>
      </c>
      <c r="I136" s="3">
        <f t="shared" si="13"/>
        <v>2.7777777777776569E-4</v>
      </c>
      <c r="J136" s="14">
        <f t="shared" si="12"/>
        <v>5.5555555555553138</v>
      </c>
    </row>
    <row r="137" spans="7:10" x14ac:dyDescent="0.25">
      <c r="G137" s="8">
        <v>2.0900000000000003E-3</v>
      </c>
      <c r="H137" s="3" cm="1">
        <f t="array" ref="H137">((2*ttotal8)/(3*s_t))*(st_b[[#This Row],[s(tb)]]+(s_t/4))</f>
        <v>7.8888888888888897E-2</v>
      </c>
      <c r="I137" s="3">
        <f t="shared" si="13"/>
        <v>2.7777777777779344E-4</v>
      </c>
      <c r="J137" s="14">
        <f t="shared" si="12"/>
        <v>5.5555555555558689</v>
      </c>
    </row>
    <row r="138" spans="7:10" x14ac:dyDescent="0.25">
      <c r="G138" s="8">
        <v>2.1000000000000003E-3</v>
      </c>
      <c r="H138" s="3" cm="1">
        <f t="array" ref="H138">((2*ttotal8)/(3*s_t))*(st_b[[#This Row],[s(tb)]]+(s_t/4))</f>
        <v>7.9166666666666663E-2</v>
      </c>
      <c r="I138" s="3">
        <f t="shared" si="13"/>
        <v>2.7777777777776569E-4</v>
      </c>
      <c r="J138" s="14">
        <f t="shared" si="12"/>
        <v>5.5555555555553138</v>
      </c>
    </row>
    <row r="139" spans="7:10" x14ac:dyDescent="0.25">
      <c r="G139" s="8">
        <v>2.1100000000000003E-3</v>
      </c>
      <c r="H139" s="3" cm="1">
        <f t="array" ref="H139">((2*ttotal8)/(3*s_t))*(st_b[[#This Row],[s(tb)]]+(s_t/4))</f>
        <v>7.9444444444444456E-2</v>
      </c>
      <c r="I139" s="3">
        <f t="shared" si="13"/>
        <v>2.7777777777779344E-4</v>
      </c>
      <c r="J139" s="14">
        <f t="shared" si="12"/>
        <v>5.5555555555558689</v>
      </c>
    </row>
    <row r="140" spans="7:10" x14ac:dyDescent="0.25">
      <c r="G140" s="8">
        <v>2.1200000000000004E-3</v>
      </c>
      <c r="H140" s="3" cm="1">
        <f t="array" ref="H140">((2*ttotal8)/(3*s_t))*(st_b[[#This Row],[s(tb)]]+(s_t/4))</f>
        <v>7.9722222222222222E-2</v>
      </c>
      <c r="I140" s="3">
        <f t="shared" si="13"/>
        <v>2.7777777777776569E-4</v>
      </c>
      <c r="J140" s="14">
        <f t="shared" si="12"/>
        <v>5.5555555555553138</v>
      </c>
    </row>
    <row r="141" spans="7:10" x14ac:dyDescent="0.25">
      <c r="G141" s="8">
        <v>2.1300000000000004E-3</v>
      </c>
      <c r="H141" s="3" cm="1">
        <f t="array" ref="H141">((2*ttotal8)/(3*s_t))*(st_b[[#This Row],[s(tb)]]+(s_t/4))</f>
        <v>8.0000000000000016E-2</v>
      </c>
      <c r="I141" s="3">
        <f t="shared" si="13"/>
        <v>2.7777777777779344E-4</v>
      </c>
      <c r="J141" s="14">
        <f t="shared" si="12"/>
        <v>5.5555555555558689</v>
      </c>
    </row>
    <row r="142" spans="7:10" x14ac:dyDescent="0.25">
      <c r="G142" s="8">
        <v>2.14E-3</v>
      </c>
      <c r="H142" s="3" cm="1">
        <f t="array" ref="H142">((2*ttotal8)/(3*s_t))*(st_b[[#This Row],[s(tb)]]+(s_t/4))</f>
        <v>8.0277777777777781E-2</v>
      </c>
      <c r="I142" s="3">
        <f t="shared" si="13"/>
        <v>2.7777777777776569E-4</v>
      </c>
      <c r="J142" s="14">
        <f t="shared" si="12"/>
        <v>5.5555555555553138</v>
      </c>
    </row>
    <row r="143" spans="7:10" x14ac:dyDescent="0.25">
      <c r="G143" s="8">
        <v>2.15E-3</v>
      </c>
      <c r="H143" s="3" cm="1">
        <f t="array" ref="H143">((2*ttotal8)/(3*s_t))*(st_b[[#This Row],[s(tb)]]+(s_t/4))</f>
        <v>8.0555555555555547E-2</v>
      </c>
      <c r="I143" s="3">
        <f t="shared" si="13"/>
        <v>2.7777777777776569E-4</v>
      </c>
      <c r="J143" s="14">
        <f t="shared" si="12"/>
        <v>5.5555555555553138</v>
      </c>
    </row>
    <row r="144" spans="7:10" x14ac:dyDescent="0.25">
      <c r="G144" s="8">
        <v>2.16E-3</v>
      </c>
      <c r="H144" s="3" cm="1">
        <f t="array" ref="H144">((2*ttotal8)/(3*s_t))*(st_b[[#This Row],[s(tb)]]+(s_t/4))</f>
        <v>8.0833333333333326E-2</v>
      </c>
      <c r="I144" s="3">
        <f t="shared" si="13"/>
        <v>2.7777777777777957E-4</v>
      </c>
      <c r="J144" s="14">
        <f t="shared" si="12"/>
        <v>5.5555555555555909</v>
      </c>
    </row>
    <row r="145" spans="7:10" x14ac:dyDescent="0.25">
      <c r="G145" s="8">
        <v>2.1700000000000001E-3</v>
      </c>
      <c r="H145" s="3" cm="1">
        <f t="array" ref="H145">((2*ttotal8)/(3*s_t))*(st_b[[#This Row],[s(tb)]]+(s_t/4))</f>
        <v>8.1111111111111092E-2</v>
      </c>
      <c r="I145" s="3">
        <f t="shared" si="13"/>
        <v>2.7777777777776569E-4</v>
      </c>
      <c r="J145" s="14">
        <f t="shared" si="12"/>
        <v>5.5555555555553138</v>
      </c>
    </row>
    <row r="146" spans="7:10" x14ac:dyDescent="0.25">
      <c r="G146" s="8">
        <v>2.1800000000000001E-3</v>
      </c>
      <c r="H146" s="3" cm="1">
        <f t="array" ref="H146">((2*ttotal8)/(3*s_t))*(st_b[[#This Row],[s(tb)]]+(s_t/4))</f>
        <v>8.1388888888888886E-2</v>
      </c>
      <c r="I146" s="3">
        <f t="shared" si="13"/>
        <v>2.7777777777779344E-4</v>
      </c>
      <c r="J146" s="14">
        <f t="shared" si="12"/>
        <v>5.5555555555558689</v>
      </c>
    </row>
    <row r="147" spans="7:10" x14ac:dyDescent="0.25">
      <c r="G147" s="8">
        <v>2.1900000000000001E-3</v>
      </c>
      <c r="H147" s="3" cm="1">
        <f t="array" ref="H147">((2*ttotal8)/(3*s_t))*(st_b[[#This Row],[s(tb)]]+(s_t/4))</f>
        <v>8.1666666666666651E-2</v>
      </c>
      <c r="I147" s="3">
        <f t="shared" si="13"/>
        <v>2.7777777777776569E-4</v>
      </c>
      <c r="J147" s="14">
        <f t="shared" si="12"/>
        <v>5.5555555555553138</v>
      </c>
    </row>
    <row r="148" spans="7:10" x14ac:dyDescent="0.25">
      <c r="G148" s="8">
        <v>2.2000000000000001E-3</v>
      </c>
      <c r="H148" s="3" cm="1">
        <f t="array" ref="H148">((2*ttotal8)/(3*s_t))*(st_b[[#This Row],[s(tb)]]+(s_t/4))</f>
        <v>8.1944444444444445E-2</v>
      </c>
      <c r="I148" s="3">
        <f t="shared" si="13"/>
        <v>2.7777777777779344E-4</v>
      </c>
      <c r="J148" s="14">
        <f t="shared" si="12"/>
        <v>5.5555555555558689</v>
      </c>
    </row>
    <row r="149" spans="7:10" x14ac:dyDescent="0.25">
      <c r="G149" s="8">
        <v>2.2100000000000002E-3</v>
      </c>
      <c r="H149" s="3" cm="1">
        <f t="array" ref="H149">((2*ttotal8)/(3*s_t))*(st_b[[#This Row],[s(tb)]]+(s_t/4))</f>
        <v>8.222222222222221E-2</v>
      </c>
      <c r="I149" s="3">
        <f t="shared" si="13"/>
        <v>2.7777777777776569E-4</v>
      </c>
      <c r="J149" s="14">
        <f t="shared" si="12"/>
        <v>5.5555555555553138</v>
      </c>
    </row>
    <row r="150" spans="7:10" x14ac:dyDescent="0.25">
      <c r="G150" s="8">
        <v>2.2200000000000002E-3</v>
      </c>
      <c r="H150" s="3" cm="1">
        <f t="array" ref="H150">((2*ttotal8)/(3*s_t))*(st_b[[#This Row],[s(tb)]]+(s_t/4))</f>
        <v>8.2500000000000004E-2</v>
      </c>
      <c r="I150" s="3">
        <f t="shared" si="13"/>
        <v>2.7777777777779344E-4</v>
      </c>
      <c r="J150" s="14">
        <f t="shared" si="12"/>
        <v>5.5555555555558689</v>
      </c>
    </row>
    <row r="151" spans="7:10" x14ac:dyDescent="0.25">
      <c r="G151" s="8">
        <v>2.2300000000000002E-3</v>
      </c>
      <c r="H151" s="3" cm="1">
        <f t="array" ref="H151">((2*ttotal8)/(3*s_t))*(st_b[[#This Row],[s(tb)]]+(s_t/4))</f>
        <v>8.277777777777777E-2</v>
      </c>
      <c r="I151" s="3">
        <f t="shared" si="13"/>
        <v>2.7777777777776569E-4</v>
      </c>
      <c r="J151" s="14">
        <f t="shared" si="12"/>
        <v>5.5555555555553138</v>
      </c>
    </row>
    <row r="152" spans="7:10" x14ac:dyDescent="0.25">
      <c r="G152" s="8">
        <v>2.2400000000000002E-3</v>
      </c>
      <c r="H152" s="3" cm="1">
        <f t="array" ref="H152">((2*ttotal8)/(3*s_t))*(st_b[[#This Row],[s(tb)]]+(s_t/4))</f>
        <v>8.3055555555555563E-2</v>
      </c>
      <c r="I152" s="3">
        <f t="shared" si="13"/>
        <v>2.7777777777779344E-4</v>
      </c>
      <c r="J152" s="14">
        <f t="shared" si="12"/>
        <v>5.5555555555558689</v>
      </c>
    </row>
    <row r="153" spans="7:10" x14ac:dyDescent="0.25">
      <c r="G153" s="8">
        <v>2.2500000000000003E-3</v>
      </c>
      <c r="H153" s="3" cm="1">
        <f t="array" ref="H153">((2*ttotal8)/(3*s_t))*(st_b[[#This Row],[s(tb)]]+(s_t/4))</f>
        <v>8.3333333333333329E-2</v>
      </c>
      <c r="I153" s="3">
        <f t="shared" si="13"/>
        <v>2.7777777777776569E-4</v>
      </c>
      <c r="J153" s="14">
        <f t="shared" si="12"/>
        <v>5.5555555555553138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44F42-D748-478A-9B78-881D9D6F1844}">
  <sheetPr codeName="Sheet13"/>
  <dimension ref="A2:P153"/>
  <sheetViews>
    <sheetView workbookViewId="0">
      <selection activeCell="K1" sqref="K1:K1048576"/>
    </sheetView>
  </sheetViews>
  <sheetFormatPr defaultRowHeight="15" x14ac:dyDescent="0.25"/>
  <cols>
    <col min="1" max="1" width="8.42578125" style="2" customWidth="1"/>
    <col min="2" max="2" width="11.5703125" style="3" bestFit="1" customWidth="1"/>
    <col min="3" max="3" width="12.85546875" customWidth="1"/>
    <col min="4" max="4" width="9.5703125" style="14" bestFit="1" customWidth="1"/>
    <col min="5" max="5" width="9.5703125" style="14" customWidth="1"/>
    <col min="7" max="7" width="10.28515625" style="8" customWidth="1"/>
    <col min="8" max="8" width="10.28515625" style="3" bestFit="1" customWidth="1"/>
    <col min="9" max="9" width="11.28515625" bestFit="1" customWidth="1"/>
    <col min="10" max="10" width="11.28515625" style="14" bestFit="1" customWidth="1"/>
    <col min="11" max="11" width="11.28515625" style="14" customWidth="1"/>
    <col min="13" max="13" width="10.28515625" style="8" customWidth="1"/>
    <col min="14" max="14" width="11.28515625" style="3" bestFit="1" customWidth="1"/>
    <col min="15" max="15" width="11.28515625" bestFit="1" customWidth="1"/>
    <col min="16" max="16" width="11.7109375" style="14" customWidth="1"/>
  </cols>
  <sheetData>
    <row r="2" spans="1:16" s="15" customFormat="1" x14ac:dyDescent="0.25">
      <c r="A2" s="15" t="s">
        <v>34</v>
      </c>
      <c r="B2" s="3" t="s">
        <v>32</v>
      </c>
      <c r="C2" s="15" t="s">
        <v>55</v>
      </c>
      <c r="D2" s="15" t="s">
        <v>56</v>
      </c>
      <c r="G2" s="15" t="s">
        <v>35</v>
      </c>
      <c r="H2" s="13" t="s">
        <v>32</v>
      </c>
      <c r="I2" s="15" t="s">
        <v>55</v>
      </c>
      <c r="J2" s="17" t="s">
        <v>56</v>
      </c>
      <c r="K2" s="17"/>
      <c r="M2" s="15" t="s">
        <v>36</v>
      </c>
      <c r="N2" s="13" t="s">
        <v>32</v>
      </c>
      <c r="O2" s="15" t="s">
        <v>55</v>
      </c>
      <c r="P2" s="17" t="s">
        <v>56</v>
      </c>
    </row>
    <row r="3" spans="1:16" x14ac:dyDescent="0.25">
      <c r="A3" s="2">
        <v>0</v>
      </c>
      <c r="B3" s="3" cm="1">
        <f t="array" ref="B3">SQRT((4*POWER(ttotal9,2)*st_a[[#This Row],[s(ta)]])/(9*s_t))</f>
        <v>0</v>
      </c>
      <c r="C3" s="3">
        <v>0</v>
      </c>
      <c r="D3" s="14">
        <f>C3/0.00005</f>
        <v>0</v>
      </c>
      <c r="G3" s="8">
        <v>7.5000000000000002E-4</v>
      </c>
      <c r="H3" s="3" cm="1">
        <f t="array" ref="H3">((2*ttotal9)/(3*s_t))*(st_b[[#This Row],[s(tb)]]+(s_t/4))</f>
        <v>3.7037037037037035E-2</v>
      </c>
      <c r="I3" s="3">
        <f>C78</f>
        <v>2.4774215863865995E-4</v>
      </c>
      <c r="J3" s="14">
        <f>I3/0.00005</f>
        <v>4.9548431727731987</v>
      </c>
      <c r="M3" s="8">
        <v>2.2500000000000003E-3</v>
      </c>
      <c r="N3" s="3">
        <f>(-INDEX(Overview[b],9)+SQRT(POWER(INDEX(Overview[b],9),2)-(4*INDEX(Overview[a],9)*st_c[[#This Row],[c]])))/(2*INDEX(Overview[a],9))</f>
        <v>7.4074074074074056E-2</v>
      </c>
      <c r="O3" s="3">
        <f>I153</f>
        <v>2.4691358024690746E-4</v>
      </c>
      <c r="P3" s="14">
        <f>O3/0.00005</f>
        <v>4.9382716049381488</v>
      </c>
    </row>
    <row r="4" spans="1:16" x14ac:dyDescent="0.25">
      <c r="A4" s="2">
        <v>1.0000000000000001E-5</v>
      </c>
      <c r="B4" s="3" cm="1">
        <f t="array" ref="B4">SQRT((4*POWER(ttotal9,2)*st_a[[#This Row],[s(ta)]])/(9*s_t))</f>
        <v>4.2766686606638942E-3</v>
      </c>
      <c r="C4" s="3">
        <f>B4-B3</f>
        <v>4.2766686606638942E-3</v>
      </c>
      <c r="D4" s="14">
        <f t="shared" ref="D4:D67" si="0">C4/0.00005</f>
        <v>85.533373213277883</v>
      </c>
      <c r="G4" s="8">
        <v>7.6000000000000004E-4</v>
      </c>
      <c r="H4" s="3" cm="1">
        <f t="array" ref="H4">((2*ttotal9)/(3*s_t))*(st_b[[#This Row],[s(tb)]]+(s_t/4))</f>
        <v>3.7283950617283949E-2</v>
      </c>
      <c r="I4" s="3">
        <f>H4-H3</f>
        <v>2.469135802469144E-4</v>
      </c>
      <c r="J4" s="14">
        <f t="shared" ref="J4:J67" si="1">I4/0.00005</f>
        <v>4.9382716049382873</v>
      </c>
      <c r="M4" s="8">
        <v>2.2600000000000003E-3</v>
      </c>
      <c r="N4" s="3">
        <f>(-INDEX(Overview[b],9)+SQRT(POWER(INDEX(Overview[b],9),2)-(4*INDEX(Overview[a],9)*st_c[[#This Row],[c]])))/(2*INDEX(Overview[a],9))</f>
        <v>7.4321816232712709E-2</v>
      </c>
      <c r="O4" s="3">
        <f>N4-N3</f>
        <v>2.4774215863865301E-4</v>
      </c>
      <c r="P4" s="14">
        <f t="shared" ref="P4:P67" si="2">O4/0.00005</f>
        <v>4.9548431727730602</v>
      </c>
    </row>
    <row r="5" spans="1:16" x14ac:dyDescent="0.25">
      <c r="A5" s="2">
        <v>2.0000000000000002E-5</v>
      </c>
      <c r="B5" s="3" cm="1">
        <f t="array" ref="B5">SQRT((4*POWER(ttotal9,2)*st_a[[#This Row],[s(ta)]])/(9*s_t))</f>
        <v>6.0481228216868596E-3</v>
      </c>
      <c r="C5" s="3">
        <f t="shared" ref="C5:C68" si="3">B5-B4</f>
        <v>1.7714541610229654E-3</v>
      </c>
      <c r="D5" s="14">
        <f t="shared" si="0"/>
        <v>35.429083220459304</v>
      </c>
      <c r="G5" s="8">
        <v>7.7000000000000007E-4</v>
      </c>
      <c r="H5" s="3" cm="1">
        <f t="array" ref="H5">((2*ttotal9)/(3*s_t))*(st_b[[#This Row],[s(tb)]]+(s_t/4))</f>
        <v>3.7530864197530857E-2</v>
      </c>
      <c r="I5" s="3">
        <f t="shared" ref="I5:I68" si="4">H5-H4</f>
        <v>2.4691358024690746E-4</v>
      </c>
      <c r="J5" s="14">
        <f t="shared" si="1"/>
        <v>4.9382716049381488</v>
      </c>
      <c r="M5" s="8">
        <v>2.2700000000000003E-3</v>
      </c>
      <c r="N5" s="3">
        <f>(-INDEX(Overview[b],9)+SQRT(POWER(INDEX(Overview[b],9),2)-(4*INDEX(Overview[a],9)*st_c[[#This Row],[c]])))/(2*INDEX(Overview[a],9))</f>
        <v>7.4571238056916678E-2</v>
      </c>
      <c r="O5" s="3">
        <f t="shared" ref="O5:O68" si="5">N5-N4</f>
        <v>2.4942182420396863E-4</v>
      </c>
      <c r="P5" s="14">
        <f t="shared" si="2"/>
        <v>4.9884364840793722</v>
      </c>
    </row>
    <row r="6" spans="1:16" x14ac:dyDescent="0.25">
      <c r="A6" s="2">
        <v>3.0000000000000004E-5</v>
      </c>
      <c r="B6" s="3" cm="1">
        <f t="array" ref="B6">SQRT((4*POWER(ttotal9,2)*st_a[[#This Row],[s(ta)]])/(9*s_t))</f>
        <v>7.4074074074074077E-3</v>
      </c>
      <c r="C6" s="3">
        <f t="shared" si="3"/>
        <v>1.3592845857205481E-3</v>
      </c>
      <c r="D6" s="14">
        <f t="shared" si="0"/>
        <v>27.185691714410961</v>
      </c>
      <c r="G6" s="8">
        <v>7.8000000000000009E-4</v>
      </c>
      <c r="H6" s="3" cm="1">
        <f t="array" ref="H6">((2*ttotal9)/(3*s_t))*(st_b[[#This Row],[s(tb)]]+(s_t/4))</f>
        <v>3.7777777777777771E-2</v>
      </c>
      <c r="I6" s="3">
        <f t="shared" si="4"/>
        <v>2.469135802469144E-4</v>
      </c>
      <c r="J6" s="14">
        <f t="shared" si="1"/>
        <v>4.9382716049382873</v>
      </c>
      <c r="M6" s="8">
        <v>2.2800000000000003E-3</v>
      </c>
      <c r="N6" s="3">
        <f>(-INDEX(Overview[b],9)+SQRT(POWER(INDEX(Overview[b],9),2)-(4*INDEX(Overview[a],9)*st_c[[#This Row],[c]])))/(2*INDEX(Overview[a],9))</f>
        <v>7.4822374180989942E-2</v>
      </c>
      <c r="O6" s="3">
        <f t="shared" si="5"/>
        <v>2.5113612407326458E-4</v>
      </c>
      <c r="P6" s="14">
        <f t="shared" si="2"/>
        <v>5.0227224814652915</v>
      </c>
    </row>
    <row r="7" spans="1:16" x14ac:dyDescent="0.25">
      <c r="A7" s="2">
        <v>4.0000000000000003E-5</v>
      </c>
      <c r="B7" s="3" cm="1">
        <f t="array" ref="B7">SQRT((4*POWER(ttotal9,2)*st_a[[#This Row],[s(ta)]])/(9*s_t))</f>
        <v>8.5533373213277884E-3</v>
      </c>
      <c r="C7" s="3">
        <f t="shared" si="3"/>
        <v>1.1459299139203807E-3</v>
      </c>
      <c r="D7" s="14">
        <f t="shared" si="0"/>
        <v>22.918598278407615</v>
      </c>
      <c r="G7" s="8">
        <v>7.9000000000000001E-4</v>
      </c>
      <c r="H7" s="3" cm="1">
        <f t="array" ref="H7">((2*ttotal9)/(3*s_t))*(st_b[[#This Row],[s(tb)]]+(s_t/4))</f>
        <v>3.8024691358024686E-2</v>
      </c>
      <c r="I7" s="3">
        <f t="shared" si="4"/>
        <v>2.469135802469144E-4</v>
      </c>
      <c r="J7" s="14">
        <f t="shared" si="1"/>
        <v>4.9382716049382873</v>
      </c>
      <c r="M7" s="8">
        <v>2.2900000000000004E-3</v>
      </c>
      <c r="N7" s="3">
        <f>(-INDEX(Overview[b],9)+SQRT(POWER(INDEX(Overview[b],9),2)-(4*INDEX(Overview[a],9)*st_c[[#This Row],[c]])))/(2*INDEX(Overview[a],9))</f>
        <v>7.5075260446107586E-2</v>
      </c>
      <c r="O7" s="3">
        <f t="shared" si="5"/>
        <v>2.5288626511764389E-4</v>
      </c>
      <c r="P7" s="14">
        <f t="shared" si="2"/>
        <v>5.0577253023528774</v>
      </c>
    </row>
    <row r="8" spans="1:16" x14ac:dyDescent="0.25">
      <c r="A8" s="2">
        <v>5.0000000000000002E-5</v>
      </c>
      <c r="B8" s="3" cm="1">
        <f t="array" ref="B8">SQRT((4*POWER(ttotal9,2)*st_a[[#This Row],[s(ta)]])/(9*s_t))</f>
        <v>9.5629218424874499E-3</v>
      </c>
      <c r="C8" s="3">
        <f t="shared" si="3"/>
        <v>1.0095845211596614E-3</v>
      </c>
      <c r="D8" s="14">
        <f t="shared" si="0"/>
        <v>20.191690423193229</v>
      </c>
      <c r="G8" s="8">
        <v>8.0000000000000004E-4</v>
      </c>
      <c r="H8" s="3" cm="1">
        <f t="array" ref="H8">((2*ttotal9)/(3*s_t))*(st_b[[#This Row],[s(tb)]]+(s_t/4))</f>
        <v>3.82716049382716E-2</v>
      </c>
      <c r="I8" s="3">
        <f t="shared" si="4"/>
        <v>2.469135802469144E-4</v>
      </c>
      <c r="J8" s="14">
        <f t="shared" si="1"/>
        <v>4.9382716049382873</v>
      </c>
      <c r="M8" s="8">
        <v>2.3000000000000004E-3</v>
      </c>
      <c r="N8" s="3">
        <f>(-INDEX(Overview[b],9)+SQRT(POWER(INDEX(Overview[b],9),2)-(4*INDEX(Overview[a],9)*st_c[[#This Row],[c]])))/(2*INDEX(Overview[a],9))</f>
        <v>7.532993396002606E-2</v>
      </c>
      <c r="O8" s="3">
        <f t="shared" si="5"/>
        <v>2.5467351391847415E-4</v>
      </c>
      <c r="P8" s="14">
        <f t="shared" si="2"/>
        <v>5.093470278369483</v>
      </c>
    </row>
    <row r="9" spans="1:16" x14ac:dyDescent="0.25">
      <c r="A9" s="2">
        <v>6.0000000000000008E-5</v>
      </c>
      <c r="B9" s="3" cm="1">
        <f t="array" ref="B9">SQRT((4*POWER(ttotal9,2)*st_a[[#This Row],[s(ta)]])/(9*s_t))</f>
        <v>1.0475656017578482E-2</v>
      </c>
      <c r="C9" s="3">
        <f t="shared" si="3"/>
        <v>9.1273417509103207E-4</v>
      </c>
      <c r="D9" s="14">
        <f t="shared" si="0"/>
        <v>18.25468350182064</v>
      </c>
      <c r="G9" s="8">
        <v>8.1000000000000006E-4</v>
      </c>
      <c r="H9" s="3" cm="1">
        <f t="array" ref="H9">((2*ttotal9)/(3*s_t))*(st_b[[#This Row],[s(tb)]]+(s_t/4))</f>
        <v>3.8518518518518514E-2</v>
      </c>
      <c r="I9" s="3">
        <f t="shared" si="4"/>
        <v>2.469135802469144E-4</v>
      </c>
      <c r="J9" s="14">
        <f t="shared" si="1"/>
        <v>4.9382716049382873</v>
      </c>
      <c r="M9" s="8">
        <v>2.31E-3</v>
      </c>
      <c r="N9" s="3">
        <f>(-INDEX(Overview[b],9)+SQRT(POWER(INDEX(Overview[b],9),2)-(4*INDEX(Overview[a],9)*st_c[[#This Row],[c]])))/(2*INDEX(Overview[a],9))</f>
        <v>7.5586433160646491E-2</v>
      </c>
      <c r="O9" s="3">
        <f t="shared" si="5"/>
        <v>2.564992006204303E-4</v>
      </c>
      <c r="P9" s="14">
        <f t="shared" si="2"/>
        <v>5.129984012408606</v>
      </c>
    </row>
    <row r="10" spans="1:16" x14ac:dyDescent="0.25">
      <c r="A10" s="2">
        <v>7.0000000000000007E-5</v>
      </c>
      <c r="B10" s="3" cm="1">
        <f t="array" ref="B10">SQRT((4*POWER(ttotal9,2)*st_a[[#This Row],[s(ta)]])/(9*s_t))</f>
        <v>1.1315001715940347E-2</v>
      </c>
      <c r="C10" s="3">
        <f t="shared" si="3"/>
        <v>8.3934569836186489E-4</v>
      </c>
      <c r="D10" s="14">
        <f t="shared" si="0"/>
        <v>16.786913967237297</v>
      </c>
      <c r="G10" s="8">
        <v>8.2000000000000009E-4</v>
      </c>
      <c r="H10" s="3" cm="1">
        <f t="array" ref="H10">((2*ttotal9)/(3*s_t))*(st_b[[#This Row],[s(tb)]]+(s_t/4))</f>
        <v>3.8765432098765429E-2</v>
      </c>
      <c r="I10" s="3">
        <f t="shared" si="4"/>
        <v>2.469135802469144E-4</v>
      </c>
      <c r="J10" s="14">
        <f t="shared" si="1"/>
        <v>4.9382716049382873</v>
      </c>
      <c r="M10" s="8">
        <v>2.32E-3</v>
      </c>
      <c r="N10" s="3">
        <f>(-INDEX(Overview[b],9)+SQRT(POWER(INDEX(Overview[b],9),2)-(4*INDEX(Overview[a],9)*st_c[[#This Row],[c]])))/(2*INDEX(Overview[a],9))</f>
        <v>7.5844797883739004E-2</v>
      </c>
      <c r="O10" s="3">
        <f t="shared" si="5"/>
        <v>2.5836472309251346E-4</v>
      </c>
      <c r="P10" s="14">
        <f t="shared" si="2"/>
        <v>5.1672944618502692</v>
      </c>
    </row>
    <row r="11" spans="1:16" x14ac:dyDescent="0.25">
      <c r="A11" s="2">
        <v>8.0000000000000007E-5</v>
      </c>
      <c r="B11" s="3" cm="1">
        <f t="array" ref="B11">SQRT((4*POWER(ttotal9,2)*st_a[[#This Row],[s(ta)]])/(9*s_t))</f>
        <v>1.2096245643373719E-2</v>
      </c>
      <c r="C11" s="3">
        <f t="shared" si="3"/>
        <v>7.8124392743337233E-4</v>
      </c>
      <c r="D11" s="14">
        <f t="shared" si="0"/>
        <v>15.624878548667446</v>
      </c>
      <c r="G11" s="8">
        <v>8.3000000000000012E-4</v>
      </c>
      <c r="H11" s="3" cm="1">
        <f t="array" ref="H11">((2*ttotal9)/(3*s_t))*(st_b[[#This Row],[s(tb)]]+(s_t/4))</f>
        <v>3.9012345679012343E-2</v>
      </c>
      <c r="I11" s="3">
        <f t="shared" si="4"/>
        <v>2.469135802469144E-4</v>
      </c>
      <c r="J11" s="14">
        <f t="shared" si="1"/>
        <v>4.9382716049382873</v>
      </c>
      <c r="M11" s="8">
        <v>2.33E-3</v>
      </c>
      <c r="N11" s="3">
        <f>(-INDEX(Overview[b],9)+SQRT(POWER(INDEX(Overview[b],9),2)-(4*INDEX(Overview[a],9)*st_c[[#This Row],[c]])))/(2*INDEX(Overview[a],9))</f>
        <v>7.6105069435165845E-2</v>
      </c>
      <c r="O11" s="3">
        <f t="shared" si="5"/>
        <v>2.6027155142684111E-4</v>
      </c>
      <c r="P11" s="14">
        <f t="shared" si="2"/>
        <v>5.2054310285368217</v>
      </c>
    </row>
    <row r="12" spans="1:16" x14ac:dyDescent="0.25">
      <c r="A12" s="2">
        <v>9.0000000000000006E-5</v>
      </c>
      <c r="B12" s="3" cm="1">
        <f t="array" ref="B12">SQRT((4*POWER(ttotal9,2)*st_a[[#This Row],[s(ta)]])/(9*s_t))</f>
        <v>1.2830005981991683E-2</v>
      </c>
      <c r="C12" s="3">
        <f t="shared" si="3"/>
        <v>7.337603386179635E-4</v>
      </c>
      <c r="D12" s="14">
        <f t="shared" si="0"/>
        <v>14.675206772359269</v>
      </c>
      <c r="G12" s="8">
        <v>8.4000000000000003E-4</v>
      </c>
      <c r="H12" s="3" cm="1">
        <f t="array" ref="H12">((2*ttotal9)/(3*s_t))*(st_b[[#This Row],[s(tb)]]+(s_t/4))</f>
        <v>3.9259259259259251E-2</v>
      </c>
      <c r="I12" s="3">
        <f t="shared" si="4"/>
        <v>2.4691358024690746E-4</v>
      </c>
      <c r="J12" s="14">
        <f t="shared" si="1"/>
        <v>4.9382716049381488</v>
      </c>
      <c r="M12" s="8">
        <v>2.3400000000000001E-3</v>
      </c>
      <c r="N12" s="3">
        <f>(-INDEX(Overview[b],9)+SQRT(POWER(INDEX(Overview[b],9),2)-(4*INDEX(Overview[a],9)*st_c[[#This Row],[c]])))/(2*INDEX(Overview[a],9))</f>
        <v>7.6367290667974583E-2</v>
      </c>
      <c r="O12" s="3">
        <f t="shared" si="5"/>
        <v>2.6222123280873755E-4</v>
      </c>
      <c r="P12" s="14">
        <f t="shared" si="2"/>
        <v>5.2444246561747505</v>
      </c>
    </row>
    <row r="13" spans="1:16" x14ac:dyDescent="0.25">
      <c r="A13" s="2">
        <v>1E-4</v>
      </c>
      <c r="B13" s="3" cm="1">
        <f t="array" ref="B13">SQRT((4*POWER(ttotal9,2)*st_a[[#This Row],[s(ta)]])/(9*s_t))</f>
        <v>1.3524013765559657E-2</v>
      </c>
      <c r="C13" s="3">
        <f t="shared" si="3"/>
        <v>6.9400778356797435E-4</v>
      </c>
      <c r="D13" s="14">
        <f t="shared" si="0"/>
        <v>13.880155671359486</v>
      </c>
      <c r="G13" s="8">
        <v>8.5000000000000006E-4</v>
      </c>
      <c r="H13" s="3" cm="1">
        <f t="array" ref="H13">((2*ttotal9)/(3*s_t))*(st_b[[#This Row],[s(tb)]]+(s_t/4))</f>
        <v>3.9506172839506165E-2</v>
      </c>
      <c r="I13" s="3">
        <f t="shared" si="4"/>
        <v>2.469135802469144E-4</v>
      </c>
      <c r="J13" s="14">
        <f t="shared" si="1"/>
        <v>4.9382716049382873</v>
      </c>
      <c r="M13" s="8">
        <v>2.3500000000000001E-3</v>
      </c>
      <c r="N13" s="3">
        <f>(-INDEX(Overview[b],9)+SQRT(POWER(INDEX(Overview[b],9),2)-(4*INDEX(Overview[a],9)*st_c[[#This Row],[c]])))/(2*INDEX(Overview[a],9))</f>
        <v>7.6631506064768012E-2</v>
      </c>
      <c r="O13" s="3">
        <f t="shared" si="5"/>
        <v>2.6421539679342965E-4</v>
      </c>
      <c r="P13" s="14">
        <f t="shared" si="2"/>
        <v>5.2843079358685925</v>
      </c>
    </row>
    <row r="14" spans="1:16" x14ac:dyDescent="0.25">
      <c r="A14" s="2">
        <v>1.1E-4</v>
      </c>
      <c r="B14" s="3" cm="1">
        <f t="array" ref="B14">SQRT((4*POWER(ttotal9,2)*st_a[[#This Row],[s(ta)]])/(9*s_t))</f>
        <v>1.4184105300093897E-2</v>
      </c>
      <c r="C14" s="3">
        <f t="shared" si="3"/>
        <v>6.6009153453423959E-4</v>
      </c>
      <c r="D14" s="14">
        <f t="shared" si="0"/>
        <v>13.20183069068479</v>
      </c>
      <c r="G14" s="8">
        <v>8.6000000000000009E-4</v>
      </c>
      <c r="H14" s="3" cm="1">
        <f t="array" ref="H14">((2*ttotal9)/(3*s_t))*(st_b[[#This Row],[s(tb)]]+(s_t/4))</f>
        <v>3.9753086419753079E-2</v>
      </c>
      <c r="I14" s="3">
        <f t="shared" si="4"/>
        <v>2.469135802469144E-4</v>
      </c>
      <c r="J14" s="14">
        <f t="shared" si="1"/>
        <v>4.9382716049382873</v>
      </c>
      <c r="M14" s="8">
        <v>2.3600000000000001E-3</v>
      </c>
      <c r="N14" s="3">
        <f>(-INDEX(Overview[b],9)+SQRT(POWER(INDEX(Overview[b],9),2)-(4*INDEX(Overview[a],9)*st_c[[#This Row],[c]])))/(2*INDEX(Overview[a],9))</f>
        <v>7.6897761825799951E-2</v>
      </c>
      <c r="O14" s="3">
        <f t="shared" si="5"/>
        <v>2.6625576103193882E-4</v>
      </c>
      <c r="P14" s="14">
        <f t="shared" si="2"/>
        <v>5.325115220638776</v>
      </c>
    </row>
    <row r="15" spans="1:16" x14ac:dyDescent="0.25">
      <c r="A15" s="2">
        <v>1.2000000000000002E-4</v>
      </c>
      <c r="B15" s="3" cm="1">
        <f t="array" ref="B15">SQRT((4*POWER(ttotal9,2)*st_a[[#This Row],[s(ta)]])/(9*s_t))</f>
        <v>1.4814814814814815E-2</v>
      </c>
      <c r="C15" s="3">
        <f t="shared" si="3"/>
        <v>6.307095147209188E-4</v>
      </c>
      <c r="D15" s="14">
        <f t="shared" si="0"/>
        <v>12.614190294418375</v>
      </c>
      <c r="G15" s="8">
        <v>8.7000000000000011E-4</v>
      </c>
      <c r="H15" s="3" cm="1">
        <f t="array" ref="H15">((2*ttotal9)/(3*s_t))*(st_b[[#This Row],[s(tb)]]+(s_t/4))</f>
        <v>3.9999999999999994E-2</v>
      </c>
      <c r="I15" s="3">
        <f t="shared" si="4"/>
        <v>2.469135802469144E-4</v>
      </c>
      <c r="J15" s="14">
        <f t="shared" si="1"/>
        <v>4.9382716049382873</v>
      </c>
      <c r="M15" s="8">
        <v>2.3700000000000001E-3</v>
      </c>
      <c r="N15" s="3">
        <f>(-INDEX(Overview[b],9)+SQRT(POWER(INDEX(Overview[b],9),2)-(4*INDEX(Overview[a],9)*st_c[[#This Row],[c]])))/(2*INDEX(Overview[a],9))</f>
        <v>7.7166105963290085E-2</v>
      </c>
      <c r="O15" s="3">
        <f t="shared" si="5"/>
        <v>2.6834413749013408E-4</v>
      </c>
      <c r="P15" s="14">
        <f t="shared" si="2"/>
        <v>5.3668827498026817</v>
      </c>
    </row>
    <row r="16" spans="1:16" x14ac:dyDescent="0.25">
      <c r="A16" s="2">
        <v>1.3000000000000002E-4</v>
      </c>
      <c r="B16" s="3" cm="1">
        <f t="array" ref="B16">SQRT((4*POWER(ttotal9,2)*st_a[[#This Row],[s(ta)]])/(9*s_t))</f>
        <v>1.5419748144193576E-2</v>
      </c>
      <c r="C16" s="3">
        <f t="shared" si="3"/>
        <v>6.0493332937876058E-4</v>
      </c>
      <c r="D16" s="14">
        <f t="shared" si="0"/>
        <v>12.098666587575211</v>
      </c>
      <c r="G16" s="8">
        <v>8.8000000000000003E-4</v>
      </c>
      <c r="H16" s="3" cm="1">
        <f t="array" ref="H16">((2*ttotal9)/(3*s_t))*(st_b[[#This Row],[s(tb)]]+(s_t/4))</f>
        <v>4.0246913580246908E-2</v>
      </c>
      <c r="I16" s="3">
        <f t="shared" si="4"/>
        <v>2.469135802469144E-4</v>
      </c>
      <c r="J16" s="14">
        <f t="shared" si="1"/>
        <v>4.9382716049382873</v>
      </c>
      <c r="M16" s="8">
        <v>2.3800000000000002E-3</v>
      </c>
      <c r="N16" s="3">
        <f>(-INDEX(Overview[b],9)+SQRT(POWER(INDEX(Overview[b],9),2)-(4*INDEX(Overview[a],9)*st_c[[#This Row],[c]])))/(2*INDEX(Overview[a],9))</f>
        <v>7.7436588402504045E-2</v>
      </c>
      <c r="O16" s="3">
        <f t="shared" si="5"/>
        <v>2.7048243921395931E-4</v>
      </c>
      <c r="P16" s="14">
        <f t="shared" si="2"/>
        <v>5.4096487842791863</v>
      </c>
    </row>
    <row r="17" spans="1:16" x14ac:dyDescent="0.25">
      <c r="A17" s="2">
        <v>1.4000000000000001E-4</v>
      </c>
      <c r="B17" s="3" cm="1">
        <f t="array" ref="B17">SQRT((4*POWER(ttotal9,2)*st_a[[#This Row],[s(ta)]])/(9*s_t))</f>
        <v>1.6001828884957679E-2</v>
      </c>
      <c r="C17" s="3">
        <f t="shared" si="3"/>
        <v>5.8208074076410328E-4</v>
      </c>
      <c r="D17" s="14">
        <f t="shared" si="0"/>
        <v>11.641614815282065</v>
      </c>
      <c r="G17" s="8">
        <v>8.9000000000000006E-4</v>
      </c>
      <c r="H17" s="3" cm="1">
        <f t="array" ref="H17">((2*ttotal9)/(3*s_t))*(st_b[[#This Row],[s(tb)]]+(s_t/4))</f>
        <v>4.0493827160493823E-2</v>
      </c>
      <c r="I17" s="3">
        <f t="shared" si="4"/>
        <v>2.469135802469144E-4</v>
      </c>
      <c r="J17" s="14">
        <f t="shared" si="1"/>
        <v>4.9382716049382873</v>
      </c>
      <c r="M17" s="8">
        <v>2.3900000000000002E-3</v>
      </c>
      <c r="N17" s="3">
        <f>(-INDEX(Overview[b],9)+SQRT(POWER(INDEX(Overview[b],9),2)-(4*INDEX(Overview[a],9)*st_c[[#This Row],[c]])))/(2*INDEX(Overview[a],9))</f>
        <v>7.7709261090200765E-2</v>
      </c>
      <c r="O17" s="3">
        <f t="shared" si="5"/>
        <v>2.7267268769672059E-4</v>
      </c>
      <c r="P17" s="14">
        <f t="shared" si="2"/>
        <v>5.4534537539344115</v>
      </c>
    </row>
    <row r="18" spans="1:16" x14ac:dyDescent="0.25">
      <c r="A18" s="2">
        <v>1.5000000000000001E-4</v>
      </c>
      <c r="B18" s="3" cm="1">
        <f t="array" ref="B18">SQRT((4*POWER(ttotal9,2)*st_a[[#This Row],[s(ta)]])/(9*s_t))</f>
        <v>1.6563466499998441E-2</v>
      </c>
      <c r="C18" s="3">
        <f t="shared" si="3"/>
        <v>5.6163761504076162E-4</v>
      </c>
      <c r="D18" s="14">
        <f t="shared" si="0"/>
        <v>11.232752300815232</v>
      </c>
      <c r="G18" s="8">
        <v>9.0000000000000008E-4</v>
      </c>
      <c r="H18" s="3" cm="1">
        <f t="array" ref="H18">((2*ttotal9)/(3*s_t))*(st_b[[#This Row],[s(tb)]]+(s_t/4))</f>
        <v>4.0740740740740737E-2</v>
      </c>
      <c r="I18" s="3">
        <f t="shared" si="4"/>
        <v>2.469135802469144E-4</v>
      </c>
      <c r="J18" s="14">
        <f t="shared" si="1"/>
        <v>4.9382716049382873</v>
      </c>
      <c r="M18" s="8">
        <v>2.4000000000000002E-3</v>
      </c>
      <c r="N18" s="3">
        <f>(-INDEX(Overview[b],9)+SQRT(POWER(INDEX(Overview[b],9),2)-(4*INDEX(Overview[a],9)*st_c[[#This Row],[c]])))/(2*INDEX(Overview[a],9))</f>
        <v>7.7984178111114216E-2</v>
      </c>
      <c r="O18" s="3">
        <f t="shared" si="5"/>
        <v>2.7491702091345105E-4</v>
      </c>
      <c r="P18" s="14">
        <f t="shared" si="2"/>
        <v>5.498340418269021</v>
      </c>
    </row>
    <row r="19" spans="1:16" x14ac:dyDescent="0.25">
      <c r="A19" s="2">
        <v>1.6000000000000001E-4</v>
      </c>
      <c r="B19" s="3" cm="1">
        <f t="array" ref="B19">SQRT((4*POWER(ttotal9,2)*st_a[[#This Row],[s(ta)]])/(9*s_t))</f>
        <v>1.7106674642655577E-2</v>
      </c>
      <c r="C19" s="3">
        <f t="shared" si="3"/>
        <v>5.4320814265713599E-4</v>
      </c>
      <c r="D19" s="14">
        <f t="shared" si="0"/>
        <v>10.864162853142719</v>
      </c>
      <c r="G19" s="8">
        <v>9.1000000000000011E-4</v>
      </c>
      <c r="H19" s="3" cm="1">
        <f t="array" ref="H19">((2*ttotal9)/(3*s_t))*(st_b[[#This Row],[s(tb)]]+(s_t/4))</f>
        <v>4.0987654320987651E-2</v>
      </c>
      <c r="I19" s="3">
        <f t="shared" si="4"/>
        <v>2.469135802469144E-4</v>
      </c>
      <c r="J19" s="14">
        <f t="shared" si="1"/>
        <v>4.9382716049382873</v>
      </c>
      <c r="M19" s="8">
        <v>2.4100000000000002E-3</v>
      </c>
      <c r="N19" s="3">
        <f>(-INDEX(Overview[b],9)+SQRT(POWER(INDEX(Overview[b],9),2)-(4*INDEX(Overview[a],9)*st_c[[#This Row],[c]])))/(2*INDEX(Overview[a],9))</f>
        <v>7.8261395813209705E-2</v>
      </c>
      <c r="O19" s="3">
        <f t="shared" si="5"/>
        <v>2.7721770209548913E-4</v>
      </c>
      <c r="P19" s="14">
        <f t="shared" si="2"/>
        <v>5.5443540419097825</v>
      </c>
    </row>
    <row r="20" spans="1:16" x14ac:dyDescent="0.25">
      <c r="A20" s="2">
        <v>1.7000000000000001E-4</v>
      </c>
      <c r="B20" s="3" cm="1">
        <f t="array" ref="B20">SQRT((4*POWER(ttotal9,2)*st_a[[#This Row],[s(ta)]])/(9*s_t))</f>
        <v>1.763315661368605E-2</v>
      </c>
      <c r="C20" s="3">
        <f t="shared" si="3"/>
        <v>5.2648197103047356E-4</v>
      </c>
      <c r="D20" s="14">
        <f t="shared" si="0"/>
        <v>10.52963942060947</v>
      </c>
      <c r="G20" s="8">
        <v>9.2000000000000003E-4</v>
      </c>
      <c r="H20" s="3" cm="1">
        <f t="array" ref="H20">((2*ttotal9)/(3*s_t))*(st_b[[#This Row],[s(tb)]]+(s_t/4))</f>
        <v>4.1234567901234559E-2</v>
      </c>
      <c r="I20" s="3">
        <f t="shared" si="4"/>
        <v>2.4691358024690746E-4</v>
      </c>
      <c r="J20" s="14">
        <f t="shared" si="1"/>
        <v>4.9382716049381488</v>
      </c>
      <c r="M20" s="8">
        <v>2.4200000000000003E-3</v>
      </c>
      <c r="N20" s="3">
        <f>(-INDEX(Overview[b],9)+SQRT(POWER(INDEX(Overview[b],9),2)-(4*INDEX(Overview[a],9)*st_c[[#This Row],[c]])))/(2*INDEX(Overview[a],9))</f>
        <v>7.8540972942535994E-2</v>
      </c>
      <c r="O20" s="3">
        <f t="shared" si="5"/>
        <v>2.7957712932628886E-4</v>
      </c>
      <c r="P20" s="14">
        <f t="shared" si="2"/>
        <v>5.5915425865257768</v>
      </c>
    </row>
    <row r="21" spans="1:16" x14ac:dyDescent="0.25">
      <c r="A21" s="2">
        <v>1.8000000000000001E-4</v>
      </c>
      <c r="B21" s="3" cm="1">
        <f t="array" ref="B21">SQRT((4*POWER(ttotal9,2)*st_a[[#This Row],[s(ta)]])/(9*s_t))</f>
        <v>1.8144368465060578E-2</v>
      </c>
      <c r="C21" s="3">
        <f t="shared" si="3"/>
        <v>5.1121185137452743E-4</v>
      </c>
      <c r="D21" s="14">
        <f t="shared" si="0"/>
        <v>10.224237027490549</v>
      </c>
      <c r="G21" s="8">
        <v>9.3000000000000005E-4</v>
      </c>
      <c r="H21" s="3" cm="1">
        <f t="array" ref="H21">((2*ttotal9)/(3*s_t))*(st_b[[#This Row],[s(tb)]]+(s_t/4))</f>
        <v>4.1481481481481473E-2</v>
      </c>
      <c r="I21" s="3">
        <f t="shared" si="4"/>
        <v>2.469135802469144E-4</v>
      </c>
      <c r="J21" s="14">
        <f t="shared" si="1"/>
        <v>4.9382716049382873</v>
      </c>
      <c r="M21" s="8">
        <v>2.4300000000000003E-3</v>
      </c>
      <c r="N21" s="3">
        <f>(-INDEX(Overview[b],9)+SQRT(POWER(INDEX(Overview[b],9),2)-(4*INDEX(Overview[a],9)*st_c[[#This Row],[c]])))/(2*INDEX(Overview[a],9))</f>
        <v>7.8822970788587576E-2</v>
      </c>
      <c r="O21" s="3">
        <f t="shared" si="5"/>
        <v>2.8199784605158207E-4</v>
      </c>
      <c r="P21" s="14">
        <f t="shared" si="2"/>
        <v>5.6399569210316409</v>
      </c>
    </row>
    <row r="22" spans="1:16" x14ac:dyDescent="0.25">
      <c r="A22" s="2">
        <v>1.9000000000000001E-4</v>
      </c>
      <c r="B22" s="3" cm="1">
        <f t="array" ref="B22">SQRT((4*POWER(ttotal9,2)*st_a[[#This Row],[s(ta)]])/(9*s_t))</f>
        <v>1.8641566506841359E-2</v>
      </c>
      <c r="C22" s="3">
        <f t="shared" si="3"/>
        <v>4.97198041780781E-4</v>
      </c>
      <c r="D22" s="14">
        <f t="shared" si="0"/>
        <v>9.9439608356156199</v>
      </c>
      <c r="G22" s="8">
        <v>9.4000000000000008E-4</v>
      </c>
      <c r="H22" s="3" cm="1">
        <f t="array" ref="H22">((2*ttotal9)/(3*s_t))*(st_b[[#This Row],[s(tb)]]+(s_t/4))</f>
        <v>4.1728395061728388E-2</v>
      </c>
      <c r="I22" s="3">
        <f t="shared" si="4"/>
        <v>2.469135802469144E-4</v>
      </c>
      <c r="J22" s="14">
        <f t="shared" si="1"/>
        <v>4.9382716049382873</v>
      </c>
      <c r="M22" s="8">
        <v>2.4400000000000003E-3</v>
      </c>
      <c r="N22" s="3">
        <f>(-INDEX(Overview[b],9)+SQRT(POWER(INDEX(Overview[b],9),2)-(4*INDEX(Overview[a],9)*st_c[[#This Row],[c]])))/(2*INDEX(Overview[a],9))</f>
        <v>7.9107453341195746E-2</v>
      </c>
      <c r="O22" s="3">
        <f t="shared" si="5"/>
        <v>2.8448255260817013E-4</v>
      </c>
      <c r="P22" s="14">
        <f t="shared" si="2"/>
        <v>5.6896510521634021</v>
      </c>
    </row>
    <row r="23" spans="1:16" x14ac:dyDescent="0.25">
      <c r="A23" s="2">
        <v>2.0000000000000001E-4</v>
      </c>
      <c r="B23" s="3" cm="1">
        <f t="array" ref="B23">SQRT((4*POWER(ttotal9,2)*st_a[[#This Row],[s(ta)]])/(9*s_t))</f>
        <v>1.91258436849749E-2</v>
      </c>
      <c r="C23" s="3">
        <f t="shared" si="3"/>
        <v>4.8427717813354088E-4</v>
      </c>
      <c r="D23" s="14">
        <f t="shared" si="0"/>
        <v>9.6855435626708175</v>
      </c>
      <c r="G23" s="8">
        <v>9.5000000000000011E-4</v>
      </c>
      <c r="H23" s="3" cm="1">
        <f t="array" ref="H23">((2*ttotal9)/(3*s_t))*(st_b[[#This Row],[s(tb)]]+(s_t/4))</f>
        <v>4.1975308641975302E-2</v>
      </c>
      <c r="I23" s="3">
        <f t="shared" si="4"/>
        <v>2.469135802469144E-4</v>
      </c>
      <c r="J23" s="14">
        <f t="shared" si="1"/>
        <v>4.9382716049382873</v>
      </c>
      <c r="M23" s="8">
        <v>2.4500000000000004E-3</v>
      </c>
      <c r="N23" s="3">
        <f>(-INDEX(Overview[b],9)+SQRT(POWER(INDEX(Overview[b],9),2)-(4*INDEX(Overview[a],9)*st_c[[#This Row],[c]])))/(2*INDEX(Overview[a],9))</f>
        <v>7.9394487460086094E-2</v>
      </c>
      <c r="O23" s="3">
        <f t="shared" si="5"/>
        <v>2.8703411889034747E-4</v>
      </c>
      <c r="P23" s="14">
        <f t="shared" si="2"/>
        <v>5.7406823778069489</v>
      </c>
    </row>
    <row r="24" spans="1:16" x14ac:dyDescent="0.25">
      <c r="A24" s="2">
        <v>2.1000000000000001E-4</v>
      </c>
      <c r="B24" s="3" cm="1">
        <f t="array" ref="B24">SQRT((4*POWER(ttotal9,2)*st_a[[#This Row],[s(ta)]])/(9*s_t))</f>
        <v>1.9598157859737706E-2</v>
      </c>
      <c r="C24" s="3">
        <f t="shared" si="3"/>
        <v>4.7231417476280638E-4</v>
      </c>
      <c r="D24" s="14">
        <f t="shared" si="0"/>
        <v>9.446283495256127</v>
      </c>
      <c r="G24" s="8">
        <v>9.6000000000000013E-4</v>
      </c>
      <c r="H24" s="3" cm="1">
        <f t="array" ref="H24">((2*ttotal9)/(3*s_t))*(st_b[[#This Row],[s(tb)]]+(s_t/4))</f>
        <v>4.2222222222222217E-2</v>
      </c>
      <c r="I24" s="3">
        <f t="shared" si="4"/>
        <v>2.469135802469144E-4</v>
      </c>
      <c r="J24" s="14">
        <f t="shared" si="1"/>
        <v>4.9382716049382873</v>
      </c>
      <c r="M24" s="8">
        <v>2.4600000000000004E-3</v>
      </c>
      <c r="N24" s="3">
        <f>(-INDEX(Overview[b],9)+SQRT(POWER(INDEX(Overview[b],9),2)-(4*INDEX(Overview[a],9)*st_c[[#This Row],[c]])))/(2*INDEX(Overview[a],9))</f>
        <v>7.9684143058375664E-2</v>
      </c>
      <c r="O24" s="3">
        <f t="shared" si="5"/>
        <v>2.8965559828957044E-4</v>
      </c>
      <c r="P24" s="14">
        <f t="shared" si="2"/>
        <v>5.7931119657914083</v>
      </c>
    </row>
    <row r="25" spans="1:16" x14ac:dyDescent="0.25">
      <c r="A25" s="2">
        <v>2.2000000000000001E-4</v>
      </c>
      <c r="B25" s="3" cm="1">
        <f t="array" ref="B25">SQRT((4*POWER(ttotal9,2)*st_a[[#This Row],[s(ta)]])/(9*s_t))</f>
        <v>2.005935408552089E-2</v>
      </c>
      <c r="C25" s="3">
        <f t="shared" si="3"/>
        <v>4.6119622578318434E-4</v>
      </c>
      <c r="D25" s="14">
        <f t="shared" si="0"/>
        <v>9.2239245156636862</v>
      </c>
      <c r="G25" s="8">
        <v>9.7000000000000005E-4</v>
      </c>
      <c r="H25" s="3" cm="1">
        <f t="array" ref="H25">((2*ttotal9)/(3*s_t))*(st_b[[#This Row],[s(tb)]]+(s_t/4))</f>
        <v>4.2469135802469131E-2</v>
      </c>
      <c r="I25" s="3">
        <f t="shared" si="4"/>
        <v>2.469135802469144E-4</v>
      </c>
      <c r="J25" s="14">
        <f t="shared" si="1"/>
        <v>4.9382716049382873</v>
      </c>
      <c r="M25" s="8">
        <v>2.4700000000000004E-3</v>
      </c>
      <c r="N25" s="3">
        <f>(-INDEX(Overview[b],9)+SQRT(POWER(INDEX(Overview[b],9),2)-(4*INDEX(Overview[a],9)*st_c[[#This Row],[c]])))/(2*INDEX(Overview[a],9))</f>
        <v>7.9976493301435803E-2</v>
      </c>
      <c r="O25" s="3">
        <f t="shared" si="5"/>
        <v>2.9235024306013824E-4</v>
      </c>
      <c r="P25" s="14">
        <f t="shared" si="2"/>
        <v>5.8470048612027643</v>
      </c>
    </row>
    <row r="26" spans="1:16" x14ac:dyDescent="0.25">
      <c r="A26" s="2">
        <v>2.3000000000000001E-4</v>
      </c>
      <c r="B26" s="3" cm="1">
        <f t="array" ref="B26">SQRT((4*POWER(ttotal9,2)*st_a[[#This Row],[s(ta)]])/(9*s_t))</f>
        <v>2.0510182377575494E-2</v>
      </c>
      <c r="C26" s="3">
        <f t="shared" si="3"/>
        <v>4.5082829205460306E-4</v>
      </c>
      <c r="D26" s="14">
        <f t="shared" si="0"/>
        <v>9.0165658410920617</v>
      </c>
      <c r="G26" s="8">
        <v>9.8000000000000019E-4</v>
      </c>
      <c r="H26" s="3" cm="1">
        <f t="array" ref="H26">((2*ttotal9)/(3*s_t))*(st_b[[#This Row],[s(tb)]]+(s_t/4))</f>
        <v>4.2716049382716045E-2</v>
      </c>
      <c r="I26" s="3">
        <f t="shared" si="4"/>
        <v>2.469135802469144E-4</v>
      </c>
      <c r="J26" s="14">
        <f t="shared" si="1"/>
        <v>4.9382716049382873</v>
      </c>
      <c r="M26" s="8">
        <v>2.48E-3</v>
      </c>
      <c r="N26" s="3">
        <f>(-INDEX(Overview[b],9)+SQRT(POWER(INDEX(Overview[b],9),2)-(4*INDEX(Overview[a],9)*st_c[[#This Row],[c]])))/(2*INDEX(Overview[a],9))</f>
        <v>8.0271614822723908E-2</v>
      </c>
      <c r="O26" s="3">
        <f t="shared" si="5"/>
        <v>2.9512152128810532E-4</v>
      </c>
      <c r="P26" s="14">
        <f t="shared" si="2"/>
        <v>5.9024304257621063</v>
      </c>
    </row>
    <row r="27" spans="1:16" x14ac:dyDescent="0.25">
      <c r="A27" s="2">
        <v>2.4000000000000003E-4</v>
      </c>
      <c r="B27" s="3" cm="1">
        <f t="array" ref="B27">SQRT((4*POWER(ttotal9,2)*st_a[[#This Row],[s(ta)]])/(9*s_t))</f>
        <v>2.0951312035156964E-2</v>
      </c>
      <c r="C27" s="3">
        <f t="shared" si="3"/>
        <v>4.4112965758147035E-4</v>
      </c>
      <c r="D27" s="14">
        <f t="shared" si="0"/>
        <v>8.8225931516294072</v>
      </c>
      <c r="G27" s="8">
        <v>9.8999999999999999E-4</v>
      </c>
      <c r="H27" s="3" cm="1">
        <f t="array" ref="H27">((2*ttotal9)/(3*s_t))*(st_b[[#This Row],[s(tb)]]+(s_t/4))</f>
        <v>4.2962962962962953E-2</v>
      </c>
      <c r="I27" s="3">
        <f t="shared" si="4"/>
        <v>2.4691358024690746E-4</v>
      </c>
      <c r="J27" s="14">
        <f t="shared" si="1"/>
        <v>4.9382716049381488</v>
      </c>
      <c r="M27" s="8">
        <v>2.49E-3</v>
      </c>
      <c r="N27" s="3">
        <f>(-INDEX(Overview[b],9)+SQRT(POWER(INDEX(Overview[b],9),2)-(4*INDEX(Overview[a],9)*st_c[[#This Row],[c]])))/(2*INDEX(Overview[a],9))</f>
        <v>8.0569587958387687E-2</v>
      </c>
      <c r="O27" s="3">
        <f t="shared" si="5"/>
        <v>2.9797313566377881E-4</v>
      </c>
      <c r="P27" s="14">
        <f t="shared" si="2"/>
        <v>5.9594627132755758</v>
      </c>
    </row>
    <row r="28" spans="1:16" x14ac:dyDescent="0.25">
      <c r="A28" s="2">
        <v>2.5000000000000001E-4</v>
      </c>
      <c r="B28" s="3" cm="1">
        <f t="array" ref="B28">SQRT((4*POWER(ttotal9,2)*st_a[[#This Row],[s(ta)]])/(9*s_t))</f>
        <v>2.1383343303319473E-2</v>
      </c>
      <c r="C28" s="3">
        <f t="shared" si="3"/>
        <v>4.3203126816250895E-4</v>
      </c>
      <c r="D28" s="14">
        <f t="shared" si="0"/>
        <v>8.6406253632501784</v>
      </c>
      <c r="G28" s="8">
        <v>1E-3</v>
      </c>
      <c r="H28" s="3" cm="1">
        <f t="array" ref="H28">((2*ttotal9)/(3*s_t))*(st_b[[#This Row],[s(tb)]]+(s_t/4))</f>
        <v>4.3209876543209867E-2</v>
      </c>
      <c r="I28" s="3">
        <f t="shared" si="4"/>
        <v>2.469135802469144E-4</v>
      </c>
      <c r="J28" s="14">
        <f t="shared" si="1"/>
        <v>4.9382716049382873</v>
      </c>
      <c r="M28" s="8">
        <v>2.5000000000000001E-3</v>
      </c>
      <c r="N28" s="3">
        <f>(-INDEX(Overview[b],9)+SQRT(POWER(INDEX(Overview[b],9),2)-(4*INDEX(Overview[a],9)*st_c[[#This Row],[c]])))/(2*INDEX(Overview[a],9))</f>
        <v>8.0870497002676803E-2</v>
      </c>
      <c r="O28" s="3">
        <f t="shared" si="5"/>
        <v>3.0090904428911602E-4</v>
      </c>
      <c r="P28" s="14">
        <f t="shared" si="2"/>
        <v>6.0181808857823205</v>
      </c>
    </row>
    <row r="29" spans="1:16" x14ac:dyDescent="0.25">
      <c r="A29" s="2">
        <v>2.6000000000000003E-4</v>
      </c>
      <c r="B29" s="3" cm="1">
        <f t="array" ref="B29">SQRT((4*POWER(ttotal9,2)*st_a[[#This Row],[s(ta)]])/(9*s_t))</f>
        <v>2.180681695389592E-2</v>
      </c>
      <c r="C29" s="3">
        <f t="shared" si="3"/>
        <v>4.2347365057644748E-4</v>
      </c>
      <c r="D29" s="14">
        <f t="shared" si="0"/>
        <v>8.4694730115289492</v>
      </c>
      <c r="G29" s="8">
        <v>1.01E-3</v>
      </c>
      <c r="H29" s="3" cm="1">
        <f t="array" ref="H29">((2*ttotal9)/(3*s_t))*(st_b[[#This Row],[s(tb)]]+(s_t/4))</f>
        <v>4.3456790123456782E-2</v>
      </c>
      <c r="I29" s="3">
        <f t="shared" si="4"/>
        <v>2.469135802469144E-4</v>
      </c>
      <c r="J29" s="14">
        <f t="shared" si="1"/>
        <v>4.9382716049382873</v>
      </c>
      <c r="M29" s="8">
        <v>2.5100000000000001E-3</v>
      </c>
      <c r="N29" s="3">
        <f>(-INDEX(Overview[b],9)+SQRT(POWER(INDEX(Overview[b],9),2)-(4*INDEX(Overview[a],9)*st_c[[#This Row],[c]])))/(2*INDEX(Overview[a],9))</f>
        <v>8.1174430486463833E-2</v>
      </c>
      <c r="O29" s="3">
        <f t="shared" si="5"/>
        <v>3.0393348378703056E-4</v>
      </c>
      <c r="P29" s="14">
        <f t="shared" si="2"/>
        <v>6.0786696757406107</v>
      </c>
    </row>
    <row r="30" spans="1:16" x14ac:dyDescent="0.25">
      <c r="A30" s="2">
        <v>2.7E-4</v>
      </c>
      <c r="B30" s="3" cm="1">
        <f t="array" ref="B30">SQRT((4*POWER(ttotal9,2)*st_a[[#This Row],[s(ta)]])/(9*s_t))</f>
        <v>2.2222222222222223E-2</v>
      </c>
      <c r="C30" s="3">
        <f t="shared" si="3"/>
        <v>4.1540526832630278E-4</v>
      </c>
      <c r="D30" s="14">
        <f t="shared" si="0"/>
        <v>8.3081053665260551</v>
      </c>
      <c r="G30" s="8">
        <v>1.0200000000000001E-3</v>
      </c>
      <c r="H30" s="3" cm="1">
        <f t="array" ref="H30">((2*ttotal9)/(3*s_t))*(st_b[[#This Row],[s(tb)]]+(s_t/4))</f>
        <v>4.3703703703703696E-2</v>
      </c>
      <c r="I30" s="3">
        <f t="shared" si="4"/>
        <v>2.469135802469144E-4</v>
      </c>
      <c r="J30" s="14">
        <f t="shared" si="1"/>
        <v>4.9382716049382873</v>
      </c>
      <c r="M30" s="8">
        <v>2.5200000000000001E-3</v>
      </c>
      <c r="N30" s="3">
        <f>(-INDEX(Overview[b],9)+SQRT(POWER(INDEX(Overview[b],9),2)-(4*INDEX(Overview[a],9)*st_c[[#This Row],[c]])))/(2*INDEX(Overview[a],9))</f>
        <v>8.148148148148146E-2</v>
      </c>
      <c r="O30" s="3">
        <f t="shared" si="5"/>
        <v>3.07050995017627E-4</v>
      </c>
      <c r="P30" s="14">
        <f t="shared" si="2"/>
        <v>6.1410199003525401</v>
      </c>
    </row>
    <row r="31" spans="1:16" x14ac:dyDescent="0.25">
      <c r="A31" s="2">
        <v>2.8000000000000003E-4</v>
      </c>
      <c r="B31" s="3" cm="1">
        <f t="array" ref="B31">SQRT((4*POWER(ttotal9,2)*st_a[[#This Row],[s(ta)]])/(9*s_t))</f>
        <v>2.2630003431880694E-2</v>
      </c>
      <c r="C31" s="3">
        <f t="shared" si="3"/>
        <v>4.0778120965847056E-4</v>
      </c>
      <c r="D31" s="14">
        <f t="shared" si="0"/>
        <v>8.1556241931694107</v>
      </c>
      <c r="G31" s="8">
        <v>1.0300000000000001E-3</v>
      </c>
      <c r="H31" s="3" cm="1">
        <f t="array" ref="H31">((2*ttotal9)/(3*s_t))*(st_b[[#This Row],[s(tb)]]+(s_t/4))</f>
        <v>4.395061728395061E-2</v>
      </c>
      <c r="I31" s="3">
        <f t="shared" si="4"/>
        <v>2.469135802469144E-4</v>
      </c>
      <c r="J31" s="14">
        <f t="shared" si="1"/>
        <v>4.9382716049382873</v>
      </c>
      <c r="M31" s="8">
        <v>2.5300000000000001E-3</v>
      </c>
      <c r="N31" s="3">
        <f>(-INDEX(Overview[b],9)+SQRT(POWER(INDEX(Overview[b],9),2)-(4*INDEX(Overview[a],9)*st_c[[#This Row],[c]])))/(2*INDEX(Overview[a],9))</f>
        <v>8.1791747933239678E-2</v>
      </c>
      <c r="O31" s="3">
        <f t="shared" si="5"/>
        <v>3.1026645175821765E-4</v>
      </c>
      <c r="P31" s="14">
        <f t="shared" si="2"/>
        <v>6.2053290351643531</v>
      </c>
    </row>
    <row r="32" spans="1:16" x14ac:dyDescent="0.25">
      <c r="A32" s="2">
        <v>2.9E-4</v>
      </c>
      <c r="B32" s="3" cm="1">
        <f t="array" ref="B32">SQRT((4*POWER(ttotal9,2)*st_a[[#This Row],[s(ta)]])/(9*s_t))</f>
        <v>2.3030565563182261E-2</v>
      </c>
      <c r="C32" s="3">
        <f t="shared" si="3"/>
        <v>4.0056213130156698E-4</v>
      </c>
      <c r="D32" s="14">
        <f t="shared" si="0"/>
        <v>8.0112426260313399</v>
      </c>
      <c r="G32" s="8">
        <v>1.0400000000000001E-3</v>
      </c>
      <c r="H32" s="3" cm="1">
        <f t="array" ref="H32">((2*ttotal9)/(3*s_t))*(st_b[[#This Row],[s(tb)]]+(s_t/4))</f>
        <v>4.4197530864197525E-2</v>
      </c>
      <c r="I32" s="3">
        <f t="shared" si="4"/>
        <v>2.469135802469144E-4</v>
      </c>
      <c r="J32" s="14">
        <f t="shared" si="1"/>
        <v>4.9382716049382873</v>
      </c>
      <c r="M32" s="8">
        <v>2.5400000000000002E-3</v>
      </c>
      <c r="N32" s="3">
        <f>(-INDEX(Overview[b],9)+SQRT(POWER(INDEX(Overview[b],9),2)-(4*INDEX(Overview[a],9)*st_c[[#This Row],[c]])))/(2*INDEX(Overview[a],9))</f>
        <v>8.2105333025998192E-2</v>
      </c>
      <c r="O32" s="3">
        <f t="shared" si="5"/>
        <v>3.1358509275851432E-4</v>
      </c>
      <c r="P32" s="14">
        <f t="shared" si="2"/>
        <v>6.2717018551702859</v>
      </c>
    </row>
    <row r="33" spans="1:16" x14ac:dyDescent="0.25">
      <c r="A33" s="2">
        <v>3.0000000000000003E-4</v>
      </c>
      <c r="B33" s="3" cm="1">
        <f t="array" ref="B33">SQRT((4*POWER(ttotal9,2)*st_a[[#This Row],[s(ta)]])/(9*s_t))</f>
        <v>2.3424278964210218E-2</v>
      </c>
      <c r="C33" s="3">
        <f t="shared" si="3"/>
        <v>3.9371340102795777E-4</v>
      </c>
      <c r="D33" s="14">
        <f t="shared" si="0"/>
        <v>7.8742680205591551</v>
      </c>
      <c r="G33" s="8">
        <v>1.0500000000000002E-3</v>
      </c>
      <c r="H33" s="3" cm="1">
        <f t="array" ref="H33">((2*ttotal9)/(3*s_t))*(st_b[[#This Row],[s(tb)]]+(s_t/4))</f>
        <v>4.4444444444444439E-2</v>
      </c>
      <c r="I33" s="3">
        <f t="shared" si="4"/>
        <v>2.469135802469144E-4</v>
      </c>
      <c r="J33" s="14">
        <f t="shared" si="1"/>
        <v>4.9382716049382873</v>
      </c>
      <c r="M33" s="8">
        <v>2.5500000000000002E-3</v>
      </c>
      <c r="N33" s="3">
        <f>(-INDEX(Overview[b],9)+SQRT(POWER(INDEX(Overview[b],9),2)-(4*INDEX(Overview[a],9)*st_c[[#This Row],[c]])))/(2*INDEX(Overview[a],9))</f>
        <v>8.2422345583648735E-2</v>
      </c>
      <c r="O33" s="3">
        <f t="shared" si="5"/>
        <v>3.1701255765054226E-4</v>
      </c>
      <c r="P33" s="14">
        <f t="shared" si="2"/>
        <v>6.3402511530108452</v>
      </c>
    </row>
    <row r="34" spans="1:16" x14ac:dyDescent="0.25">
      <c r="A34" s="2">
        <v>3.1E-4</v>
      </c>
      <c r="B34" s="3" cm="1">
        <f t="array" ref="B34">SQRT((4*POWER(ttotal9,2)*st_a[[#This Row],[s(ta)]])/(9*s_t))</f>
        <v>2.3811483360476431E-2</v>
      </c>
      <c r="C34" s="3">
        <f t="shared" si="3"/>
        <v>3.8720439626621292E-4</v>
      </c>
      <c r="D34" s="14">
        <f t="shared" si="0"/>
        <v>7.7440879253242576</v>
      </c>
      <c r="G34" s="8">
        <v>1.0600000000000002E-3</v>
      </c>
      <c r="H34" s="3" cm="1">
        <f t="array" ref="H34">((2*ttotal9)/(3*s_t))*(st_b[[#This Row],[s(tb)]]+(s_t/4))</f>
        <v>4.4691358024691354E-2</v>
      </c>
      <c r="I34" s="3">
        <f t="shared" si="4"/>
        <v>2.469135802469144E-4</v>
      </c>
      <c r="J34" s="14">
        <f t="shared" si="1"/>
        <v>4.9382716049382873</v>
      </c>
      <c r="M34" s="8">
        <v>2.5600000000000002E-3</v>
      </c>
      <c r="N34" s="3">
        <f>(-INDEX(Overview[b],9)+SQRT(POWER(INDEX(Overview[b],9),2)-(4*INDEX(Overview[a],9)*st_c[[#This Row],[c]])))/(2*INDEX(Overview[a],9))</f>
        <v>8.2742900510923298E-2</v>
      </c>
      <c r="O34" s="3">
        <f t="shared" si="5"/>
        <v>3.2055492727456336E-4</v>
      </c>
      <c r="P34" s="14">
        <f t="shared" si="2"/>
        <v>6.4110985454912672</v>
      </c>
    </row>
    <row r="35" spans="1:16" x14ac:dyDescent="0.25">
      <c r="A35" s="2">
        <v>3.2000000000000003E-4</v>
      </c>
      <c r="B35" s="3" cm="1">
        <f t="array" ref="B35">SQRT((4*POWER(ttotal9,2)*st_a[[#This Row],[s(ta)]])/(9*s_t))</f>
        <v>2.4192491286747438E-2</v>
      </c>
      <c r="C35" s="3">
        <f t="shared" si="3"/>
        <v>3.8100792627100699E-4</v>
      </c>
      <c r="D35" s="14">
        <f t="shared" si="0"/>
        <v>7.6201585254201394</v>
      </c>
      <c r="G35" s="8">
        <v>1.07E-3</v>
      </c>
      <c r="H35" s="3" cm="1">
        <f t="array" ref="H35">((2*ttotal9)/(3*s_t))*(st_b[[#This Row],[s(tb)]]+(s_t/4))</f>
        <v>4.4938271604938261E-2</v>
      </c>
      <c r="I35" s="3">
        <f t="shared" si="4"/>
        <v>2.4691358024690746E-4</v>
      </c>
      <c r="J35" s="14">
        <f t="shared" si="1"/>
        <v>4.9382716049381488</v>
      </c>
      <c r="M35" s="8">
        <v>2.5700000000000002E-3</v>
      </c>
      <c r="N35" s="3">
        <f>(-INDEX(Overview[b],9)+SQRT(POWER(INDEX(Overview[b],9),2)-(4*INDEX(Overview[a],9)*st_c[[#This Row],[c]])))/(2*INDEX(Overview[a],9))</f>
        <v>8.306711927999863E-2</v>
      </c>
      <c r="O35" s="3">
        <f t="shared" si="5"/>
        <v>3.2421876907533231E-4</v>
      </c>
      <c r="P35" s="14">
        <f t="shared" si="2"/>
        <v>6.4843753815066458</v>
      </c>
    </row>
    <row r="36" spans="1:16" x14ac:dyDescent="0.25">
      <c r="A36" s="2">
        <v>3.3000000000000005E-4</v>
      </c>
      <c r="B36" s="3" cm="1">
        <f t="array" ref="B36">SQRT((4*POWER(ttotal9,2)*st_a[[#This Row],[s(ta)]])/(9*s_t))</f>
        <v>2.4567591039669628E-2</v>
      </c>
      <c r="C36" s="3">
        <f t="shared" si="3"/>
        <v>3.7509975292219014E-4</v>
      </c>
      <c r="D36" s="14">
        <f t="shared" si="0"/>
        <v>7.5019950584438027</v>
      </c>
      <c r="G36" s="8">
        <v>1.08E-3</v>
      </c>
      <c r="H36" s="3" cm="1">
        <f t="array" ref="H36">((2*ttotal9)/(3*s_t))*(st_b[[#This Row],[s(tb)]]+(s_t/4))</f>
        <v>4.5185185185185175E-2</v>
      </c>
      <c r="I36" s="3">
        <f t="shared" si="4"/>
        <v>2.469135802469144E-4</v>
      </c>
      <c r="J36" s="14">
        <f t="shared" si="1"/>
        <v>4.9382716049382873</v>
      </c>
      <c r="M36" s="8">
        <v>2.5800000000000003E-3</v>
      </c>
      <c r="N36" s="3">
        <f>(-INDEX(Overview[b],9)+SQRT(POWER(INDEX(Overview[b],9),2)-(4*INDEX(Overview[a],9)*st_c[[#This Row],[c]])))/(2*INDEX(Overview[a],9))</f>
        <v>8.3395130468341155E-2</v>
      </c>
      <c r="O36" s="3">
        <f t="shared" si="5"/>
        <v>3.2801118834252518E-4</v>
      </c>
      <c r="P36" s="14">
        <f t="shared" si="2"/>
        <v>6.5602237668505037</v>
      </c>
    </row>
    <row r="37" spans="1:16" x14ac:dyDescent="0.25">
      <c r="A37" s="2">
        <v>3.4000000000000002E-4</v>
      </c>
      <c r="B37" s="3" cm="1">
        <f t="array" ref="B37">SQRT((4*POWER(ttotal9,2)*st_a[[#This Row],[s(ta)]])/(9*s_t))</f>
        <v>2.4937049230523648E-2</v>
      </c>
      <c r="C37" s="3">
        <f t="shared" si="3"/>
        <v>3.6945819085401968E-4</v>
      </c>
      <c r="D37" s="14">
        <f t="shared" si="0"/>
        <v>7.3891638170803935</v>
      </c>
      <c r="G37" s="8">
        <v>1.09E-3</v>
      </c>
      <c r="H37" s="3" cm="1">
        <f t="array" ref="H37">((2*ttotal9)/(3*s_t))*(st_b[[#This Row],[s(tb)]]+(s_t/4))</f>
        <v>4.543209876543209E-2</v>
      </c>
      <c r="I37" s="3">
        <f t="shared" si="4"/>
        <v>2.469135802469144E-4</v>
      </c>
      <c r="J37" s="14">
        <f t="shared" si="1"/>
        <v>4.9382716049382873</v>
      </c>
      <c r="M37" s="8">
        <v>2.5900000000000003E-3</v>
      </c>
      <c r="N37" s="3">
        <f>(-INDEX(Overview[b],9)+SQRT(POWER(INDEX(Overview[b],9),2)-(4*INDEX(Overview[a],9)*st_c[[#This Row],[c]])))/(2*INDEX(Overview[a],9))</f>
        <v>8.3727070354544644E-2</v>
      </c>
      <c r="O37" s="3">
        <f t="shared" si="5"/>
        <v>3.3193988620348891E-4</v>
      </c>
      <c r="P37" s="14">
        <f t="shared" si="2"/>
        <v>6.6387977240697778</v>
      </c>
    </row>
    <row r="38" spans="1:16" x14ac:dyDescent="0.25">
      <c r="A38" s="2">
        <v>3.5000000000000005E-4</v>
      </c>
      <c r="B38" s="3" cm="1">
        <f t="array" ref="B38">SQRT((4*POWER(ttotal9,2)*st_a[[#This Row],[s(ta)]])/(9*s_t))</f>
        <v>2.5301113002369383E-2</v>
      </c>
      <c r="C38" s="3">
        <f t="shared" si="3"/>
        <v>3.6406377184573444E-4</v>
      </c>
      <c r="D38" s="14">
        <f t="shared" si="0"/>
        <v>7.2812754369146884</v>
      </c>
      <c r="G38" s="8">
        <v>1.1000000000000001E-3</v>
      </c>
      <c r="H38" s="3" cm="1">
        <f t="array" ref="H38">((2*ttotal9)/(3*s_t))*(st_b[[#This Row],[s(tb)]]+(s_t/4))</f>
        <v>4.5679012345679004E-2</v>
      </c>
      <c r="I38" s="3">
        <f t="shared" si="4"/>
        <v>2.469135802469144E-4</v>
      </c>
      <c r="J38" s="14">
        <f t="shared" si="1"/>
        <v>4.9382716049382873</v>
      </c>
      <c r="M38" s="8">
        <v>2.6000000000000003E-3</v>
      </c>
      <c r="N38" s="3">
        <f>(-INDEX(Overview[b],9)+SQRT(POWER(INDEX(Overview[b],9),2)-(4*INDEX(Overview[a],9)*st_c[[#This Row],[c]])))/(2*INDEX(Overview[a],9))</f>
        <v>8.406308357999176E-2</v>
      </c>
      <c r="O38" s="3">
        <f t="shared" si="5"/>
        <v>3.3601322544711543E-4</v>
      </c>
      <c r="P38" s="14">
        <f t="shared" si="2"/>
        <v>6.7202645089423081</v>
      </c>
    </row>
    <row r="39" spans="1:16" x14ac:dyDescent="0.25">
      <c r="A39" s="2">
        <v>3.6000000000000002E-4</v>
      </c>
      <c r="B39" s="3" cm="1">
        <f t="array" ref="B39">SQRT((4*POWER(ttotal9,2)*st_a[[#This Row],[s(ta)]])/(9*s_t))</f>
        <v>2.5660011963983365E-2</v>
      </c>
      <c r="C39" s="3">
        <f t="shared" si="3"/>
        <v>3.5889896161398274E-4</v>
      </c>
      <c r="D39" s="14">
        <f t="shared" si="0"/>
        <v>7.1779792322796547</v>
      </c>
      <c r="G39" s="8">
        <v>1.1100000000000001E-3</v>
      </c>
      <c r="H39" s="3" cm="1">
        <f t="array" ref="H39">((2*ttotal9)/(3*s_t))*(st_b[[#This Row],[s(tb)]]+(s_t/4))</f>
        <v>4.5925925925925919E-2</v>
      </c>
      <c r="I39" s="3">
        <f t="shared" si="4"/>
        <v>2.469135802469144E-4</v>
      </c>
      <c r="J39" s="14">
        <f t="shared" si="1"/>
        <v>4.9382716049382873</v>
      </c>
      <c r="M39" s="8">
        <v>2.6100000000000003E-3</v>
      </c>
      <c r="N39" s="3">
        <f>(-INDEX(Overview[b],9)+SQRT(POWER(INDEX(Overview[b],9),2)-(4*INDEX(Overview[a],9)*st_c[[#This Row],[c]])))/(2*INDEX(Overview[a],9))</f>
        <v>8.4403323885451936E-2</v>
      </c>
      <c r="O39" s="3">
        <f t="shared" si="5"/>
        <v>3.4024030546017658E-4</v>
      </c>
      <c r="P39" s="14">
        <f t="shared" si="2"/>
        <v>6.8048061092035317</v>
      </c>
    </row>
    <row r="40" spans="1:16" x14ac:dyDescent="0.25">
      <c r="A40" s="2">
        <v>3.7000000000000005E-4</v>
      </c>
      <c r="B40" s="3" cm="1">
        <f t="array" ref="B40">SQRT((4*POWER(ttotal9,2)*st_a[[#This Row],[s(ta)]])/(9*s_t))</f>
        <v>2.6013959883587012E-2</v>
      </c>
      <c r="C40" s="3">
        <f t="shared" si="3"/>
        <v>3.5394791960364699E-4</v>
      </c>
      <c r="D40" s="14">
        <f t="shared" si="0"/>
        <v>7.0789583920729395</v>
      </c>
      <c r="G40" s="8">
        <v>1.1200000000000001E-3</v>
      </c>
      <c r="H40" s="3" cm="1">
        <f t="array" ref="H40">((2*ttotal9)/(3*s_t))*(st_b[[#This Row],[s(tb)]]+(s_t/4))</f>
        <v>4.6172839506172833E-2</v>
      </c>
      <c r="I40" s="3">
        <f t="shared" si="4"/>
        <v>2.469135802469144E-4</v>
      </c>
      <c r="J40" s="14">
        <f t="shared" si="1"/>
        <v>4.9382716049382873</v>
      </c>
      <c r="M40" s="8">
        <v>2.6200000000000004E-3</v>
      </c>
      <c r="N40" s="3">
        <f>(-INDEX(Overview[b],9)+SQRT(POWER(INDEX(Overview[b],9),2)-(4*INDEX(Overview[a],9)*st_c[[#This Row],[c]])))/(2*INDEX(Overview[a],9))</f>
        <v>8.4747954933256028E-2</v>
      </c>
      <c r="O40" s="3">
        <f t="shared" si="5"/>
        <v>3.4463104780409204E-4</v>
      </c>
      <c r="P40" s="14">
        <f t="shared" si="2"/>
        <v>6.8926209560818403</v>
      </c>
    </row>
    <row r="41" spans="1:16" x14ac:dyDescent="0.25">
      <c r="A41" s="2">
        <v>3.8000000000000002E-4</v>
      </c>
      <c r="B41" s="3" cm="1">
        <f t="array" ref="B41">SQRT((4*POWER(ttotal9,2)*st_a[[#This Row],[s(ta)]])/(9*s_t))</f>
        <v>2.636315617785509E-2</v>
      </c>
      <c r="C41" s="3">
        <f t="shared" si="3"/>
        <v>3.4919629426807819E-4</v>
      </c>
      <c r="D41" s="14">
        <f t="shared" si="0"/>
        <v>6.9839258853615638</v>
      </c>
      <c r="G41" s="8">
        <v>1.1300000000000001E-3</v>
      </c>
      <c r="H41" s="3" cm="1">
        <f t="array" ref="H41">((2*ttotal9)/(3*s_t))*(st_b[[#This Row],[s(tb)]]+(s_t/4))</f>
        <v>4.6419753086419747E-2</v>
      </c>
      <c r="I41" s="3">
        <f t="shared" si="4"/>
        <v>2.469135802469144E-4</v>
      </c>
      <c r="J41" s="14">
        <f t="shared" si="1"/>
        <v>4.9382716049382873</v>
      </c>
      <c r="M41" s="8">
        <v>2.6300000000000004E-3</v>
      </c>
      <c r="N41" s="3">
        <f>(-INDEX(Overview[b],9)+SQRT(POWER(INDEX(Overview[b],9),2)-(4*INDEX(Overview[a],9)*st_c[[#This Row],[c]])))/(2*INDEX(Overview[a],9))</f>
        <v>8.5097151227524079E-2</v>
      </c>
      <c r="O41" s="3">
        <f t="shared" si="5"/>
        <v>3.4919629426805043E-4</v>
      </c>
      <c r="P41" s="14">
        <f t="shared" si="2"/>
        <v>6.9839258853610087</v>
      </c>
    </row>
    <row r="42" spans="1:16" x14ac:dyDescent="0.25">
      <c r="A42" s="2">
        <v>3.9000000000000005E-4</v>
      </c>
      <c r="B42" s="3" cm="1">
        <f t="array" ref="B42">SQRT((4*POWER(ttotal9,2)*st_a[[#This Row],[s(ta)]])/(9*s_t))</f>
        <v>2.6707787225659183E-2</v>
      </c>
      <c r="C42" s="3">
        <f t="shared" si="3"/>
        <v>3.4463104780409204E-4</v>
      </c>
      <c r="D42" s="14">
        <f t="shared" si="0"/>
        <v>6.8926209560818403</v>
      </c>
      <c r="G42" s="8">
        <v>1.1400000000000002E-3</v>
      </c>
      <c r="H42" s="3" cm="1">
        <f t="array" ref="H42">((2*ttotal9)/(3*s_t))*(st_b[[#This Row],[s(tb)]]+(s_t/4))</f>
        <v>4.6666666666666662E-2</v>
      </c>
      <c r="I42" s="3">
        <f t="shared" si="4"/>
        <v>2.469135802469144E-4</v>
      </c>
      <c r="J42" s="14">
        <f t="shared" si="1"/>
        <v>4.9382716049382873</v>
      </c>
      <c r="M42" s="8">
        <v>2.6400000000000004E-3</v>
      </c>
      <c r="N42" s="3">
        <f>(-INDEX(Overview[b],9)+SQRT(POWER(INDEX(Overview[b],9),2)-(4*INDEX(Overview[a],9)*st_c[[#This Row],[c]])))/(2*INDEX(Overview[a],9))</f>
        <v>8.5451099147127715E-2</v>
      </c>
      <c r="O42" s="3">
        <f t="shared" si="5"/>
        <v>3.5394791960363658E-4</v>
      </c>
      <c r="P42" s="14">
        <f t="shared" si="2"/>
        <v>7.0789583920727317</v>
      </c>
    </row>
    <row r="43" spans="1:16" x14ac:dyDescent="0.25">
      <c r="A43" s="2">
        <v>4.0000000000000002E-4</v>
      </c>
      <c r="B43" s="3" cm="1">
        <f t="array" ref="B43">SQRT((4*POWER(ttotal9,2)*st_a[[#This Row],[s(ta)]])/(9*s_t))</f>
        <v>2.7048027531119314E-2</v>
      </c>
      <c r="C43" s="3">
        <f t="shared" si="3"/>
        <v>3.4024030546013148E-4</v>
      </c>
      <c r="D43" s="14">
        <f t="shared" si="0"/>
        <v>6.8048061092026293</v>
      </c>
      <c r="G43" s="8">
        <v>1.1500000000000002E-3</v>
      </c>
      <c r="H43" s="3" cm="1">
        <f t="array" ref="H43">((2*ttotal9)/(3*s_t))*(st_b[[#This Row],[s(tb)]]+(s_t/4))</f>
        <v>4.6913580246913576E-2</v>
      </c>
      <c r="I43" s="3">
        <f t="shared" si="4"/>
        <v>2.469135802469144E-4</v>
      </c>
      <c r="J43" s="14">
        <f t="shared" si="1"/>
        <v>4.9382716049382873</v>
      </c>
      <c r="M43" s="8">
        <v>2.65E-3</v>
      </c>
      <c r="N43" s="3">
        <f>(-INDEX(Overview[b],9)+SQRT(POWER(INDEX(Overview[b],9),2)-(4*INDEX(Overview[a],9)*st_c[[#This Row],[c]])))/(2*INDEX(Overview[a],9))</f>
        <v>8.5809998108741695E-2</v>
      </c>
      <c r="O43" s="3">
        <f t="shared" si="5"/>
        <v>3.5889896161397927E-4</v>
      </c>
      <c r="P43" s="14">
        <f t="shared" si="2"/>
        <v>7.1779792322795855</v>
      </c>
    </row>
    <row r="44" spans="1:16" x14ac:dyDescent="0.25">
      <c r="A44" s="2">
        <v>4.1000000000000005E-4</v>
      </c>
      <c r="B44" s="3" cm="1">
        <f t="array" ref="B44">SQRT((4*POWER(ttotal9,2)*st_a[[#This Row],[s(ta)]])/(9*s_t))</f>
        <v>2.7384040756566464E-2</v>
      </c>
      <c r="C44" s="3">
        <f t="shared" si="3"/>
        <v>3.3601322544715012E-4</v>
      </c>
      <c r="D44" s="14">
        <f t="shared" si="0"/>
        <v>6.7202645089430018</v>
      </c>
      <c r="G44" s="8">
        <v>1.16E-3</v>
      </c>
      <c r="H44" s="3" cm="1">
        <f t="array" ref="H44">((2*ttotal9)/(3*s_t))*(st_b[[#This Row],[s(tb)]]+(s_t/4))</f>
        <v>4.7160493827160484E-2</v>
      </c>
      <c r="I44" s="3">
        <f t="shared" si="4"/>
        <v>2.4691358024690746E-4</v>
      </c>
      <c r="J44" s="14">
        <f t="shared" si="1"/>
        <v>4.9382716049381488</v>
      </c>
      <c r="M44" s="8">
        <v>2.66E-3</v>
      </c>
      <c r="N44" s="3">
        <f>(-INDEX(Overview[b],9)+SQRT(POWER(INDEX(Overview[b],9),2)-(4*INDEX(Overview[a],9)*st_c[[#This Row],[c]])))/(2*INDEX(Overview[a],9))</f>
        <v>8.6174061880587446E-2</v>
      </c>
      <c r="O44" s="3">
        <f t="shared" si="5"/>
        <v>3.6406377184575178E-4</v>
      </c>
      <c r="P44" s="14">
        <f t="shared" si="2"/>
        <v>7.2812754369150356</v>
      </c>
    </row>
    <row r="45" spans="1:16" x14ac:dyDescent="0.25">
      <c r="A45" s="2">
        <v>4.2000000000000002E-4</v>
      </c>
      <c r="B45" s="3" cm="1">
        <f t="array" ref="B45">SQRT((4*POWER(ttotal9,2)*st_a[[#This Row],[s(ta)]])/(9*s_t))</f>
        <v>2.7715980642769936E-2</v>
      </c>
      <c r="C45" s="3">
        <f t="shared" si="3"/>
        <v>3.3193988620347156E-4</v>
      </c>
      <c r="D45" s="14">
        <f t="shared" si="0"/>
        <v>6.6387977240694314</v>
      </c>
      <c r="G45" s="8">
        <v>1.17E-3</v>
      </c>
      <c r="H45" s="3" cm="1">
        <f t="array" ref="H45">((2*ttotal9)/(3*s_t))*(st_b[[#This Row],[s(tb)]]+(s_t/4))</f>
        <v>4.7407407407407398E-2</v>
      </c>
      <c r="I45" s="3">
        <f t="shared" si="4"/>
        <v>2.469135802469144E-4</v>
      </c>
      <c r="J45" s="14">
        <f t="shared" si="1"/>
        <v>4.9382716049382873</v>
      </c>
      <c r="M45" s="8">
        <v>2.6700000000000001E-3</v>
      </c>
      <c r="N45" s="3">
        <f>(-INDEX(Overview[b],9)+SQRT(POWER(INDEX(Overview[b],9),2)-(4*INDEX(Overview[a],9)*st_c[[#This Row],[c]])))/(2*INDEX(Overview[a],9))</f>
        <v>8.6543520071441477E-2</v>
      </c>
      <c r="O45" s="3">
        <f t="shared" si="5"/>
        <v>3.6945819085403009E-4</v>
      </c>
      <c r="P45" s="14">
        <f t="shared" si="2"/>
        <v>7.3891638170806013</v>
      </c>
    </row>
    <row r="46" spans="1:16" x14ac:dyDescent="0.25">
      <c r="A46" s="2">
        <v>4.3000000000000004E-4</v>
      </c>
      <c r="B46" s="3" cm="1">
        <f t="array" ref="B46">SQRT((4*POWER(ttotal9,2)*st_a[[#This Row],[s(ta)]])/(9*s_t))</f>
        <v>2.8043991831112464E-2</v>
      </c>
      <c r="C46" s="3">
        <f t="shared" si="3"/>
        <v>3.2801118834252865E-4</v>
      </c>
      <c r="D46" s="14">
        <f t="shared" si="0"/>
        <v>6.560223766850573</v>
      </c>
      <c r="G46" s="8">
        <v>1.1800000000000001E-3</v>
      </c>
      <c r="H46" s="3" cm="1">
        <f t="array" ref="H46">((2*ttotal9)/(3*s_t))*(st_b[[#This Row],[s(tb)]]+(s_t/4))</f>
        <v>4.7654320987654313E-2</v>
      </c>
      <c r="I46" s="3">
        <f t="shared" si="4"/>
        <v>2.469135802469144E-4</v>
      </c>
      <c r="J46" s="14">
        <f t="shared" si="1"/>
        <v>4.9382716049382873</v>
      </c>
      <c r="M46" s="8">
        <v>2.6800000000000001E-3</v>
      </c>
      <c r="N46" s="3">
        <f>(-INDEX(Overview[b],9)+SQRT(POWER(INDEX(Overview[b],9),2)-(4*INDEX(Overview[a],9)*st_c[[#This Row],[c]])))/(2*INDEX(Overview[a],9))</f>
        <v>8.6918619824363649E-2</v>
      </c>
      <c r="O46" s="3">
        <f t="shared" si="5"/>
        <v>3.7509975292217279E-4</v>
      </c>
      <c r="P46" s="14">
        <f t="shared" si="2"/>
        <v>7.5019950584434554</v>
      </c>
    </row>
    <row r="47" spans="1:16" x14ac:dyDescent="0.25">
      <c r="A47" s="2">
        <v>4.4000000000000002E-4</v>
      </c>
      <c r="B47" s="3" cm="1">
        <f t="array" ref="B47">SQRT((4*POWER(ttotal9,2)*st_a[[#This Row],[s(ta)]])/(9*s_t))</f>
        <v>2.8368210600187793E-2</v>
      </c>
      <c r="C47" s="3">
        <f t="shared" si="3"/>
        <v>3.2421876907532884E-4</v>
      </c>
      <c r="D47" s="14">
        <f t="shared" si="0"/>
        <v>6.4843753815065766</v>
      </c>
      <c r="G47" s="8">
        <v>1.1900000000000001E-3</v>
      </c>
      <c r="H47" s="3" cm="1">
        <f t="array" ref="H47">((2*ttotal9)/(3*s_t))*(st_b[[#This Row],[s(tb)]]+(s_t/4))</f>
        <v>4.7901234567901227E-2</v>
      </c>
      <c r="I47" s="3">
        <f t="shared" si="4"/>
        <v>2.469135802469144E-4</v>
      </c>
      <c r="J47" s="14">
        <f t="shared" si="1"/>
        <v>4.9382716049382873</v>
      </c>
      <c r="M47" s="8">
        <v>2.6900000000000001E-3</v>
      </c>
      <c r="N47" s="3">
        <f>(-INDEX(Overview[b],9)+SQRT(POWER(INDEX(Overview[b],9),2)-(4*INDEX(Overview[a],9)*st_c[[#This Row],[c]])))/(2*INDEX(Overview[a],9))</f>
        <v>8.7299627750634656E-2</v>
      </c>
      <c r="O47" s="3">
        <f t="shared" si="5"/>
        <v>3.8100792627100699E-4</v>
      </c>
      <c r="P47" s="14">
        <f t="shared" si="2"/>
        <v>7.6201585254201394</v>
      </c>
    </row>
    <row r="48" spans="1:16" x14ac:dyDescent="0.25">
      <c r="A48" s="2">
        <v>4.5000000000000004E-4</v>
      </c>
      <c r="B48" s="3" cm="1">
        <f t="array" ref="B48">SQRT((4*POWER(ttotal9,2)*st_a[[#This Row],[s(ta)]])/(9*s_t))</f>
        <v>2.868876552746235E-2</v>
      </c>
      <c r="C48" s="3">
        <f t="shared" si="3"/>
        <v>3.2055492727455642E-4</v>
      </c>
      <c r="D48" s="14">
        <f t="shared" si="0"/>
        <v>6.4110985454911278</v>
      </c>
      <c r="G48" s="8">
        <v>1.2000000000000001E-3</v>
      </c>
      <c r="H48" s="3" cm="1">
        <f t="array" ref="H48">((2*ttotal9)/(3*s_t))*(st_b[[#This Row],[s(tb)]]+(s_t/4))</f>
        <v>4.8148148148148141E-2</v>
      </c>
      <c r="I48" s="3">
        <f t="shared" si="4"/>
        <v>2.469135802469144E-4</v>
      </c>
      <c r="J48" s="14">
        <f t="shared" si="1"/>
        <v>4.9382716049382873</v>
      </c>
      <c r="M48" s="8">
        <v>2.7000000000000001E-3</v>
      </c>
      <c r="N48" s="3">
        <f>(-INDEX(Overview[b],9)+SQRT(POWER(INDEX(Overview[b],9),2)-(4*INDEX(Overview[a],9)*st_c[[#This Row],[c]])))/(2*INDEX(Overview[a],9))</f>
        <v>8.7686832146900859E-2</v>
      </c>
      <c r="O48" s="3">
        <f t="shared" si="5"/>
        <v>3.8720439626620251E-4</v>
      </c>
      <c r="P48" s="14">
        <f t="shared" si="2"/>
        <v>7.7440879253240498</v>
      </c>
    </row>
    <row r="49" spans="1:16" x14ac:dyDescent="0.25">
      <c r="A49" s="2">
        <v>4.6000000000000001E-4</v>
      </c>
      <c r="B49" s="3" cm="1">
        <f t="array" ref="B49">SQRT((4*POWER(ttotal9,2)*st_a[[#This Row],[s(ta)]])/(9*s_t))</f>
        <v>2.9005778085112916E-2</v>
      </c>
      <c r="C49" s="3">
        <f t="shared" si="3"/>
        <v>3.1701255765056655E-4</v>
      </c>
      <c r="D49" s="14">
        <f t="shared" si="0"/>
        <v>6.340251153011331</v>
      </c>
      <c r="G49" s="8">
        <v>1.2100000000000001E-3</v>
      </c>
      <c r="H49" s="3" cm="1">
        <f t="array" ref="H49">((2*ttotal9)/(3*s_t))*(st_b[[#This Row],[s(tb)]]+(s_t/4))</f>
        <v>4.8395061728395056E-2</v>
      </c>
      <c r="I49" s="3">
        <f t="shared" si="4"/>
        <v>2.469135802469144E-4</v>
      </c>
      <c r="J49" s="14">
        <f t="shared" si="1"/>
        <v>4.9382716049382873</v>
      </c>
      <c r="M49" s="8">
        <v>2.7100000000000002E-3</v>
      </c>
      <c r="N49" s="3">
        <f>(-INDEX(Overview[b],9)+SQRT(POWER(INDEX(Overview[b],9),2)-(4*INDEX(Overview[a],9)*st_c[[#This Row],[c]])))/(2*INDEX(Overview[a],9))</f>
        <v>8.8080545547928851E-2</v>
      </c>
      <c r="O49" s="3">
        <f t="shared" si="5"/>
        <v>3.9371340102799246E-4</v>
      </c>
      <c r="P49" s="14">
        <f t="shared" si="2"/>
        <v>7.8742680205598488</v>
      </c>
    </row>
    <row r="50" spans="1:16" x14ac:dyDescent="0.25">
      <c r="A50" s="2">
        <v>4.7000000000000004E-4</v>
      </c>
      <c r="B50" s="3" cm="1">
        <f t="array" ref="B50">SQRT((4*POWER(ttotal9,2)*st_a[[#This Row],[s(ta)]])/(9*s_t))</f>
        <v>2.9319363177871403E-2</v>
      </c>
      <c r="C50" s="3">
        <f t="shared" si="3"/>
        <v>3.1358509275848656E-4</v>
      </c>
      <c r="D50" s="14">
        <f t="shared" si="0"/>
        <v>6.2717018551697308</v>
      </c>
      <c r="G50" s="8">
        <v>1.2200000000000002E-3</v>
      </c>
      <c r="H50" s="3" cm="1">
        <f t="array" ref="H50">((2*ttotal9)/(3*s_t))*(st_b[[#This Row],[s(tb)]]+(s_t/4))</f>
        <v>4.8641975308641977E-2</v>
      </c>
      <c r="I50" s="3">
        <f t="shared" si="4"/>
        <v>2.4691358024692134E-4</v>
      </c>
      <c r="J50" s="14">
        <f t="shared" si="1"/>
        <v>4.9382716049384268</v>
      </c>
      <c r="M50" s="8">
        <v>2.7200000000000002E-3</v>
      </c>
      <c r="N50" s="3">
        <f>(-INDEX(Overview[b],9)+SQRT(POWER(INDEX(Overview[b],9),2)-(4*INDEX(Overview[a],9)*st_c[[#This Row],[c]])))/(2*INDEX(Overview[a],9))</f>
        <v>8.8481107679230397E-2</v>
      </c>
      <c r="O50" s="3">
        <f t="shared" si="5"/>
        <v>4.0056213130154616E-4</v>
      </c>
      <c r="P50" s="14">
        <f t="shared" si="2"/>
        <v>8.0112426260309224</v>
      </c>
    </row>
    <row r="51" spans="1:16" x14ac:dyDescent="0.25">
      <c r="A51" s="2">
        <v>4.8000000000000007E-4</v>
      </c>
      <c r="B51" s="3" cm="1">
        <f t="array" ref="B51">SQRT((4*POWER(ttotal9,2)*st_a[[#This Row],[s(ta)]])/(9*s_t))</f>
        <v>2.9629629629629631E-2</v>
      </c>
      <c r="C51" s="3">
        <f t="shared" si="3"/>
        <v>3.1026645175822806E-4</v>
      </c>
      <c r="D51" s="14">
        <f t="shared" si="0"/>
        <v>6.2053290351645609</v>
      </c>
      <c r="G51" s="8">
        <v>1.2300000000000002E-3</v>
      </c>
      <c r="H51" s="3" cm="1">
        <f t="array" ref="H51">((2*ttotal9)/(3*s_t))*(st_b[[#This Row],[s(tb)]]+(s_t/4))</f>
        <v>4.8888888888888878E-2</v>
      </c>
      <c r="I51" s="3">
        <f t="shared" si="4"/>
        <v>2.4691358024690052E-4</v>
      </c>
      <c r="J51" s="14">
        <f t="shared" si="1"/>
        <v>4.9382716049380102</v>
      </c>
      <c r="M51" s="8">
        <v>2.7300000000000002E-3</v>
      </c>
      <c r="N51" s="3">
        <f>(-INDEX(Overview[b],9)+SQRT(POWER(INDEX(Overview[b],9),2)-(4*INDEX(Overview[a],9)*st_c[[#This Row],[c]])))/(2*INDEX(Overview[a],9))</f>
        <v>8.8888888888888837E-2</v>
      </c>
      <c r="O51" s="3">
        <f t="shared" si="5"/>
        <v>4.0778120965843934E-4</v>
      </c>
      <c r="P51" s="14">
        <f t="shared" si="2"/>
        <v>8.1556241931687872</v>
      </c>
    </row>
    <row r="52" spans="1:16" x14ac:dyDescent="0.25">
      <c r="A52" s="2">
        <v>4.9000000000000009E-4</v>
      </c>
      <c r="B52" s="3" cm="1">
        <f t="array" ref="B52">SQRT((4*POWER(ttotal9,2)*st_a[[#This Row],[s(ta)]])/(9*s_t))</f>
        <v>2.9936680624647265E-2</v>
      </c>
      <c r="C52" s="3">
        <f t="shared" si="3"/>
        <v>3.0705099501763394E-4</v>
      </c>
      <c r="D52" s="14">
        <f t="shared" si="0"/>
        <v>6.1410199003526786</v>
      </c>
      <c r="G52" s="8">
        <v>1.24E-3</v>
      </c>
      <c r="H52" s="3" cm="1">
        <f t="array" ref="H52">((2*ttotal9)/(3*s_t))*(st_b[[#This Row],[s(tb)]]+(s_t/4))</f>
        <v>4.9135802469135792E-2</v>
      </c>
      <c r="I52" s="3">
        <f t="shared" si="4"/>
        <v>2.469135802469144E-4</v>
      </c>
      <c r="J52" s="14">
        <f t="shared" si="1"/>
        <v>4.9382716049382873</v>
      </c>
      <c r="M52" s="8">
        <v>2.7400000000000002E-3</v>
      </c>
      <c r="N52" s="3">
        <f>(-INDEX(Overview[b],9)+SQRT(POWER(INDEX(Overview[b],9),2)-(4*INDEX(Overview[a],9)*st_c[[#This Row],[c]])))/(2*INDEX(Overview[a],9))</f>
        <v>8.9304294157215178E-2</v>
      </c>
      <c r="O52" s="3">
        <f t="shared" si="5"/>
        <v>4.1540526832634095E-4</v>
      </c>
      <c r="P52" s="14">
        <f t="shared" si="2"/>
        <v>8.308105366526819</v>
      </c>
    </row>
    <row r="53" spans="1:16" x14ac:dyDescent="0.25">
      <c r="A53" s="2">
        <v>5.0000000000000001E-4</v>
      </c>
      <c r="B53" s="3" cm="1">
        <f t="array" ref="B53">SQRT((4*POWER(ttotal9,2)*st_a[[#This Row],[s(ta)]])/(9*s_t))</f>
        <v>3.0240614108434299E-2</v>
      </c>
      <c r="C53" s="3">
        <f t="shared" si="3"/>
        <v>3.0393348378703403E-4</v>
      </c>
      <c r="D53" s="14">
        <f t="shared" si="0"/>
        <v>6.07866967574068</v>
      </c>
      <c r="G53" s="8">
        <v>1.25E-3</v>
      </c>
      <c r="H53" s="3" cm="1">
        <f t="array" ref="H53">((2*ttotal9)/(3*s_t))*(st_b[[#This Row],[s(tb)]]+(s_t/4))</f>
        <v>4.9382716049382706E-2</v>
      </c>
      <c r="I53" s="3">
        <f t="shared" si="4"/>
        <v>2.469135802469144E-4</v>
      </c>
      <c r="J53" s="14">
        <f t="shared" si="1"/>
        <v>4.9382716049382873</v>
      </c>
      <c r="M53" s="8">
        <v>2.7500000000000003E-3</v>
      </c>
      <c r="N53" s="3">
        <f>(-INDEX(Overview[b],9)+SQRT(POWER(INDEX(Overview[b],9),2)-(4*INDEX(Overview[a],9)*st_c[[#This Row],[c]])))/(2*INDEX(Overview[a],9))</f>
        <v>8.9727767807791625E-2</v>
      </c>
      <c r="O53" s="3">
        <f t="shared" si="5"/>
        <v>4.2347365057644748E-4</v>
      </c>
      <c r="P53" s="14">
        <f t="shared" si="2"/>
        <v>8.4694730115289492</v>
      </c>
    </row>
    <row r="54" spans="1:16" x14ac:dyDescent="0.25">
      <c r="A54" s="2">
        <v>5.1000000000000004E-4</v>
      </c>
      <c r="B54" s="3" cm="1">
        <f t="array" ref="B54">SQRT((4*POWER(ttotal9,2)*st_a[[#This Row],[s(ta)]])/(9*s_t))</f>
        <v>3.0541523152723411E-2</v>
      </c>
      <c r="C54" s="3">
        <f t="shared" si="3"/>
        <v>3.0090904428911255E-4</v>
      </c>
      <c r="D54" s="14">
        <f t="shared" si="0"/>
        <v>6.0181808857822512</v>
      </c>
      <c r="G54" s="8">
        <v>1.2600000000000001E-3</v>
      </c>
      <c r="H54" s="3" cm="1">
        <f t="array" ref="H54">((2*ttotal9)/(3*s_t))*(st_b[[#This Row],[s(tb)]]+(s_t/4))</f>
        <v>4.9629629629629621E-2</v>
      </c>
      <c r="I54" s="3">
        <f t="shared" si="4"/>
        <v>2.469135802469144E-4</v>
      </c>
      <c r="J54" s="14">
        <f t="shared" si="1"/>
        <v>4.9382716049382873</v>
      </c>
      <c r="M54" s="8">
        <v>2.7600000000000003E-3</v>
      </c>
      <c r="N54" s="3">
        <f>(-INDEX(Overview[b],9)+SQRT(POWER(INDEX(Overview[b],9),2)-(4*INDEX(Overview[a],9)*st_c[[#This Row],[c]])))/(2*INDEX(Overview[a],9))</f>
        <v>9.0159799075954131E-2</v>
      </c>
      <c r="O54" s="3">
        <f t="shared" si="5"/>
        <v>4.3203126816250548E-4</v>
      </c>
      <c r="P54" s="14">
        <f t="shared" si="2"/>
        <v>8.6406253632501091</v>
      </c>
    </row>
    <row r="55" spans="1:16" x14ac:dyDescent="0.25">
      <c r="A55" s="2">
        <v>5.2000000000000006E-4</v>
      </c>
      <c r="B55" s="3" cm="1">
        <f t="array" ref="B55">SQRT((4*POWER(ttotal9,2)*st_a[[#This Row],[s(ta)]])/(9*s_t))</f>
        <v>3.0839496288387152E-2</v>
      </c>
      <c r="C55" s="3">
        <f t="shared" si="3"/>
        <v>2.9797313566374065E-4</v>
      </c>
      <c r="D55" s="14">
        <f t="shared" si="0"/>
        <v>5.9594627132748128</v>
      </c>
      <c r="G55" s="8">
        <v>1.2700000000000001E-3</v>
      </c>
      <c r="H55" s="3" cm="1">
        <f t="array" ref="H55">((2*ttotal9)/(3*s_t))*(st_b[[#This Row],[s(tb)]]+(s_t/4))</f>
        <v>4.9876543209876535E-2</v>
      </c>
      <c r="I55" s="3">
        <f t="shared" si="4"/>
        <v>2.469135802469144E-4</v>
      </c>
      <c r="J55" s="14">
        <f t="shared" si="1"/>
        <v>4.9382716049382873</v>
      </c>
      <c r="M55" s="8">
        <v>2.7700000000000003E-3</v>
      </c>
      <c r="N55" s="3">
        <f>(-INDEX(Overview[b],9)+SQRT(POWER(INDEX(Overview[b],9),2)-(4*INDEX(Overview[a],9)*st_c[[#This Row],[c]])))/(2*INDEX(Overview[a],9))</f>
        <v>9.0600928733535591E-2</v>
      </c>
      <c r="O55" s="3">
        <f t="shared" si="5"/>
        <v>4.4112965758145994E-4</v>
      </c>
      <c r="P55" s="14">
        <f t="shared" si="2"/>
        <v>8.8225931516291993</v>
      </c>
    </row>
    <row r="56" spans="1:16" x14ac:dyDescent="0.25">
      <c r="A56" s="2">
        <v>5.3000000000000009E-4</v>
      </c>
      <c r="B56" s="3" cm="1">
        <f t="array" ref="B56">SQRT((4*POWER(ttotal9,2)*st_a[[#This Row],[s(ta)]])/(9*s_t))</f>
        <v>3.1134617809675292E-2</v>
      </c>
      <c r="C56" s="3">
        <f t="shared" si="3"/>
        <v>2.9512152128814001E-4</v>
      </c>
      <c r="D56" s="14">
        <f t="shared" si="0"/>
        <v>5.9024304257628</v>
      </c>
      <c r="G56" s="8">
        <v>1.2800000000000001E-3</v>
      </c>
      <c r="H56" s="3" cm="1">
        <f t="array" ref="H56">((2*ttotal9)/(3*s_t))*(st_b[[#This Row],[s(tb)]]+(s_t/4))</f>
        <v>5.012345679012345E-2</v>
      </c>
      <c r="I56" s="3">
        <f t="shared" si="4"/>
        <v>2.469135802469144E-4</v>
      </c>
      <c r="J56" s="14">
        <f t="shared" si="1"/>
        <v>4.9382716049382873</v>
      </c>
      <c r="M56" s="8">
        <v>2.7800000000000004E-3</v>
      </c>
      <c r="N56" s="3">
        <f>(-INDEX(Overview[b],9)+SQRT(POWER(INDEX(Overview[b],9),2)-(4*INDEX(Overview[a],9)*st_c[[#This Row],[c]])))/(2*INDEX(Overview[a],9))</f>
        <v>9.1051757025590221E-2</v>
      </c>
      <c r="O56" s="3">
        <f t="shared" si="5"/>
        <v>4.5082829205463082E-4</v>
      </c>
      <c r="P56" s="14">
        <f t="shared" si="2"/>
        <v>9.0165658410926159</v>
      </c>
    </row>
    <row r="57" spans="1:16" x14ac:dyDescent="0.25">
      <c r="A57" s="2">
        <v>5.4000000000000001E-4</v>
      </c>
      <c r="B57" s="3" cm="1">
        <f t="array" ref="B57">SQRT((4*POWER(ttotal9,2)*st_a[[#This Row],[s(ta)]])/(9*s_t))</f>
        <v>3.1426968052735448E-2</v>
      </c>
      <c r="C57" s="3">
        <f t="shared" si="3"/>
        <v>2.9235024306015558E-4</v>
      </c>
      <c r="D57" s="14">
        <f t="shared" si="0"/>
        <v>5.8470048612031116</v>
      </c>
      <c r="G57" s="8">
        <v>1.2900000000000001E-3</v>
      </c>
      <c r="H57" s="3" cm="1">
        <f t="array" ref="H57">((2*ttotal9)/(3*s_t))*(st_b[[#This Row],[s(tb)]]+(s_t/4))</f>
        <v>5.0370370370370364E-2</v>
      </c>
      <c r="I57" s="3">
        <f t="shared" si="4"/>
        <v>2.469135802469144E-4</v>
      </c>
      <c r="J57" s="14">
        <f t="shared" si="1"/>
        <v>4.9382716049382873</v>
      </c>
      <c r="M57" s="8">
        <v>2.7900000000000004E-3</v>
      </c>
      <c r="N57" s="3">
        <f>(-INDEX(Overview[b],9)+SQRT(POWER(INDEX(Overview[b],9),2)-(4*INDEX(Overview[a],9)*st_c[[#This Row],[c]])))/(2*INDEX(Overview[a],9))</f>
        <v>9.1512953251373416E-2</v>
      </c>
      <c r="O57" s="3">
        <f t="shared" si="5"/>
        <v>4.6119622578319475E-4</v>
      </c>
      <c r="P57" s="14">
        <f t="shared" si="2"/>
        <v>9.223924515663894</v>
      </c>
    </row>
    <row r="58" spans="1:16" x14ac:dyDescent="0.25">
      <c r="A58" s="2">
        <v>5.5000000000000003E-4</v>
      </c>
      <c r="B58" s="3" cm="1">
        <f t="array" ref="B58">SQRT((4*POWER(ttotal9,2)*st_a[[#This Row],[s(ta)]])/(9*s_t))</f>
        <v>3.1716623651025011E-2</v>
      </c>
      <c r="C58" s="3">
        <f t="shared" si="3"/>
        <v>2.896555982895635E-4</v>
      </c>
      <c r="D58" s="14">
        <f t="shared" si="0"/>
        <v>5.7931119657912697</v>
      </c>
      <c r="G58" s="8">
        <v>1.3000000000000002E-3</v>
      </c>
      <c r="H58" s="3" cm="1">
        <f t="array" ref="H58">((2*ttotal9)/(3*s_t))*(st_b[[#This Row],[s(tb)]]+(s_t/4))</f>
        <v>5.0617283950617278E-2</v>
      </c>
      <c r="I58" s="3">
        <f t="shared" si="4"/>
        <v>2.469135802469144E-4</v>
      </c>
      <c r="J58" s="14">
        <f t="shared" si="1"/>
        <v>4.9382716049382873</v>
      </c>
      <c r="M58" s="8">
        <v>2.8000000000000004E-3</v>
      </c>
      <c r="N58" s="3">
        <f>(-INDEX(Overview[b],9)+SQRT(POWER(INDEX(Overview[b],9),2)-(4*INDEX(Overview[a],9)*st_c[[#This Row],[c]])))/(2*INDEX(Overview[a],9))</f>
        <v>9.1985267426136191E-2</v>
      </c>
      <c r="O58" s="3">
        <f t="shared" si="5"/>
        <v>4.7231417476277515E-4</v>
      </c>
      <c r="P58" s="14">
        <f t="shared" si="2"/>
        <v>9.4462834952555017</v>
      </c>
    </row>
    <row r="59" spans="1:16" x14ac:dyDescent="0.25">
      <c r="A59" s="2">
        <v>5.6000000000000006E-4</v>
      </c>
      <c r="B59" s="3" cm="1">
        <f t="array" ref="B59">SQRT((4*POWER(ttotal9,2)*st_a[[#This Row],[s(ta)]])/(9*s_t))</f>
        <v>3.2003657769915358E-2</v>
      </c>
      <c r="C59" s="3">
        <f t="shared" si="3"/>
        <v>2.8703411889034747E-4</v>
      </c>
      <c r="D59" s="14">
        <f t="shared" si="0"/>
        <v>5.7406823778069489</v>
      </c>
      <c r="G59" s="8">
        <v>1.3100000000000002E-3</v>
      </c>
      <c r="H59" s="3" cm="1">
        <f t="array" ref="H59">((2*ttotal9)/(3*s_t))*(st_b[[#This Row],[s(tb)]]+(s_t/4))</f>
        <v>5.0864197530864193E-2</v>
      </c>
      <c r="I59" s="3">
        <f t="shared" si="4"/>
        <v>2.469135802469144E-4</v>
      </c>
      <c r="J59" s="14">
        <f t="shared" si="1"/>
        <v>4.9382716049382873</v>
      </c>
      <c r="M59" s="8">
        <v>2.8100000000000004E-3</v>
      </c>
      <c r="N59" s="3">
        <f>(-INDEX(Overview[b],9)+SQRT(POWER(INDEX(Overview[b],9),2)-(4*INDEX(Overview[a],9)*st_c[[#This Row],[c]])))/(2*INDEX(Overview[a],9))</f>
        <v>9.2469544604269732E-2</v>
      </c>
      <c r="O59" s="3">
        <f t="shared" si="5"/>
        <v>4.8427717813354088E-4</v>
      </c>
      <c r="P59" s="14">
        <f t="shared" si="2"/>
        <v>9.6855435626708175</v>
      </c>
    </row>
    <row r="60" spans="1:16" x14ac:dyDescent="0.25">
      <c r="A60" s="2">
        <v>5.7000000000000009E-4</v>
      </c>
      <c r="B60" s="3" cm="1">
        <f t="array" ref="B60">SQRT((4*POWER(ttotal9,2)*st_a[[#This Row],[s(ta)]])/(9*s_t))</f>
        <v>3.2288140322523508E-2</v>
      </c>
      <c r="C60" s="3">
        <f t="shared" si="3"/>
        <v>2.8448255260814931E-4</v>
      </c>
      <c r="D60" s="14">
        <f t="shared" si="0"/>
        <v>5.6896510521629855</v>
      </c>
      <c r="G60" s="8">
        <v>1.3200000000000002E-3</v>
      </c>
      <c r="H60" s="3" cm="1">
        <f t="array" ref="H60">((2*ttotal9)/(3*s_t))*(st_b[[#This Row],[s(tb)]]+(s_t/4))</f>
        <v>5.1111111111111107E-2</v>
      </c>
      <c r="I60" s="3">
        <f t="shared" si="4"/>
        <v>2.469135802469144E-4</v>
      </c>
      <c r="J60" s="14">
        <f t="shared" si="1"/>
        <v>4.9382716049382873</v>
      </c>
      <c r="M60" s="8">
        <v>2.82E-3</v>
      </c>
      <c r="N60" s="3">
        <f>(-INDEX(Overview[b],9)+SQRT(POWER(INDEX(Overview[b],9),2)-(4*INDEX(Overview[a],9)*st_c[[#This Row],[c]])))/(2*INDEX(Overview[a],9))</f>
        <v>9.2966742646050482E-2</v>
      </c>
      <c r="O60" s="3">
        <f t="shared" si="5"/>
        <v>4.9719804178074978E-4</v>
      </c>
      <c r="P60" s="14">
        <f t="shared" si="2"/>
        <v>9.9439608356149947</v>
      </c>
    </row>
    <row r="61" spans="1:16" x14ac:dyDescent="0.25">
      <c r="A61" s="2">
        <v>5.8E-4</v>
      </c>
      <c r="B61" s="3" cm="1">
        <f t="array" ref="B61">SQRT((4*POWER(ttotal9,2)*st_a[[#This Row],[s(ta)]])/(9*s_t))</f>
        <v>3.2570138168575111E-2</v>
      </c>
      <c r="C61" s="3">
        <f t="shared" si="3"/>
        <v>2.8199784605160289E-4</v>
      </c>
      <c r="D61" s="14">
        <f t="shared" si="0"/>
        <v>5.6399569210320575</v>
      </c>
      <c r="G61" s="8">
        <v>1.33E-3</v>
      </c>
      <c r="H61" s="3" cm="1">
        <f t="array" ref="H61">((2*ttotal9)/(3*s_t))*(st_b[[#This Row],[s(tb)]]+(s_t/4))</f>
        <v>5.1358024691358022E-2</v>
      </c>
      <c r="I61" s="3">
        <f t="shared" si="4"/>
        <v>2.469135802469144E-4</v>
      </c>
      <c r="J61" s="14">
        <f t="shared" si="1"/>
        <v>4.9382716049382873</v>
      </c>
      <c r="M61" s="8">
        <v>2.8300000000000001E-3</v>
      </c>
      <c r="N61" s="3">
        <f>(-INDEX(Overview[b],9)+SQRT(POWER(INDEX(Overview[b],9),2)-(4*INDEX(Overview[a],9)*st_c[[#This Row],[c]])))/(2*INDEX(Overview[a],9))</f>
        <v>9.3477954497425048E-2</v>
      </c>
      <c r="O61" s="3">
        <f t="shared" si="5"/>
        <v>5.112118513745656E-4</v>
      </c>
      <c r="P61" s="14">
        <f t="shared" si="2"/>
        <v>10.224237027491311</v>
      </c>
    </row>
    <row r="62" spans="1:16" x14ac:dyDescent="0.25">
      <c r="A62" s="2">
        <v>5.9000000000000003E-4</v>
      </c>
      <c r="B62" s="3" cm="1">
        <f t="array" ref="B62">SQRT((4*POWER(ttotal9,2)*st_a[[#This Row],[s(ta)]])/(9*s_t))</f>
        <v>3.2849715297901413E-2</v>
      </c>
      <c r="C62" s="3">
        <f t="shared" si="3"/>
        <v>2.7957712932630274E-4</v>
      </c>
      <c r="D62" s="14">
        <f t="shared" si="0"/>
        <v>5.5915425865260548</v>
      </c>
      <c r="G62" s="8">
        <v>1.34E-3</v>
      </c>
      <c r="H62" s="3" cm="1">
        <f t="array" ref="H62">((2*ttotal9)/(3*s_t))*(st_b[[#This Row],[s(tb)]]+(s_t/4))</f>
        <v>5.1604938271604929E-2</v>
      </c>
      <c r="I62" s="3">
        <f t="shared" si="4"/>
        <v>2.4691358024690746E-4</v>
      </c>
      <c r="J62" s="14">
        <f t="shared" si="1"/>
        <v>4.9382716049381488</v>
      </c>
      <c r="M62" s="8">
        <v>2.8400000000000001E-3</v>
      </c>
      <c r="N62" s="3">
        <f>(-INDEX(Overview[b],9)+SQRT(POWER(INDEX(Overview[b],9),2)-(4*INDEX(Overview[a],9)*st_c[[#This Row],[c]])))/(2*INDEX(Overview[a],9))</f>
        <v>9.4004436468455521E-2</v>
      </c>
      <c r="O62" s="3">
        <f t="shared" si="5"/>
        <v>5.2648197103047356E-4</v>
      </c>
      <c r="P62" s="14">
        <f t="shared" si="2"/>
        <v>10.52963942060947</v>
      </c>
    </row>
    <row r="63" spans="1:16" x14ac:dyDescent="0.25">
      <c r="A63" s="2">
        <v>6.0000000000000006E-4</v>
      </c>
      <c r="B63" s="3" cm="1">
        <f t="array" ref="B63">SQRT((4*POWER(ttotal9,2)*st_a[[#This Row],[s(ta)]])/(9*s_t))</f>
        <v>3.3126932999996882E-2</v>
      </c>
      <c r="C63" s="3">
        <f t="shared" si="3"/>
        <v>2.7721770209546831E-4</v>
      </c>
      <c r="D63" s="14">
        <f t="shared" si="0"/>
        <v>5.544354041909366</v>
      </c>
      <c r="G63" s="8">
        <v>1.3500000000000001E-3</v>
      </c>
      <c r="H63" s="3" cm="1">
        <f t="array" ref="H63">((2*ttotal9)/(3*s_t))*(st_b[[#This Row],[s(tb)]]+(s_t/4))</f>
        <v>5.185185185185185E-2</v>
      </c>
      <c r="I63" s="3">
        <f t="shared" si="4"/>
        <v>2.4691358024692134E-4</v>
      </c>
      <c r="J63" s="14">
        <f t="shared" si="1"/>
        <v>4.9382716049384268</v>
      </c>
      <c r="M63" s="8">
        <v>2.8500000000000001E-3</v>
      </c>
      <c r="N63" s="3">
        <f>(-INDEX(Overview[b],9)+SQRT(POWER(INDEX(Overview[b],9),2)-(4*INDEX(Overview[a],9)*st_c[[#This Row],[c]])))/(2*INDEX(Overview[a],9))</f>
        <v>9.4547644611112619E-2</v>
      </c>
      <c r="O63" s="3">
        <f t="shared" si="5"/>
        <v>5.4320814265709783E-4</v>
      </c>
      <c r="P63" s="14">
        <f t="shared" si="2"/>
        <v>10.864162853141956</v>
      </c>
    </row>
    <row r="64" spans="1:16" x14ac:dyDescent="0.25">
      <c r="A64" s="2">
        <v>6.1000000000000008E-4</v>
      </c>
      <c r="B64" s="3" cm="1">
        <f t="array" ref="B64">SQRT((4*POWER(ttotal9,2)*st_a[[#This Row],[s(ta)]])/(9*s_t))</f>
        <v>3.3401850020910333E-2</v>
      </c>
      <c r="C64" s="3">
        <f t="shared" si="3"/>
        <v>2.7491702091345105E-4</v>
      </c>
      <c r="D64" s="14">
        <f t="shared" si="0"/>
        <v>5.498340418269021</v>
      </c>
      <c r="G64" s="8">
        <v>1.3600000000000001E-3</v>
      </c>
      <c r="H64" s="3" cm="1">
        <f t="array" ref="H64">((2*ttotal9)/(3*s_t))*(st_b[[#This Row],[s(tb)]]+(s_t/4))</f>
        <v>5.2098765432098758E-2</v>
      </c>
      <c r="I64" s="3">
        <f t="shared" si="4"/>
        <v>2.4691358024690746E-4</v>
      </c>
      <c r="J64" s="14">
        <f t="shared" si="1"/>
        <v>4.9382716049381488</v>
      </c>
      <c r="M64" s="8">
        <v>2.8600000000000001E-3</v>
      </c>
      <c r="N64" s="3">
        <f>(-INDEX(Overview[b],9)+SQRT(POWER(INDEX(Overview[b],9),2)-(4*INDEX(Overview[a],9)*st_c[[#This Row],[c]])))/(2*INDEX(Overview[a],9))</f>
        <v>9.5109282226153391E-2</v>
      </c>
      <c r="O64" s="3">
        <f t="shared" si="5"/>
        <v>5.6163761504077203E-4</v>
      </c>
      <c r="P64" s="14">
        <f t="shared" si="2"/>
        <v>11.23275230081544</v>
      </c>
    </row>
    <row r="65" spans="1:16" x14ac:dyDescent="0.25">
      <c r="A65" s="2">
        <v>6.2E-4</v>
      </c>
      <c r="B65" s="3" cm="1">
        <f t="array" ref="B65">SQRT((4*POWER(ttotal9,2)*st_a[[#This Row],[s(ta)]])/(9*s_t))</f>
        <v>3.3674522708607053E-2</v>
      </c>
      <c r="C65" s="3">
        <f t="shared" si="3"/>
        <v>2.7267268769672059E-4</v>
      </c>
      <c r="D65" s="14">
        <f t="shared" si="0"/>
        <v>5.4534537539344115</v>
      </c>
      <c r="G65" s="8">
        <v>1.3700000000000001E-3</v>
      </c>
      <c r="H65" s="3" cm="1">
        <f t="array" ref="H65">((2*ttotal9)/(3*s_t))*(st_b[[#This Row],[s(tb)]]+(s_t/4))</f>
        <v>5.2345679012345679E-2</v>
      </c>
      <c r="I65" s="3">
        <f t="shared" si="4"/>
        <v>2.4691358024692134E-4</v>
      </c>
      <c r="J65" s="14">
        <f t="shared" si="1"/>
        <v>4.9382716049384268</v>
      </c>
      <c r="M65" s="8">
        <v>2.8700000000000002E-3</v>
      </c>
      <c r="N65" s="3">
        <f>(-INDEX(Overview[b],9)+SQRT(POWER(INDEX(Overview[b],9),2)-(4*INDEX(Overview[a],9)*st_c[[#This Row],[c]])))/(2*INDEX(Overview[a],9))</f>
        <v>9.5691362966917506E-2</v>
      </c>
      <c r="O65" s="3">
        <f t="shared" si="5"/>
        <v>5.8208074076411542E-4</v>
      </c>
      <c r="P65" s="14">
        <f t="shared" si="2"/>
        <v>11.641614815282308</v>
      </c>
    </row>
    <row r="66" spans="1:16" x14ac:dyDescent="0.25">
      <c r="A66" s="2">
        <v>6.3000000000000003E-4</v>
      </c>
      <c r="B66" s="3" cm="1">
        <f t="array" ref="B66">SQRT((4*POWER(ttotal9,2)*st_a[[#This Row],[s(ta)]])/(9*s_t))</f>
        <v>3.394500514782104E-2</v>
      </c>
      <c r="C66" s="3">
        <f t="shared" si="3"/>
        <v>2.7048243921398707E-4</v>
      </c>
      <c r="D66" s="14">
        <f t="shared" si="0"/>
        <v>5.4096487842797414</v>
      </c>
      <c r="G66" s="8">
        <v>1.3800000000000002E-3</v>
      </c>
      <c r="H66" s="3" cm="1">
        <f t="array" ref="H66">((2*ttotal9)/(3*s_t))*(st_b[[#This Row],[s(tb)]]+(s_t/4))</f>
        <v>5.259259259259258E-2</v>
      </c>
      <c r="I66" s="3">
        <f t="shared" si="4"/>
        <v>2.4691358024690052E-4</v>
      </c>
      <c r="J66" s="14">
        <f t="shared" si="1"/>
        <v>4.9382716049380102</v>
      </c>
      <c r="M66" s="8">
        <v>2.8800000000000002E-3</v>
      </c>
      <c r="N66" s="3">
        <f>(-INDEX(Overview[b],9)+SQRT(POWER(INDEX(Overview[b],9),2)-(4*INDEX(Overview[a],9)*st_c[[#This Row],[c]])))/(2*INDEX(Overview[a],9))</f>
        <v>9.629629629629631E-2</v>
      </c>
      <c r="O66" s="3">
        <f t="shared" si="5"/>
        <v>6.0493332937880395E-4</v>
      </c>
      <c r="P66" s="14">
        <f t="shared" si="2"/>
        <v>12.098666587576078</v>
      </c>
    </row>
    <row r="67" spans="1:16" x14ac:dyDescent="0.25">
      <c r="A67" s="2">
        <v>6.4000000000000005E-4</v>
      </c>
      <c r="B67" s="3" cm="1">
        <f t="array" ref="B67">SQRT((4*POWER(ttotal9,2)*st_a[[#This Row],[s(ta)]])/(9*s_t))</f>
        <v>3.4213349285311154E-2</v>
      </c>
      <c r="C67" s="3">
        <f t="shared" si="3"/>
        <v>2.6834413749011327E-4</v>
      </c>
      <c r="D67" s="14">
        <f t="shared" si="0"/>
        <v>5.3668827498022651</v>
      </c>
      <c r="G67" s="8">
        <v>1.3900000000000002E-3</v>
      </c>
      <c r="H67" s="3" cm="1">
        <f t="array" ref="H67">((2*ttotal9)/(3*s_t))*(st_b[[#This Row],[s(tb)]]+(s_t/4))</f>
        <v>5.2839506172839508E-2</v>
      </c>
      <c r="I67" s="3">
        <f t="shared" si="4"/>
        <v>2.4691358024692828E-4</v>
      </c>
      <c r="J67" s="14">
        <f t="shared" si="1"/>
        <v>4.9382716049385653</v>
      </c>
      <c r="M67" s="8">
        <v>2.8900000000000002E-3</v>
      </c>
      <c r="N67" s="3">
        <f>(-INDEX(Overview[b],9)+SQRT(POWER(INDEX(Overview[b],9),2)-(4*INDEX(Overview[a],9)*st_c[[#This Row],[c]])))/(2*INDEX(Overview[a],9))</f>
        <v>9.6927005811017194E-2</v>
      </c>
      <c r="O67" s="3">
        <f t="shared" si="5"/>
        <v>6.307095147208841E-4</v>
      </c>
      <c r="P67" s="14">
        <f t="shared" si="2"/>
        <v>12.614190294417682</v>
      </c>
    </row>
    <row r="68" spans="1:16" x14ac:dyDescent="0.25">
      <c r="A68" s="2">
        <v>6.5000000000000008E-4</v>
      </c>
      <c r="B68" s="3" cm="1">
        <f t="array" ref="B68">SQRT((4*POWER(ttotal9,2)*st_a[[#This Row],[s(ta)]])/(9*s_t))</f>
        <v>3.4479605046343065E-2</v>
      </c>
      <c r="C68" s="3">
        <f t="shared" si="3"/>
        <v>2.6625576103191106E-4</v>
      </c>
      <c r="D68" s="14">
        <f t="shared" ref="D68:D78" si="6">C68/0.00005</f>
        <v>5.3251152206382208</v>
      </c>
      <c r="G68" s="8">
        <v>1.4000000000000002E-3</v>
      </c>
      <c r="H68" s="3" cm="1">
        <f t="array" ref="H68">((2*ttotal9)/(3*s_t))*(st_b[[#This Row],[s(tb)]]+(s_t/4))</f>
        <v>5.3086419753086408E-2</v>
      </c>
      <c r="I68" s="3">
        <f t="shared" si="4"/>
        <v>2.4691358024690052E-4</v>
      </c>
      <c r="J68" s="14">
        <f t="shared" ref="J68:J131" si="7">I68/0.00005</f>
        <v>4.9382716049380102</v>
      </c>
      <c r="M68" s="8">
        <v>2.9000000000000002E-3</v>
      </c>
      <c r="N68" s="3">
        <f>(-INDEX(Overview[b],9)+SQRT(POWER(INDEX(Overview[b],9),2)-(4*INDEX(Overview[a],9)*st_c[[#This Row],[c]])))/(2*INDEX(Overview[a],9))</f>
        <v>9.7587097345551377E-2</v>
      </c>
      <c r="O68" s="3">
        <f t="shared" si="5"/>
        <v>6.6009153453418234E-4</v>
      </c>
      <c r="P68" s="14">
        <f t="shared" ref="P68:P78" si="8">O68/0.00005</f>
        <v>13.201830690683646</v>
      </c>
    </row>
    <row r="69" spans="1:16" x14ac:dyDescent="0.25">
      <c r="A69" s="2">
        <v>6.600000000000001E-4</v>
      </c>
      <c r="B69" s="3" cm="1">
        <f t="array" ref="B69">SQRT((4*POWER(ttotal9,2)*st_a[[#This Row],[s(ta)]])/(9*s_t))</f>
        <v>3.4743820443136515E-2</v>
      </c>
      <c r="C69" s="3">
        <f t="shared" ref="C69:C78" si="9">B69-B68</f>
        <v>2.6421539679345046E-4</v>
      </c>
      <c r="D69" s="14">
        <f t="shared" si="6"/>
        <v>5.284307935869009</v>
      </c>
      <c r="G69" s="8">
        <v>1.41E-3</v>
      </c>
      <c r="H69" s="3" cm="1">
        <f t="array" ref="H69">((2*ttotal9)/(3*s_t))*(st_b[[#This Row],[s(tb)]]+(s_t/4))</f>
        <v>5.3333333333333323E-2</v>
      </c>
      <c r="I69" s="3">
        <f t="shared" ref="I69:I132" si="10">H69-H68</f>
        <v>2.469135802469144E-4</v>
      </c>
      <c r="J69" s="14">
        <f t="shared" si="7"/>
        <v>4.9382716049382873</v>
      </c>
      <c r="M69" s="8">
        <v>2.9100000000000003E-3</v>
      </c>
      <c r="N69" s="3">
        <f>(-INDEX(Overview[b],9)+SQRT(POWER(INDEX(Overview[b],9),2)-(4*INDEX(Overview[a],9)*st_c[[#This Row],[c]])))/(2*INDEX(Overview[a],9))</f>
        <v>9.8281105129119417E-2</v>
      </c>
      <c r="O69" s="3">
        <f t="shared" ref="O69:O78" si="11">N69-N68</f>
        <v>6.9400778356804027E-4</v>
      </c>
      <c r="P69" s="14">
        <f t="shared" si="8"/>
        <v>13.880155671360805</v>
      </c>
    </row>
    <row r="70" spans="1:16" x14ac:dyDescent="0.25">
      <c r="A70" s="2">
        <v>6.7000000000000002E-4</v>
      </c>
      <c r="B70" s="3" cm="1">
        <f t="array" ref="B70">SQRT((4*POWER(ttotal9,2)*st_a[[#This Row],[s(ta)]])/(9*s_t))</f>
        <v>3.5006041675945246E-2</v>
      </c>
      <c r="C70" s="3">
        <f t="shared" si="9"/>
        <v>2.6222123280873061E-4</v>
      </c>
      <c r="D70" s="14">
        <f t="shared" si="6"/>
        <v>5.244424656174612</v>
      </c>
      <c r="G70" s="8">
        <v>1.42E-3</v>
      </c>
      <c r="H70" s="3" cm="1">
        <f t="array" ref="H70">((2*ttotal9)/(3*s_t))*(st_b[[#This Row],[s(tb)]]+(s_t/4))</f>
        <v>5.3580246913580237E-2</v>
      </c>
      <c r="I70" s="3">
        <f t="shared" si="10"/>
        <v>2.469135802469144E-4</v>
      </c>
      <c r="J70" s="14">
        <f t="shared" si="7"/>
        <v>4.9382716049382873</v>
      </c>
      <c r="M70" s="8">
        <v>2.9200000000000003E-3</v>
      </c>
      <c r="N70" s="3">
        <f>(-INDEX(Overview[b],9)+SQRT(POWER(INDEX(Overview[b],9),2)-(4*INDEX(Overview[a],9)*st_c[[#This Row],[c]])))/(2*INDEX(Overview[a],9))</f>
        <v>9.9014865467737398E-2</v>
      </c>
      <c r="O70" s="3">
        <f t="shared" si="11"/>
        <v>7.3376033861798085E-4</v>
      </c>
      <c r="P70" s="14">
        <f t="shared" si="8"/>
        <v>14.675206772359616</v>
      </c>
    </row>
    <row r="71" spans="1:16" x14ac:dyDescent="0.25">
      <c r="A71" s="2">
        <v>6.8000000000000005E-4</v>
      </c>
      <c r="B71" s="3" cm="1">
        <f t="array" ref="B71">SQRT((4*POWER(ttotal9,2)*st_a[[#This Row],[s(ta)]])/(9*s_t))</f>
        <v>3.5266313227372101E-2</v>
      </c>
      <c r="C71" s="3">
        <f t="shared" si="9"/>
        <v>2.6027155142685499E-4</v>
      </c>
      <c r="D71" s="14">
        <f t="shared" si="6"/>
        <v>5.2054310285370997</v>
      </c>
      <c r="G71" s="8">
        <v>1.4300000000000001E-3</v>
      </c>
      <c r="H71" s="3" cm="1">
        <f t="array" ref="H71">((2*ttotal9)/(3*s_t))*(st_b[[#This Row],[s(tb)]]+(s_t/4))</f>
        <v>5.3827160493827152E-2</v>
      </c>
      <c r="I71" s="3">
        <f t="shared" si="10"/>
        <v>2.469135802469144E-4</v>
      </c>
      <c r="J71" s="14">
        <f t="shared" si="7"/>
        <v>4.9382716049382873</v>
      </c>
      <c r="M71" s="8">
        <v>2.9300000000000003E-3</v>
      </c>
      <c r="N71" s="3">
        <f>(-INDEX(Overview[b],9)+SQRT(POWER(INDEX(Overview[b],9),2)-(4*INDEX(Overview[a],9)*st_c[[#This Row],[c]])))/(2*INDEX(Overview[a],9))</f>
        <v>9.9796109395170765E-2</v>
      </c>
      <c r="O71" s="3">
        <f t="shared" si="11"/>
        <v>7.8124392743336712E-4</v>
      </c>
      <c r="P71" s="14">
        <f t="shared" si="8"/>
        <v>15.624878548667342</v>
      </c>
    </row>
    <row r="72" spans="1:16" x14ac:dyDescent="0.25">
      <c r="A72" s="2">
        <v>6.9000000000000008E-4</v>
      </c>
      <c r="B72" s="3" cm="1">
        <f t="array" ref="B72">SQRT((4*POWER(ttotal9,2)*st_a[[#This Row],[s(ta)]])/(9*s_t))</f>
        <v>3.5524677950464593E-2</v>
      </c>
      <c r="C72" s="3">
        <f t="shared" si="9"/>
        <v>2.5836472309249264E-4</v>
      </c>
      <c r="D72" s="14">
        <f t="shared" si="6"/>
        <v>5.1672944618498526</v>
      </c>
      <c r="G72" s="8">
        <v>1.4400000000000001E-3</v>
      </c>
      <c r="H72" s="3" cm="1">
        <f t="array" ref="H72">((2*ttotal9)/(3*s_t))*(st_b[[#This Row],[s(tb)]]+(s_t/4))</f>
        <v>5.4074074074074066E-2</v>
      </c>
      <c r="I72" s="3">
        <f t="shared" si="10"/>
        <v>2.469135802469144E-4</v>
      </c>
      <c r="J72" s="14">
        <f t="shared" si="7"/>
        <v>4.9382716049382873</v>
      </c>
      <c r="M72" s="8">
        <v>2.9400000000000003E-3</v>
      </c>
      <c r="N72" s="3">
        <f>(-INDEX(Overview[b],9)+SQRT(POWER(INDEX(Overview[b],9),2)-(4*INDEX(Overview[a],9)*st_c[[#This Row],[c]])))/(2*INDEX(Overview[a],9))</f>
        <v>0.10063545509353258</v>
      </c>
      <c r="O72" s="3">
        <f t="shared" si="11"/>
        <v>8.3934569836181805E-4</v>
      </c>
      <c r="P72" s="14">
        <f t="shared" si="8"/>
        <v>16.786913967236359</v>
      </c>
    </row>
    <row r="73" spans="1:16" x14ac:dyDescent="0.25">
      <c r="A73" s="2">
        <v>7.000000000000001E-4</v>
      </c>
      <c r="B73" s="3" cm="1">
        <f t="array" ref="B73">SQRT((4*POWER(ttotal9,2)*st_a[[#This Row],[s(ta)]])/(9*s_t))</f>
        <v>3.5781177151085038E-2</v>
      </c>
      <c r="C73" s="3">
        <f t="shared" si="9"/>
        <v>2.5649920062044418E-4</v>
      </c>
      <c r="D73" s="14">
        <f t="shared" si="6"/>
        <v>5.1299840124088831</v>
      </c>
      <c r="G73" s="8">
        <v>1.4500000000000001E-3</v>
      </c>
      <c r="H73" s="3" cm="1">
        <f t="array" ref="H73">((2*ttotal9)/(3*s_t))*(st_b[[#This Row],[s(tb)]]+(s_t/4))</f>
        <v>5.432098765432098E-2</v>
      </c>
      <c r="I73" s="3">
        <f t="shared" si="10"/>
        <v>2.469135802469144E-4</v>
      </c>
      <c r="J73" s="14">
        <f t="shared" si="7"/>
        <v>4.9382716049382873</v>
      </c>
      <c r="M73" s="8">
        <v>2.9500000000000004E-3</v>
      </c>
      <c r="N73" s="3">
        <f>(-INDEX(Overview[b],9)+SQRT(POWER(INDEX(Overview[b],9),2)-(4*INDEX(Overview[a],9)*st_c[[#This Row],[c]])))/(2*INDEX(Overview[a],9))</f>
        <v>0.10154818926862361</v>
      </c>
      <c r="O73" s="3">
        <f t="shared" si="11"/>
        <v>9.1273417509102339E-4</v>
      </c>
      <c r="P73" s="14">
        <f t="shared" si="8"/>
        <v>18.254683501820466</v>
      </c>
    </row>
    <row r="74" spans="1:16" x14ac:dyDescent="0.25">
      <c r="A74" s="2">
        <v>7.1000000000000002E-4</v>
      </c>
      <c r="B74" s="3" cm="1">
        <f t="array" ref="B74">SQRT((4*POWER(ttotal9,2)*st_a[[#This Row],[s(ta)]])/(9*s_t))</f>
        <v>3.6035850665003519E-2</v>
      </c>
      <c r="C74" s="3">
        <f t="shared" si="9"/>
        <v>2.5467351391848109E-4</v>
      </c>
      <c r="D74" s="14">
        <f t="shared" si="6"/>
        <v>5.0934702783696215</v>
      </c>
      <c r="G74" s="8">
        <v>1.4600000000000001E-3</v>
      </c>
      <c r="H74" s="3" cm="1">
        <f t="array" ref="H74">((2*ttotal9)/(3*s_t))*(st_b[[#This Row],[s(tb)]]+(s_t/4))</f>
        <v>5.4567901234567895E-2</v>
      </c>
      <c r="I74" s="3">
        <f t="shared" si="10"/>
        <v>2.469135802469144E-4</v>
      </c>
      <c r="J74" s="14">
        <f t="shared" si="7"/>
        <v>4.9382716049382873</v>
      </c>
      <c r="M74" s="8">
        <v>2.9600000000000004E-3</v>
      </c>
      <c r="N74" s="3">
        <f>(-INDEX(Overview[b],9)+SQRT(POWER(INDEX(Overview[b],9),2)-(4*INDEX(Overview[a],9)*st_c[[#This Row],[c]])))/(2*INDEX(Overview[a],9))</f>
        <v>0.10255777378978335</v>
      </c>
      <c r="O74" s="3">
        <f t="shared" si="11"/>
        <v>1.0095845211597482E-3</v>
      </c>
      <c r="P74" s="14">
        <f t="shared" si="8"/>
        <v>20.191690423194963</v>
      </c>
    </row>
    <row r="75" spans="1:16" x14ac:dyDescent="0.25">
      <c r="A75" s="2">
        <v>7.2000000000000005E-4</v>
      </c>
      <c r="B75" s="3" cm="1">
        <f t="array" ref="B75">SQRT((4*POWER(ttotal9,2)*st_a[[#This Row],[s(ta)]])/(9*s_t))</f>
        <v>3.6288736930121156E-2</v>
      </c>
      <c r="C75" s="3">
        <f t="shared" si="9"/>
        <v>2.5288626511763695E-4</v>
      </c>
      <c r="D75" s="14">
        <f t="shared" si="6"/>
        <v>5.0577253023527389</v>
      </c>
      <c r="G75" s="8">
        <v>1.4700000000000002E-3</v>
      </c>
      <c r="H75" s="3" cm="1">
        <f t="array" ref="H75">((2*ttotal9)/(3*s_t))*(st_b[[#This Row],[s(tb)]]+(s_t/4))</f>
        <v>5.4814814814814809E-2</v>
      </c>
      <c r="I75" s="3">
        <f t="shared" si="10"/>
        <v>2.469135802469144E-4</v>
      </c>
      <c r="J75" s="14">
        <f t="shared" si="7"/>
        <v>4.9382716049382873</v>
      </c>
      <c r="M75" s="8">
        <v>2.9700000000000004E-3</v>
      </c>
      <c r="N75" s="3">
        <f>(-INDEX(Overview[b],9)+SQRT(POWER(INDEX(Overview[b],9),2)-(4*INDEX(Overview[a],9)*st_c[[#This Row],[c]])))/(2*INDEX(Overview[a],9))</f>
        <v>0.10370370370370366</v>
      </c>
      <c r="O75" s="3">
        <f t="shared" si="11"/>
        <v>1.1459299139203044E-3</v>
      </c>
      <c r="P75" s="14">
        <f t="shared" si="8"/>
        <v>22.918598278406087</v>
      </c>
    </row>
    <row r="76" spans="1:16" x14ac:dyDescent="0.25">
      <c r="A76" s="2">
        <v>7.3000000000000007E-4</v>
      </c>
      <c r="B76" s="3" cm="1">
        <f t="array" ref="B76">SQRT((4*POWER(ttotal9,2)*st_a[[#This Row],[s(ta)]])/(9*s_t))</f>
        <v>3.6539873054194427E-2</v>
      </c>
      <c r="C76" s="3">
        <f t="shared" si="9"/>
        <v>2.5113612407327152E-4</v>
      </c>
      <c r="D76" s="14">
        <f t="shared" si="6"/>
        <v>5.0227224814654301</v>
      </c>
      <c r="G76" s="8">
        <v>1.4800000000000002E-3</v>
      </c>
      <c r="H76" s="3" cm="1">
        <f t="array" ref="H76">((2*ttotal9)/(3*s_t))*(st_b[[#This Row],[s(tb)]]+(s_t/4))</f>
        <v>5.5061728395061724E-2</v>
      </c>
      <c r="I76" s="3">
        <f t="shared" si="10"/>
        <v>2.469135802469144E-4</v>
      </c>
      <c r="J76" s="14">
        <f t="shared" si="7"/>
        <v>4.9382716049382873</v>
      </c>
      <c r="M76" s="8">
        <v>2.9800000000000004E-3</v>
      </c>
      <c r="N76" s="3">
        <f>(-INDEX(Overview[b],9)+SQRT(POWER(INDEX(Overview[b],9),2)-(4*INDEX(Overview[a],9)*st_c[[#This Row],[c]])))/(2*INDEX(Overview[a],9))</f>
        <v>0.10506298828942422</v>
      </c>
      <c r="O76" s="3">
        <f t="shared" si="11"/>
        <v>1.3592845857205577E-3</v>
      </c>
      <c r="P76" s="14">
        <f t="shared" si="8"/>
        <v>27.185691714411153</v>
      </c>
    </row>
    <row r="77" spans="1:16" x14ac:dyDescent="0.25">
      <c r="A77" s="2">
        <v>7.400000000000001E-4</v>
      </c>
      <c r="B77" s="3" cm="1">
        <f t="array" ref="B77">SQRT((4*POWER(ttotal9,2)*st_a[[#This Row],[s(ta)]])/(9*s_t))</f>
        <v>3.6789294878398375E-2</v>
      </c>
      <c r="C77" s="3">
        <f t="shared" si="9"/>
        <v>2.4942182420394782E-4</v>
      </c>
      <c r="D77" s="14">
        <f t="shared" si="6"/>
        <v>4.9884364840789557</v>
      </c>
      <c r="G77" s="8">
        <v>1.4900000000000002E-3</v>
      </c>
      <c r="H77" s="3" cm="1">
        <f t="array" ref="H77">((2*ttotal9)/(3*s_t))*(st_b[[#This Row],[s(tb)]]+(s_t/4))</f>
        <v>5.5308641975308638E-2</v>
      </c>
      <c r="I77" s="3">
        <f t="shared" si="10"/>
        <v>2.469135802469144E-4</v>
      </c>
      <c r="J77" s="14">
        <f t="shared" si="7"/>
        <v>4.9382716049382873</v>
      </c>
      <c r="M77" s="8">
        <v>2.99E-3</v>
      </c>
      <c r="N77" s="3">
        <f>(-INDEX(Overview[b],9)+SQRT(POWER(INDEX(Overview[b],9),2)-(4*INDEX(Overview[a],9)*st_c[[#This Row],[c]])))/(2*INDEX(Overview[a],9))</f>
        <v>0.10683444245044703</v>
      </c>
      <c r="O77" s="3">
        <f t="shared" si="11"/>
        <v>1.7714541610228118E-3</v>
      </c>
      <c r="P77" s="14">
        <f t="shared" si="8"/>
        <v>35.429083220456235</v>
      </c>
    </row>
    <row r="78" spans="1:16" x14ac:dyDescent="0.25">
      <c r="A78" s="2">
        <v>7.5000000000000002E-4</v>
      </c>
      <c r="B78" s="3" cm="1">
        <f t="array" ref="B78">SQRT((4*POWER(ttotal9,2)*st_a[[#This Row],[s(ta)]])/(9*s_t))</f>
        <v>3.7037037037037035E-2</v>
      </c>
      <c r="C78" s="3">
        <f t="shared" si="9"/>
        <v>2.4774215863865995E-4</v>
      </c>
      <c r="D78" s="14">
        <f t="shared" si="6"/>
        <v>4.9548431727731987</v>
      </c>
      <c r="G78" s="8">
        <v>1.5E-3</v>
      </c>
      <c r="H78" s="3" cm="1">
        <f t="array" ref="H78">((2*ttotal9)/(3*s_t))*(st_b[[#This Row],[s(tb)]]+(s_t/4))</f>
        <v>5.5555555555555552E-2</v>
      </c>
      <c r="I78" s="3">
        <f t="shared" si="10"/>
        <v>2.469135802469144E-4</v>
      </c>
      <c r="J78" s="14">
        <f t="shared" si="7"/>
        <v>4.9382716049382873</v>
      </c>
      <c r="M78" s="8">
        <v>3.0000000000000001E-3</v>
      </c>
      <c r="N78" s="3">
        <f>(-INDEX(Overview[b],9)+SQRT(POWER(INDEX(Overview[b],9),2)-(4*INDEX(Overview[a],9)*st_c[[#This Row],[c]])))/(2*INDEX(Overview[a],9))</f>
        <v>0.11111110990664012</v>
      </c>
      <c r="O78" s="3">
        <f t="shared" si="11"/>
        <v>4.2766674561930951E-3</v>
      </c>
      <c r="P78" s="14">
        <f t="shared" si="8"/>
        <v>85.533349123861896</v>
      </c>
    </row>
    <row r="79" spans="1:16" x14ac:dyDescent="0.25">
      <c r="G79" s="8">
        <v>1.5100000000000001E-3</v>
      </c>
      <c r="H79" s="3" cm="1">
        <f t="array" ref="H79">((2*ttotal9)/(3*s_t))*(st_b[[#This Row],[s(tb)]]+(s_t/4))</f>
        <v>5.580246913580246E-2</v>
      </c>
      <c r="I79" s="3">
        <f t="shared" si="10"/>
        <v>2.4691358024690746E-4</v>
      </c>
      <c r="J79" s="14">
        <f t="shared" si="7"/>
        <v>4.9382716049381488</v>
      </c>
    </row>
    <row r="80" spans="1:16" x14ac:dyDescent="0.25">
      <c r="G80" s="8">
        <v>1.5200000000000001E-3</v>
      </c>
      <c r="H80" s="3" cm="1">
        <f t="array" ref="H80">((2*ttotal9)/(3*s_t))*(st_b[[#This Row],[s(tb)]]+(s_t/4))</f>
        <v>5.6049382716049381E-2</v>
      </c>
      <c r="I80" s="3">
        <f t="shared" si="10"/>
        <v>2.4691358024692134E-4</v>
      </c>
      <c r="J80" s="14">
        <f t="shared" si="7"/>
        <v>4.9382716049384268</v>
      </c>
    </row>
    <row r="81" spans="7:10" x14ac:dyDescent="0.25">
      <c r="G81" s="8">
        <v>1.5300000000000001E-3</v>
      </c>
      <c r="H81" s="3" cm="1">
        <f t="array" ref="H81">((2*ttotal9)/(3*s_t))*(st_b[[#This Row],[s(tb)]]+(s_t/4))</f>
        <v>5.6296296296296282E-2</v>
      </c>
      <c r="I81" s="3">
        <f t="shared" si="10"/>
        <v>2.4691358024690052E-4</v>
      </c>
      <c r="J81" s="14">
        <f t="shared" si="7"/>
        <v>4.9382716049380102</v>
      </c>
    </row>
    <row r="82" spans="7:10" x14ac:dyDescent="0.25">
      <c r="G82" s="8">
        <v>1.5400000000000001E-3</v>
      </c>
      <c r="H82" s="3" cm="1">
        <f t="array" ref="H82">((2*ttotal9)/(3*s_t))*(st_b[[#This Row],[s(tb)]]+(s_t/4))</f>
        <v>5.654320987654321E-2</v>
      </c>
      <c r="I82" s="3">
        <f t="shared" si="10"/>
        <v>2.4691358024692828E-4</v>
      </c>
      <c r="J82" s="14">
        <f t="shared" si="7"/>
        <v>4.9382716049385653</v>
      </c>
    </row>
    <row r="83" spans="7:10" x14ac:dyDescent="0.25">
      <c r="G83" s="8">
        <v>1.5500000000000002E-3</v>
      </c>
      <c r="H83" s="3" cm="1">
        <f t="array" ref="H83">((2*ttotal9)/(3*s_t))*(st_b[[#This Row],[s(tb)]]+(s_t/4))</f>
        <v>5.6790123456790111E-2</v>
      </c>
      <c r="I83" s="3">
        <f t="shared" si="10"/>
        <v>2.4691358024690052E-4</v>
      </c>
      <c r="J83" s="14">
        <f t="shared" si="7"/>
        <v>4.9382716049380102</v>
      </c>
    </row>
    <row r="84" spans="7:10" x14ac:dyDescent="0.25">
      <c r="G84" s="8">
        <v>1.5600000000000002E-3</v>
      </c>
      <c r="H84" s="3" cm="1">
        <f t="array" ref="H84">((2*ttotal9)/(3*s_t))*(st_b[[#This Row],[s(tb)]]+(s_t/4))</f>
        <v>5.7037037037037039E-2</v>
      </c>
      <c r="I84" s="3">
        <f t="shared" si="10"/>
        <v>2.4691358024692828E-4</v>
      </c>
      <c r="J84" s="14">
        <f t="shared" si="7"/>
        <v>4.9382716049385653</v>
      </c>
    </row>
    <row r="85" spans="7:10" x14ac:dyDescent="0.25">
      <c r="G85" s="8">
        <v>1.5700000000000002E-3</v>
      </c>
      <c r="H85" s="3" cm="1">
        <f t="array" ref="H85">((2*ttotal9)/(3*s_t))*(st_b[[#This Row],[s(tb)]]+(s_t/4))</f>
        <v>5.7283950617283939E-2</v>
      </c>
      <c r="I85" s="3">
        <f t="shared" si="10"/>
        <v>2.4691358024690052E-4</v>
      </c>
      <c r="J85" s="14">
        <f t="shared" si="7"/>
        <v>4.9382716049380102</v>
      </c>
    </row>
    <row r="86" spans="7:10" x14ac:dyDescent="0.25">
      <c r="G86" s="8">
        <v>1.58E-3</v>
      </c>
      <c r="H86" s="3" cm="1">
        <f t="array" ref="H86">((2*ttotal9)/(3*s_t))*(st_b[[#This Row],[s(tb)]]+(s_t/4))</f>
        <v>5.7530864197530854E-2</v>
      </c>
      <c r="I86" s="3">
        <f t="shared" si="10"/>
        <v>2.469135802469144E-4</v>
      </c>
      <c r="J86" s="14">
        <f t="shared" si="7"/>
        <v>4.9382716049382873</v>
      </c>
    </row>
    <row r="87" spans="7:10" x14ac:dyDescent="0.25">
      <c r="G87" s="8">
        <v>1.5900000000000001E-3</v>
      </c>
      <c r="H87" s="3" cm="1">
        <f t="array" ref="H87">((2*ttotal9)/(3*s_t))*(st_b[[#This Row],[s(tb)]]+(s_t/4))</f>
        <v>5.7777777777777768E-2</v>
      </c>
      <c r="I87" s="3">
        <f t="shared" si="10"/>
        <v>2.469135802469144E-4</v>
      </c>
      <c r="J87" s="14">
        <f t="shared" si="7"/>
        <v>4.9382716049382873</v>
      </c>
    </row>
    <row r="88" spans="7:10" x14ac:dyDescent="0.25">
      <c r="G88" s="8">
        <v>1.6000000000000001E-3</v>
      </c>
      <c r="H88" s="3" cm="1">
        <f t="array" ref="H88">((2*ttotal9)/(3*s_t))*(st_b[[#This Row],[s(tb)]]+(s_t/4))</f>
        <v>5.8024691358024683E-2</v>
      </c>
      <c r="I88" s="3">
        <f t="shared" si="10"/>
        <v>2.469135802469144E-4</v>
      </c>
      <c r="J88" s="14">
        <f t="shared" si="7"/>
        <v>4.9382716049382873</v>
      </c>
    </row>
    <row r="89" spans="7:10" x14ac:dyDescent="0.25">
      <c r="G89" s="8">
        <v>1.6100000000000001E-3</v>
      </c>
      <c r="H89" s="3" cm="1">
        <f t="array" ref="H89">((2*ttotal9)/(3*s_t))*(st_b[[#This Row],[s(tb)]]+(s_t/4))</f>
        <v>5.8271604938271597E-2</v>
      </c>
      <c r="I89" s="3">
        <f t="shared" si="10"/>
        <v>2.469135802469144E-4</v>
      </c>
      <c r="J89" s="14">
        <f t="shared" si="7"/>
        <v>4.9382716049382873</v>
      </c>
    </row>
    <row r="90" spans="7:10" x14ac:dyDescent="0.25">
      <c r="G90" s="8">
        <v>1.6200000000000001E-3</v>
      </c>
      <c r="H90" s="3" cm="1">
        <f t="array" ref="H90">((2*ttotal9)/(3*s_t))*(st_b[[#This Row],[s(tb)]]+(s_t/4))</f>
        <v>5.8518518518518511E-2</v>
      </c>
      <c r="I90" s="3">
        <f t="shared" si="10"/>
        <v>2.469135802469144E-4</v>
      </c>
      <c r="J90" s="14">
        <f t="shared" si="7"/>
        <v>4.9382716049382873</v>
      </c>
    </row>
    <row r="91" spans="7:10" x14ac:dyDescent="0.25">
      <c r="G91" s="8">
        <v>1.6300000000000002E-3</v>
      </c>
      <c r="H91" s="3" cm="1">
        <f t="array" ref="H91">((2*ttotal9)/(3*s_t))*(st_b[[#This Row],[s(tb)]]+(s_t/4))</f>
        <v>5.8765432098765426E-2</v>
      </c>
      <c r="I91" s="3">
        <f t="shared" si="10"/>
        <v>2.469135802469144E-4</v>
      </c>
      <c r="J91" s="14">
        <f t="shared" si="7"/>
        <v>4.9382716049382873</v>
      </c>
    </row>
    <row r="92" spans="7:10" x14ac:dyDescent="0.25">
      <c r="G92" s="8">
        <v>1.6400000000000002E-3</v>
      </c>
      <c r="H92" s="3" cm="1">
        <f t="array" ref="H92">((2*ttotal9)/(3*s_t))*(st_b[[#This Row],[s(tb)]]+(s_t/4))</f>
        <v>5.901234567901234E-2</v>
      </c>
      <c r="I92" s="3">
        <f t="shared" si="10"/>
        <v>2.469135802469144E-4</v>
      </c>
      <c r="J92" s="14">
        <f t="shared" si="7"/>
        <v>4.9382716049382873</v>
      </c>
    </row>
    <row r="93" spans="7:10" x14ac:dyDescent="0.25">
      <c r="G93" s="8">
        <v>1.6500000000000002E-3</v>
      </c>
      <c r="H93" s="3" cm="1">
        <f t="array" ref="H93">((2*ttotal9)/(3*s_t))*(st_b[[#This Row],[s(tb)]]+(s_t/4))</f>
        <v>5.9259259259259255E-2</v>
      </c>
      <c r="I93" s="3">
        <f t="shared" si="10"/>
        <v>2.469135802469144E-4</v>
      </c>
      <c r="J93" s="14">
        <f t="shared" si="7"/>
        <v>4.9382716049382873</v>
      </c>
    </row>
    <row r="94" spans="7:10" x14ac:dyDescent="0.25">
      <c r="G94" s="8">
        <v>1.6600000000000002E-3</v>
      </c>
      <c r="H94" s="3" cm="1">
        <f t="array" ref="H94">((2*ttotal9)/(3*s_t))*(st_b[[#This Row],[s(tb)]]+(s_t/4))</f>
        <v>5.9506172839506169E-2</v>
      </c>
      <c r="I94" s="3">
        <f t="shared" si="10"/>
        <v>2.469135802469144E-4</v>
      </c>
      <c r="J94" s="14">
        <f t="shared" si="7"/>
        <v>4.9382716049382873</v>
      </c>
    </row>
    <row r="95" spans="7:10" x14ac:dyDescent="0.25">
      <c r="G95" s="8">
        <v>1.67E-3</v>
      </c>
      <c r="H95" s="3" cm="1">
        <f t="array" ref="H95">((2*ttotal9)/(3*s_t))*(st_b[[#This Row],[s(tb)]]+(s_t/4))</f>
        <v>5.9753086419753083E-2</v>
      </c>
      <c r="I95" s="3">
        <f t="shared" si="10"/>
        <v>2.469135802469144E-4</v>
      </c>
      <c r="J95" s="14">
        <f t="shared" si="7"/>
        <v>4.9382716049382873</v>
      </c>
    </row>
    <row r="96" spans="7:10" x14ac:dyDescent="0.25">
      <c r="G96" s="8">
        <v>1.6800000000000001E-3</v>
      </c>
      <c r="H96" s="3" cm="1">
        <f t="array" ref="H96">((2*ttotal9)/(3*s_t))*(st_b[[#This Row],[s(tb)]]+(s_t/4))</f>
        <v>5.9999999999999984E-2</v>
      </c>
      <c r="I96" s="3">
        <f t="shared" si="10"/>
        <v>2.4691358024690052E-4</v>
      </c>
      <c r="J96" s="14">
        <f t="shared" si="7"/>
        <v>4.9382716049380102</v>
      </c>
    </row>
    <row r="97" spans="7:10" x14ac:dyDescent="0.25">
      <c r="G97" s="8">
        <v>1.6900000000000001E-3</v>
      </c>
      <c r="H97" s="3" cm="1">
        <f t="array" ref="H97">((2*ttotal9)/(3*s_t))*(st_b[[#This Row],[s(tb)]]+(s_t/4))</f>
        <v>6.0246913580246912E-2</v>
      </c>
      <c r="I97" s="3">
        <f t="shared" si="10"/>
        <v>2.4691358024692828E-4</v>
      </c>
      <c r="J97" s="14">
        <f t="shared" si="7"/>
        <v>4.9382716049385653</v>
      </c>
    </row>
    <row r="98" spans="7:10" x14ac:dyDescent="0.25">
      <c r="G98" s="8">
        <v>1.7000000000000001E-3</v>
      </c>
      <c r="H98" s="3" cm="1">
        <f t="array" ref="H98">((2*ttotal9)/(3*s_t))*(st_b[[#This Row],[s(tb)]]+(s_t/4))</f>
        <v>6.0493827160493813E-2</v>
      </c>
      <c r="I98" s="3">
        <f t="shared" si="10"/>
        <v>2.4691358024690052E-4</v>
      </c>
      <c r="J98" s="14">
        <f t="shared" si="7"/>
        <v>4.9382716049380102</v>
      </c>
    </row>
    <row r="99" spans="7:10" x14ac:dyDescent="0.25">
      <c r="G99" s="8">
        <v>1.7100000000000001E-3</v>
      </c>
      <c r="H99" s="3" cm="1">
        <f t="array" ref="H99">((2*ttotal9)/(3*s_t))*(st_b[[#This Row],[s(tb)]]+(s_t/4))</f>
        <v>6.0740740740740741E-2</v>
      </c>
      <c r="I99" s="3">
        <f t="shared" si="10"/>
        <v>2.4691358024692828E-4</v>
      </c>
      <c r="J99" s="14">
        <f t="shared" si="7"/>
        <v>4.9382716049385653</v>
      </c>
    </row>
    <row r="100" spans="7:10" x14ac:dyDescent="0.25">
      <c r="G100" s="8">
        <v>1.7200000000000002E-3</v>
      </c>
      <c r="H100" s="3" cm="1">
        <f t="array" ref="H100">((2*ttotal9)/(3*s_t))*(st_b[[#This Row],[s(tb)]]+(s_t/4))</f>
        <v>6.0987654320987641E-2</v>
      </c>
      <c r="I100" s="3">
        <f t="shared" si="10"/>
        <v>2.4691358024690052E-4</v>
      </c>
      <c r="J100" s="14">
        <f t="shared" si="7"/>
        <v>4.9382716049380102</v>
      </c>
    </row>
    <row r="101" spans="7:10" x14ac:dyDescent="0.25">
      <c r="G101" s="8">
        <v>1.7300000000000002E-3</v>
      </c>
      <c r="H101" s="3" cm="1">
        <f t="array" ref="H101">((2*ttotal9)/(3*s_t))*(st_b[[#This Row],[s(tb)]]+(s_t/4))</f>
        <v>6.123456790123457E-2</v>
      </c>
      <c r="I101" s="3">
        <f t="shared" si="10"/>
        <v>2.4691358024692828E-4</v>
      </c>
      <c r="J101" s="14">
        <f t="shared" si="7"/>
        <v>4.9382716049385653</v>
      </c>
    </row>
    <row r="102" spans="7:10" x14ac:dyDescent="0.25">
      <c r="G102" s="8">
        <v>1.7400000000000002E-3</v>
      </c>
      <c r="H102" s="3" cm="1">
        <f t="array" ref="H102">((2*ttotal9)/(3*s_t))*(st_b[[#This Row],[s(tb)]]+(s_t/4))</f>
        <v>6.148148148148147E-2</v>
      </c>
      <c r="I102" s="3">
        <f t="shared" si="10"/>
        <v>2.4691358024690052E-4</v>
      </c>
      <c r="J102" s="14">
        <f t="shared" si="7"/>
        <v>4.9382716049380102</v>
      </c>
    </row>
    <row r="103" spans="7:10" x14ac:dyDescent="0.25">
      <c r="G103" s="8">
        <v>1.75E-3</v>
      </c>
      <c r="H103" s="3" cm="1">
        <f t="array" ref="H103">((2*ttotal9)/(3*s_t))*(st_b[[#This Row],[s(tb)]]+(s_t/4))</f>
        <v>6.1728395061728385E-2</v>
      </c>
      <c r="I103" s="3">
        <f t="shared" si="10"/>
        <v>2.469135802469144E-4</v>
      </c>
      <c r="J103" s="14">
        <f t="shared" si="7"/>
        <v>4.9382716049382873</v>
      </c>
    </row>
    <row r="104" spans="7:10" x14ac:dyDescent="0.25">
      <c r="G104" s="8">
        <v>1.7600000000000001E-3</v>
      </c>
      <c r="H104" s="3" cm="1">
        <f t="array" ref="H104">((2*ttotal9)/(3*s_t))*(st_b[[#This Row],[s(tb)]]+(s_t/4))</f>
        <v>6.1975308641975299E-2</v>
      </c>
      <c r="I104" s="3">
        <f t="shared" si="10"/>
        <v>2.469135802469144E-4</v>
      </c>
      <c r="J104" s="14">
        <f t="shared" si="7"/>
        <v>4.9382716049382873</v>
      </c>
    </row>
    <row r="105" spans="7:10" x14ac:dyDescent="0.25">
      <c r="G105" s="8">
        <v>1.7700000000000001E-3</v>
      </c>
      <c r="H105" s="3" cm="1">
        <f t="array" ref="H105">((2*ttotal9)/(3*s_t))*(st_b[[#This Row],[s(tb)]]+(s_t/4))</f>
        <v>6.2222222222222213E-2</v>
      </c>
      <c r="I105" s="3">
        <f t="shared" si="10"/>
        <v>2.469135802469144E-4</v>
      </c>
      <c r="J105" s="14">
        <f t="shared" si="7"/>
        <v>4.9382716049382873</v>
      </c>
    </row>
    <row r="106" spans="7:10" x14ac:dyDescent="0.25">
      <c r="G106" s="8">
        <v>1.7800000000000001E-3</v>
      </c>
      <c r="H106" s="3" cm="1">
        <f t="array" ref="H106">((2*ttotal9)/(3*s_t))*(st_b[[#This Row],[s(tb)]]+(s_t/4))</f>
        <v>6.2469135802469128E-2</v>
      </c>
      <c r="I106" s="3">
        <f t="shared" si="10"/>
        <v>2.469135802469144E-4</v>
      </c>
      <c r="J106" s="14">
        <f t="shared" si="7"/>
        <v>4.9382716049382873</v>
      </c>
    </row>
    <row r="107" spans="7:10" x14ac:dyDescent="0.25">
      <c r="G107" s="8">
        <v>1.7900000000000001E-3</v>
      </c>
      <c r="H107" s="3" cm="1">
        <f t="array" ref="H107">((2*ttotal9)/(3*s_t))*(st_b[[#This Row],[s(tb)]]+(s_t/4))</f>
        <v>6.2716049382716049E-2</v>
      </c>
      <c r="I107" s="3">
        <f t="shared" si="10"/>
        <v>2.4691358024692134E-4</v>
      </c>
      <c r="J107" s="14">
        <f t="shared" si="7"/>
        <v>4.9382716049384268</v>
      </c>
    </row>
    <row r="108" spans="7:10" x14ac:dyDescent="0.25">
      <c r="G108" s="8">
        <v>1.8000000000000002E-3</v>
      </c>
      <c r="H108" s="3" cm="1">
        <f t="array" ref="H108">((2*ttotal9)/(3*s_t))*(st_b[[#This Row],[s(tb)]]+(s_t/4))</f>
        <v>6.2962962962962957E-2</v>
      </c>
      <c r="I108" s="3">
        <f t="shared" si="10"/>
        <v>2.4691358024690746E-4</v>
      </c>
      <c r="J108" s="14">
        <f t="shared" si="7"/>
        <v>4.9382716049381488</v>
      </c>
    </row>
    <row r="109" spans="7:10" x14ac:dyDescent="0.25">
      <c r="G109" s="8">
        <v>1.8100000000000002E-3</v>
      </c>
      <c r="H109" s="3" cm="1">
        <f t="array" ref="H109">((2*ttotal9)/(3*s_t))*(st_b[[#This Row],[s(tb)]]+(s_t/4))</f>
        <v>6.3209876543209878E-2</v>
      </c>
      <c r="I109" s="3">
        <f t="shared" si="10"/>
        <v>2.4691358024692134E-4</v>
      </c>
      <c r="J109" s="14">
        <f t="shared" si="7"/>
        <v>4.9382716049384268</v>
      </c>
    </row>
    <row r="110" spans="7:10" x14ac:dyDescent="0.25">
      <c r="G110" s="8">
        <v>1.8200000000000002E-3</v>
      </c>
      <c r="H110" s="3" cm="1">
        <f t="array" ref="H110">((2*ttotal9)/(3*s_t))*(st_b[[#This Row],[s(tb)]]+(s_t/4))</f>
        <v>6.3456790123456785E-2</v>
      </c>
      <c r="I110" s="3">
        <f t="shared" si="10"/>
        <v>2.4691358024690746E-4</v>
      </c>
      <c r="J110" s="14">
        <f t="shared" si="7"/>
        <v>4.9382716049381488</v>
      </c>
    </row>
    <row r="111" spans="7:10" x14ac:dyDescent="0.25">
      <c r="G111" s="8">
        <v>1.8300000000000002E-3</v>
      </c>
      <c r="H111" s="3" cm="1">
        <f t="array" ref="H111">((2*ttotal9)/(3*s_t))*(st_b[[#This Row],[s(tb)]]+(s_t/4))</f>
        <v>6.3703703703703693E-2</v>
      </c>
      <c r="I111" s="3">
        <f t="shared" si="10"/>
        <v>2.4691358024690746E-4</v>
      </c>
      <c r="J111" s="14">
        <f t="shared" si="7"/>
        <v>4.9382716049381488</v>
      </c>
    </row>
    <row r="112" spans="7:10" x14ac:dyDescent="0.25">
      <c r="G112" s="8">
        <v>1.8400000000000001E-3</v>
      </c>
      <c r="H112" s="3" cm="1">
        <f t="array" ref="H112">((2*ttotal9)/(3*s_t))*(st_b[[#This Row],[s(tb)]]+(s_t/4))</f>
        <v>6.3950617283950614E-2</v>
      </c>
      <c r="I112" s="3">
        <f t="shared" si="10"/>
        <v>2.4691358024692134E-4</v>
      </c>
      <c r="J112" s="14">
        <f t="shared" si="7"/>
        <v>4.9382716049384268</v>
      </c>
    </row>
    <row r="113" spans="7:10" x14ac:dyDescent="0.25">
      <c r="G113" s="8">
        <v>1.8500000000000001E-3</v>
      </c>
      <c r="H113" s="3" cm="1">
        <f t="array" ref="H113">((2*ttotal9)/(3*s_t))*(st_b[[#This Row],[s(tb)]]+(s_t/4))</f>
        <v>6.4197530864197522E-2</v>
      </c>
      <c r="I113" s="3">
        <f t="shared" si="10"/>
        <v>2.4691358024690746E-4</v>
      </c>
      <c r="J113" s="14">
        <f t="shared" si="7"/>
        <v>4.9382716049381488</v>
      </c>
    </row>
    <row r="114" spans="7:10" x14ac:dyDescent="0.25">
      <c r="G114" s="8">
        <v>1.8600000000000001E-3</v>
      </c>
      <c r="H114" s="3" cm="1">
        <f t="array" ref="H114">((2*ttotal9)/(3*s_t))*(st_b[[#This Row],[s(tb)]]+(s_t/4))</f>
        <v>6.4444444444444443E-2</v>
      </c>
      <c r="I114" s="3">
        <f t="shared" si="10"/>
        <v>2.4691358024692134E-4</v>
      </c>
      <c r="J114" s="14">
        <f t="shared" si="7"/>
        <v>4.9382716049384268</v>
      </c>
    </row>
    <row r="115" spans="7:10" x14ac:dyDescent="0.25">
      <c r="G115" s="8">
        <v>1.8700000000000001E-3</v>
      </c>
      <c r="H115" s="3" cm="1">
        <f t="array" ref="H115">((2*ttotal9)/(3*s_t))*(st_b[[#This Row],[s(tb)]]+(s_t/4))</f>
        <v>6.4691358024691351E-2</v>
      </c>
      <c r="I115" s="3">
        <f t="shared" si="10"/>
        <v>2.4691358024690746E-4</v>
      </c>
      <c r="J115" s="14">
        <f t="shared" si="7"/>
        <v>4.9382716049381488</v>
      </c>
    </row>
    <row r="116" spans="7:10" x14ac:dyDescent="0.25">
      <c r="G116" s="8">
        <v>1.8800000000000002E-3</v>
      </c>
      <c r="H116" s="3" cm="1">
        <f t="array" ref="H116">((2*ttotal9)/(3*s_t))*(st_b[[#This Row],[s(tb)]]+(s_t/4))</f>
        <v>6.4938271604938272E-2</v>
      </c>
      <c r="I116" s="3">
        <f t="shared" si="10"/>
        <v>2.4691358024692134E-4</v>
      </c>
      <c r="J116" s="14">
        <f t="shared" si="7"/>
        <v>4.9382716049384268</v>
      </c>
    </row>
    <row r="117" spans="7:10" x14ac:dyDescent="0.25">
      <c r="G117" s="8">
        <v>1.8900000000000002E-3</v>
      </c>
      <c r="H117" s="3" cm="1">
        <f t="array" ref="H117">((2*ttotal9)/(3*s_t))*(st_b[[#This Row],[s(tb)]]+(s_t/4))</f>
        <v>6.5185185185185179E-2</v>
      </c>
      <c r="I117" s="3">
        <f t="shared" si="10"/>
        <v>2.4691358024690746E-4</v>
      </c>
      <c r="J117" s="14">
        <f t="shared" si="7"/>
        <v>4.9382716049381488</v>
      </c>
    </row>
    <row r="118" spans="7:10" x14ac:dyDescent="0.25">
      <c r="G118" s="8">
        <v>1.9000000000000002E-3</v>
      </c>
      <c r="H118" s="3" cm="1">
        <f t="array" ref="H118">((2*ttotal9)/(3*s_t))*(st_b[[#This Row],[s(tb)]]+(s_t/4))</f>
        <v>6.5432098765432101E-2</v>
      </c>
      <c r="I118" s="3">
        <f t="shared" si="10"/>
        <v>2.4691358024692134E-4</v>
      </c>
      <c r="J118" s="14">
        <f t="shared" si="7"/>
        <v>4.9382716049384268</v>
      </c>
    </row>
    <row r="119" spans="7:10" x14ac:dyDescent="0.25">
      <c r="G119" s="8">
        <v>1.9100000000000002E-3</v>
      </c>
      <c r="H119" s="3" cm="1">
        <f t="array" ref="H119">((2*ttotal9)/(3*s_t))*(st_b[[#This Row],[s(tb)]]+(s_t/4))</f>
        <v>6.5679012345679008E-2</v>
      </c>
      <c r="I119" s="3">
        <f t="shared" si="10"/>
        <v>2.4691358024690746E-4</v>
      </c>
      <c r="J119" s="14">
        <f t="shared" si="7"/>
        <v>4.9382716049381488</v>
      </c>
    </row>
    <row r="120" spans="7:10" x14ac:dyDescent="0.25">
      <c r="G120" s="8">
        <v>1.9200000000000003E-3</v>
      </c>
      <c r="H120" s="3" cm="1">
        <f t="array" ref="H120">((2*ttotal9)/(3*s_t))*(st_b[[#This Row],[s(tb)]]+(s_t/4))</f>
        <v>6.5925925925925929E-2</v>
      </c>
      <c r="I120" s="3">
        <f t="shared" si="10"/>
        <v>2.4691358024692134E-4</v>
      </c>
      <c r="J120" s="14">
        <f t="shared" si="7"/>
        <v>4.9382716049384268</v>
      </c>
    </row>
    <row r="121" spans="7:10" x14ac:dyDescent="0.25">
      <c r="G121" s="8">
        <v>1.9300000000000001E-3</v>
      </c>
      <c r="H121" s="3" cm="1">
        <f t="array" ref="H121">((2*ttotal9)/(3*s_t))*(st_b[[#This Row],[s(tb)]]+(s_t/4))</f>
        <v>6.6172839506172837E-2</v>
      </c>
      <c r="I121" s="3">
        <f t="shared" si="10"/>
        <v>2.4691358024690746E-4</v>
      </c>
      <c r="J121" s="14">
        <f t="shared" si="7"/>
        <v>4.9382716049381488</v>
      </c>
    </row>
    <row r="122" spans="7:10" x14ac:dyDescent="0.25">
      <c r="G122" s="8">
        <v>1.9400000000000001E-3</v>
      </c>
      <c r="H122" s="3" cm="1">
        <f t="array" ref="H122">((2*ttotal9)/(3*s_t))*(st_b[[#This Row],[s(tb)]]+(s_t/4))</f>
        <v>6.6419753086419744E-2</v>
      </c>
      <c r="I122" s="3">
        <f t="shared" si="10"/>
        <v>2.4691358024690746E-4</v>
      </c>
      <c r="J122" s="14">
        <f t="shared" si="7"/>
        <v>4.9382716049381488</v>
      </c>
    </row>
    <row r="123" spans="7:10" x14ac:dyDescent="0.25">
      <c r="G123" s="8">
        <v>1.9500000000000001E-3</v>
      </c>
      <c r="H123" s="3" cm="1">
        <f t="array" ref="H123">((2*ttotal9)/(3*s_t))*(st_b[[#This Row],[s(tb)]]+(s_t/4))</f>
        <v>6.6666666666666666E-2</v>
      </c>
      <c r="I123" s="3">
        <f t="shared" si="10"/>
        <v>2.4691358024692134E-4</v>
      </c>
      <c r="J123" s="14">
        <f t="shared" si="7"/>
        <v>4.9382716049384268</v>
      </c>
    </row>
    <row r="124" spans="7:10" x14ac:dyDescent="0.25">
      <c r="G124" s="8">
        <v>1.9600000000000004E-3</v>
      </c>
      <c r="H124" s="3" cm="1">
        <f t="array" ref="H124">((2*ttotal9)/(3*s_t))*(st_b[[#This Row],[s(tb)]]+(s_t/4))</f>
        <v>6.6913580246913587E-2</v>
      </c>
      <c r="I124" s="3">
        <f t="shared" si="10"/>
        <v>2.4691358024692134E-4</v>
      </c>
      <c r="J124" s="14">
        <f t="shared" si="7"/>
        <v>4.9382716049384268</v>
      </c>
    </row>
    <row r="125" spans="7:10" x14ac:dyDescent="0.25">
      <c r="G125" s="8">
        <v>1.97E-3</v>
      </c>
      <c r="H125" s="3" cm="1">
        <f t="array" ref="H125">((2*ttotal9)/(3*s_t))*(st_b[[#This Row],[s(tb)]]+(s_t/4))</f>
        <v>6.7160493827160495E-2</v>
      </c>
      <c r="I125" s="3">
        <f t="shared" si="10"/>
        <v>2.4691358024690746E-4</v>
      </c>
      <c r="J125" s="14">
        <f t="shared" si="7"/>
        <v>4.9382716049381488</v>
      </c>
    </row>
    <row r="126" spans="7:10" x14ac:dyDescent="0.25">
      <c r="G126" s="8">
        <v>1.98E-3</v>
      </c>
      <c r="H126" s="3" cm="1">
        <f t="array" ref="H126">((2*ttotal9)/(3*s_t))*(st_b[[#This Row],[s(tb)]]+(s_t/4))</f>
        <v>6.7407407407407388E-2</v>
      </c>
      <c r="I126" s="3">
        <f t="shared" si="10"/>
        <v>2.4691358024689358E-4</v>
      </c>
      <c r="J126" s="14">
        <f t="shared" si="7"/>
        <v>4.9382716049378717</v>
      </c>
    </row>
    <row r="127" spans="7:10" x14ac:dyDescent="0.25">
      <c r="G127" s="8">
        <v>1.99E-3</v>
      </c>
      <c r="H127" s="3" cm="1">
        <f t="array" ref="H127">((2*ttotal9)/(3*s_t))*(st_b[[#This Row],[s(tb)]]+(s_t/4))</f>
        <v>6.7654320987654309E-2</v>
      </c>
      <c r="I127" s="3">
        <f t="shared" si="10"/>
        <v>2.4691358024692134E-4</v>
      </c>
      <c r="J127" s="14">
        <f t="shared" si="7"/>
        <v>4.9382716049384268</v>
      </c>
    </row>
    <row r="128" spans="7:10" x14ac:dyDescent="0.25">
      <c r="G128" s="8">
        <v>2E-3</v>
      </c>
      <c r="H128" s="3" cm="1">
        <f t="array" ref="H128">((2*ttotal9)/(3*s_t))*(st_b[[#This Row],[s(tb)]]+(s_t/4))</f>
        <v>6.7901234567901217E-2</v>
      </c>
      <c r="I128" s="3">
        <f t="shared" si="10"/>
        <v>2.4691358024690746E-4</v>
      </c>
      <c r="J128" s="14">
        <f t="shared" si="7"/>
        <v>4.9382716049381488</v>
      </c>
    </row>
    <row r="129" spans="7:10" x14ac:dyDescent="0.25">
      <c r="G129" s="8">
        <v>2.0100000000000001E-3</v>
      </c>
      <c r="H129" s="3" cm="1">
        <f t="array" ref="H129">((2*ttotal9)/(3*s_t))*(st_b[[#This Row],[s(tb)]]+(s_t/4))</f>
        <v>6.8148148148148138E-2</v>
      </c>
      <c r="I129" s="3">
        <f t="shared" si="10"/>
        <v>2.4691358024692134E-4</v>
      </c>
      <c r="J129" s="14">
        <f t="shared" si="7"/>
        <v>4.9382716049384268</v>
      </c>
    </row>
    <row r="130" spans="7:10" x14ac:dyDescent="0.25">
      <c r="G130" s="8">
        <v>2.0200000000000001E-3</v>
      </c>
      <c r="H130" s="3" cm="1">
        <f t="array" ref="H130">((2*ttotal9)/(3*s_t))*(st_b[[#This Row],[s(tb)]]+(s_t/4))</f>
        <v>6.8395061728395046E-2</v>
      </c>
      <c r="I130" s="3">
        <f t="shared" si="10"/>
        <v>2.4691358024690746E-4</v>
      </c>
      <c r="J130" s="14">
        <f t="shared" si="7"/>
        <v>4.9382716049381488</v>
      </c>
    </row>
    <row r="131" spans="7:10" x14ac:dyDescent="0.25">
      <c r="G131" s="8">
        <v>2.0300000000000001E-3</v>
      </c>
      <c r="H131" s="3" cm="1">
        <f t="array" ref="H131">((2*ttotal9)/(3*s_t))*(st_b[[#This Row],[s(tb)]]+(s_t/4))</f>
        <v>6.8641975308641967E-2</v>
      </c>
      <c r="I131" s="3">
        <f t="shared" si="10"/>
        <v>2.4691358024692134E-4</v>
      </c>
      <c r="J131" s="14">
        <f t="shared" si="7"/>
        <v>4.9382716049384268</v>
      </c>
    </row>
    <row r="132" spans="7:10" x14ac:dyDescent="0.25">
      <c r="G132" s="8">
        <v>2.0400000000000001E-3</v>
      </c>
      <c r="H132" s="3" cm="1">
        <f t="array" ref="H132">((2*ttotal9)/(3*s_t))*(st_b[[#This Row],[s(tb)]]+(s_t/4))</f>
        <v>6.8888888888888875E-2</v>
      </c>
      <c r="I132" s="3">
        <f t="shared" si="10"/>
        <v>2.4691358024690746E-4</v>
      </c>
      <c r="J132" s="14">
        <f t="shared" ref="J132:J153" si="12">I132/0.00005</f>
        <v>4.9382716049381488</v>
      </c>
    </row>
    <row r="133" spans="7:10" x14ac:dyDescent="0.25">
      <c r="G133" s="8">
        <v>2.0500000000000002E-3</v>
      </c>
      <c r="H133" s="3" cm="1">
        <f t="array" ref="H133">((2*ttotal9)/(3*s_t))*(st_b[[#This Row],[s(tb)]]+(s_t/4))</f>
        <v>6.9135802469135796E-2</v>
      </c>
      <c r="I133" s="3">
        <f t="shared" ref="I133:I153" si="13">H133-H132</f>
        <v>2.4691358024692134E-4</v>
      </c>
      <c r="J133" s="14">
        <f t="shared" si="12"/>
        <v>4.9382716049384268</v>
      </c>
    </row>
    <row r="134" spans="7:10" x14ac:dyDescent="0.25">
      <c r="G134" s="8">
        <v>2.0600000000000002E-3</v>
      </c>
      <c r="H134" s="3" cm="1">
        <f t="array" ref="H134">((2*ttotal9)/(3*s_t))*(st_b[[#This Row],[s(tb)]]+(s_t/4))</f>
        <v>6.9382716049382703E-2</v>
      </c>
      <c r="I134" s="3">
        <f t="shared" si="13"/>
        <v>2.4691358024690746E-4</v>
      </c>
      <c r="J134" s="14">
        <f t="shared" si="12"/>
        <v>4.9382716049381488</v>
      </c>
    </row>
    <row r="135" spans="7:10" x14ac:dyDescent="0.25">
      <c r="G135" s="8">
        <v>2.0700000000000002E-3</v>
      </c>
      <c r="H135" s="3" cm="1">
        <f t="array" ref="H135">((2*ttotal9)/(3*s_t))*(st_b[[#This Row],[s(tb)]]+(s_t/4))</f>
        <v>6.9629629629629625E-2</v>
      </c>
      <c r="I135" s="3">
        <f t="shared" si="13"/>
        <v>2.4691358024692134E-4</v>
      </c>
      <c r="J135" s="14">
        <f t="shared" si="12"/>
        <v>4.9382716049384268</v>
      </c>
    </row>
    <row r="136" spans="7:10" x14ac:dyDescent="0.25">
      <c r="G136" s="8">
        <v>2.0800000000000003E-3</v>
      </c>
      <c r="H136" s="3" cm="1">
        <f t="array" ref="H136">((2*ttotal9)/(3*s_t))*(st_b[[#This Row],[s(tb)]]+(s_t/4))</f>
        <v>6.9876543209876532E-2</v>
      </c>
      <c r="I136" s="3">
        <f t="shared" si="13"/>
        <v>2.4691358024690746E-4</v>
      </c>
      <c r="J136" s="14">
        <f t="shared" si="12"/>
        <v>4.9382716049381488</v>
      </c>
    </row>
    <row r="137" spans="7:10" x14ac:dyDescent="0.25">
      <c r="G137" s="8">
        <v>2.0900000000000003E-3</v>
      </c>
      <c r="H137" s="3" cm="1">
        <f t="array" ref="H137">((2*ttotal9)/(3*s_t))*(st_b[[#This Row],[s(tb)]]+(s_t/4))</f>
        <v>7.0123456790123453E-2</v>
      </c>
      <c r="I137" s="3">
        <f t="shared" si="13"/>
        <v>2.4691358024692134E-4</v>
      </c>
      <c r="J137" s="14">
        <f t="shared" si="12"/>
        <v>4.9382716049384268</v>
      </c>
    </row>
    <row r="138" spans="7:10" x14ac:dyDescent="0.25">
      <c r="G138" s="8">
        <v>2.1000000000000003E-3</v>
      </c>
      <c r="H138" s="3" cm="1">
        <f t="array" ref="H138">((2*ttotal9)/(3*s_t))*(st_b[[#This Row],[s(tb)]]+(s_t/4))</f>
        <v>7.0370370370370361E-2</v>
      </c>
      <c r="I138" s="3">
        <f t="shared" si="13"/>
        <v>2.4691358024690746E-4</v>
      </c>
      <c r="J138" s="14">
        <f t="shared" si="12"/>
        <v>4.9382716049381488</v>
      </c>
    </row>
    <row r="139" spans="7:10" x14ac:dyDescent="0.25">
      <c r="G139" s="8">
        <v>2.1100000000000003E-3</v>
      </c>
      <c r="H139" s="3" cm="1">
        <f t="array" ref="H139">((2*ttotal9)/(3*s_t))*(st_b[[#This Row],[s(tb)]]+(s_t/4))</f>
        <v>7.0617283950617282E-2</v>
      </c>
      <c r="I139" s="3">
        <f t="shared" si="13"/>
        <v>2.4691358024692134E-4</v>
      </c>
      <c r="J139" s="14">
        <f t="shared" si="12"/>
        <v>4.9382716049384268</v>
      </c>
    </row>
    <row r="140" spans="7:10" x14ac:dyDescent="0.25">
      <c r="G140" s="8">
        <v>2.1200000000000004E-3</v>
      </c>
      <c r="H140" s="3" cm="1">
        <f t="array" ref="H140">((2*ttotal9)/(3*s_t))*(st_b[[#This Row],[s(tb)]]+(s_t/4))</f>
        <v>7.086419753086419E-2</v>
      </c>
      <c r="I140" s="3">
        <f t="shared" si="13"/>
        <v>2.4691358024690746E-4</v>
      </c>
      <c r="J140" s="14">
        <f t="shared" si="12"/>
        <v>4.9382716049381488</v>
      </c>
    </row>
    <row r="141" spans="7:10" x14ac:dyDescent="0.25">
      <c r="G141" s="8">
        <v>2.1300000000000004E-3</v>
      </c>
      <c r="H141" s="3" cm="1">
        <f t="array" ref="H141">((2*ttotal9)/(3*s_t))*(st_b[[#This Row],[s(tb)]]+(s_t/4))</f>
        <v>7.1111111111111111E-2</v>
      </c>
      <c r="I141" s="3">
        <f t="shared" si="13"/>
        <v>2.4691358024692134E-4</v>
      </c>
      <c r="J141" s="14">
        <f t="shared" si="12"/>
        <v>4.9382716049384268</v>
      </c>
    </row>
    <row r="142" spans="7:10" x14ac:dyDescent="0.25">
      <c r="G142" s="8">
        <v>2.14E-3</v>
      </c>
      <c r="H142" s="3" cm="1">
        <f t="array" ref="H142">((2*ttotal9)/(3*s_t))*(st_b[[#This Row],[s(tb)]]+(s_t/4))</f>
        <v>7.1358024691358019E-2</v>
      </c>
      <c r="I142" s="3">
        <f t="shared" si="13"/>
        <v>2.4691358024690746E-4</v>
      </c>
      <c r="J142" s="14">
        <f t="shared" si="12"/>
        <v>4.9382716049381488</v>
      </c>
    </row>
    <row r="143" spans="7:10" x14ac:dyDescent="0.25">
      <c r="G143" s="8">
        <v>2.15E-3</v>
      </c>
      <c r="H143" s="3" cm="1">
        <f t="array" ref="H143">((2*ttotal9)/(3*s_t))*(st_b[[#This Row],[s(tb)]]+(s_t/4))</f>
        <v>7.1604938271604926E-2</v>
      </c>
      <c r="I143" s="3">
        <f t="shared" si="13"/>
        <v>2.4691358024690746E-4</v>
      </c>
      <c r="J143" s="14">
        <f t="shared" si="12"/>
        <v>4.9382716049381488</v>
      </c>
    </row>
    <row r="144" spans="7:10" x14ac:dyDescent="0.25">
      <c r="G144" s="8">
        <v>2.16E-3</v>
      </c>
      <c r="H144" s="3" cm="1">
        <f t="array" ref="H144">((2*ttotal9)/(3*s_t))*(st_b[[#This Row],[s(tb)]]+(s_t/4))</f>
        <v>7.1851851851851847E-2</v>
      </c>
      <c r="I144" s="3">
        <f t="shared" si="13"/>
        <v>2.4691358024692134E-4</v>
      </c>
      <c r="J144" s="14">
        <f t="shared" si="12"/>
        <v>4.9382716049384268</v>
      </c>
    </row>
    <row r="145" spans="7:10" x14ac:dyDescent="0.25">
      <c r="G145" s="8">
        <v>2.1700000000000001E-3</v>
      </c>
      <c r="H145" s="3" cm="1">
        <f t="array" ref="H145">((2*ttotal9)/(3*s_t))*(st_b[[#This Row],[s(tb)]]+(s_t/4))</f>
        <v>7.2098765432098755E-2</v>
      </c>
      <c r="I145" s="3">
        <f t="shared" si="13"/>
        <v>2.4691358024690746E-4</v>
      </c>
      <c r="J145" s="14">
        <f t="shared" si="12"/>
        <v>4.9382716049381488</v>
      </c>
    </row>
    <row r="146" spans="7:10" x14ac:dyDescent="0.25">
      <c r="G146" s="8">
        <v>2.1800000000000001E-3</v>
      </c>
      <c r="H146" s="3" cm="1">
        <f t="array" ref="H146">((2*ttotal9)/(3*s_t))*(st_b[[#This Row],[s(tb)]]+(s_t/4))</f>
        <v>7.2345679012345676E-2</v>
      </c>
      <c r="I146" s="3">
        <f t="shared" si="13"/>
        <v>2.4691358024692134E-4</v>
      </c>
      <c r="J146" s="14">
        <f t="shared" si="12"/>
        <v>4.9382716049384268</v>
      </c>
    </row>
    <row r="147" spans="7:10" x14ac:dyDescent="0.25">
      <c r="G147" s="8">
        <v>2.1900000000000001E-3</v>
      </c>
      <c r="H147" s="3" cm="1">
        <f t="array" ref="H147">((2*ttotal9)/(3*s_t))*(st_b[[#This Row],[s(tb)]]+(s_t/4))</f>
        <v>7.2592592592592584E-2</v>
      </c>
      <c r="I147" s="3">
        <f t="shared" si="13"/>
        <v>2.4691358024690746E-4</v>
      </c>
      <c r="J147" s="14">
        <f t="shared" si="12"/>
        <v>4.9382716049381488</v>
      </c>
    </row>
    <row r="148" spans="7:10" x14ac:dyDescent="0.25">
      <c r="G148" s="8">
        <v>2.2000000000000001E-3</v>
      </c>
      <c r="H148" s="3" cm="1">
        <f t="array" ref="H148">((2*ttotal9)/(3*s_t))*(st_b[[#This Row],[s(tb)]]+(s_t/4))</f>
        <v>7.2839506172839505E-2</v>
      </c>
      <c r="I148" s="3">
        <f t="shared" si="13"/>
        <v>2.4691358024692134E-4</v>
      </c>
      <c r="J148" s="14">
        <f t="shared" si="12"/>
        <v>4.9382716049384268</v>
      </c>
    </row>
    <row r="149" spans="7:10" x14ac:dyDescent="0.25">
      <c r="G149" s="8">
        <v>2.2100000000000002E-3</v>
      </c>
      <c r="H149" s="3" cm="1">
        <f t="array" ref="H149">((2*ttotal9)/(3*s_t))*(st_b[[#This Row],[s(tb)]]+(s_t/4))</f>
        <v>7.3086419753086412E-2</v>
      </c>
      <c r="I149" s="3">
        <f t="shared" si="13"/>
        <v>2.4691358024690746E-4</v>
      </c>
      <c r="J149" s="14">
        <f t="shared" si="12"/>
        <v>4.9382716049381488</v>
      </c>
    </row>
    <row r="150" spans="7:10" x14ac:dyDescent="0.25">
      <c r="G150" s="8">
        <v>2.2200000000000002E-3</v>
      </c>
      <c r="H150" s="3" cm="1">
        <f t="array" ref="H150">((2*ttotal9)/(3*s_t))*(st_b[[#This Row],[s(tb)]]+(s_t/4))</f>
        <v>7.3333333333333334E-2</v>
      </c>
      <c r="I150" s="3">
        <f t="shared" si="13"/>
        <v>2.4691358024692134E-4</v>
      </c>
      <c r="J150" s="14">
        <f t="shared" si="12"/>
        <v>4.9382716049384268</v>
      </c>
    </row>
    <row r="151" spans="7:10" x14ac:dyDescent="0.25">
      <c r="G151" s="8">
        <v>2.2300000000000002E-3</v>
      </c>
      <c r="H151" s="3" cm="1">
        <f t="array" ref="H151">((2*ttotal9)/(3*s_t))*(st_b[[#This Row],[s(tb)]]+(s_t/4))</f>
        <v>7.3580246913580241E-2</v>
      </c>
      <c r="I151" s="3">
        <f t="shared" si="13"/>
        <v>2.4691358024690746E-4</v>
      </c>
      <c r="J151" s="14">
        <f t="shared" si="12"/>
        <v>4.9382716049381488</v>
      </c>
    </row>
    <row r="152" spans="7:10" x14ac:dyDescent="0.25">
      <c r="G152" s="8">
        <v>2.2400000000000002E-3</v>
      </c>
      <c r="H152" s="3" cm="1">
        <f t="array" ref="H152">((2*ttotal9)/(3*s_t))*(st_b[[#This Row],[s(tb)]]+(s_t/4))</f>
        <v>7.3827160493827163E-2</v>
      </c>
      <c r="I152" s="3">
        <f t="shared" si="13"/>
        <v>2.4691358024692134E-4</v>
      </c>
      <c r="J152" s="14">
        <f t="shared" si="12"/>
        <v>4.9382716049384268</v>
      </c>
    </row>
    <row r="153" spans="7:10" x14ac:dyDescent="0.25">
      <c r="G153" s="8">
        <v>2.2500000000000003E-3</v>
      </c>
      <c r="H153" s="3" cm="1">
        <f t="array" ref="H153">((2*ttotal9)/(3*s_t))*(st_b[[#This Row],[s(tb)]]+(s_t/4))</f>
        <v>7.407407407407407E-2</v>
      </c>
      <c r="I153" s="3">
        <f t="shared" si="13"/>
        <v>2.4691358024690746E-4</v>
      </c>
      <c r="J153" s="14">
        <f t="shared" si="12"/>
        <v>4.9382716049381488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EF9E-5266-483B-BB45-52A3F7C2BD79}">
  <sheetPr codeName="Sheet14"/>
  <dimension ref="A2:P153"/>
  <sheetViews>
    <sheetView workbookViewId="0">
      <selection activeCell="U24" sqref="T24:U25"/>
    </sheetView>
  </sheetViews>
  <sheetFormatPr defaultRowHeight="15" x14ac:dyDescent="0.25"/>
  <cols>
    <col min="1" max="1" width="8.42578125" style="2" customWidth="1"/>
    <col min="2" max="2" width="11.5703125" style="3" customWidth="1"/>
    <col min="3" max="3" width="12.85546875" customWidth="1"/>
    <col min="4" max="4" width="9.5703125" style="14" bestFit="1" customWidth="1"/>
    <col min="5" max="5" width="9.5703125" style="14" customWidth="1"/>
    <col min="7" max="7" width="10.28515625" style="8" customWidth="1"/>
    <col min="8" max="8" width="10.28515625" style="3" bestFit="1" customWidth="1"/>
    <col min="9" max="9" width="11.28515625" bestFit="1" customWidth="1"/>
    <col min="10" max="10" width="11.28515625" style="14" bestFit="1" customWidth="1"/>
    <col min="11" max="11" width="11.28515625" style="14" customWidth="1"/>
    <col min="13" max="13" width="10.28515625" style="8" customWidth="1"/>
    <col min="14" max="14" width="11.28515625" style="3" bestFit="1" customWidth="1"/>
    <col min="15" max="15" width="11.28515625" bestFit="1" customWidth="1"/>
    <col min="16" max="16" width="11.7109375" style="14" customWidth="1"/>
  </cols>
  <sheetData>
    <row r="2" spans="1:16" s="15" customFormat="1" x14ac:dyDescent="0.25">
      <c r="A2" s="15" t="s">
        <v>34</v>
      </c>
      <c r="B2" s="3" t="s">
        <v>33</v>
      </c>
      <c r="C2" s="15" t="s">
        <v>55</v>
      </c>
      <c r="D2" s="15" t="s">
        <v>56</v>
      </c>
      <c r="G2" s="15" t="s">
        <v>35</v>
      </c>
      <c r="H2" s="13" t="s">
        <v>33</v>
      </c>
      <c r="I2" s="15" t="s">
        <v>55</v>
      </c>
      <c r="J2" s="17" t="s">
        <v>56</v>
      </c>
      <c r="K2" s="17"/>
      <c r="M2" s="15" t="s">
        <v>36</v>
      </c>
      <c r="N2" s="13" t="s">
        <v>33</v>
      </c>
      <c r="O2" s="15" t="s">
        <v>55</v>
      </c>
      <c r="P2" s="17" t="s">
        <v>56</v>
      </c>
    </row>
    <row r="3" spans="1:16" x14ac:dyDescent="0.25">
      <c r="A3" s="2">
        <v>0</v>
      </c>
      <c r="B3" s="3" cm="1">
        <f t="array" ref="B3">SQRT((4*POWER(ttotal10,2)*st_a[[#This Row],[s(ta)]])/(9*s_t))</f>
        <v>0</v>
      </c>
      <c r="C3" s="3">
        <v>0</v>
      </c>
      <c r="D3" s="14">
        <f>C3/0.00005</f>
        <v>0</v>
      </c>
      <c r="G3" s="8">
        <v>7.5000000000000002E-4</v>
      </c>
      <c r="H3" s="3" cm="1">
        <f t="array" ref="H3">((2*ttotal10)/(3*s_t))*(st_b[[#This Row],[s(tb)]]+(s_t/4))</f>
        <v>3.3333333333333333E-2</v>
      </c>
      <c r="I3" s="3">
        <f>C78</f>
        <v>2.229679427748002E-4</v>
      </c>
      <c r="J3" s="14">
        <f>I3/0.00005</f>
        <v>4.4593588554960037</v>
      </c>
      <c r="M3" s="8">
        <v>2.2500000000000003E-3</v>
      </c>
      <c r="N3" s="3">
        <f>(-INDEX(Overview[b],10)+SQRT(POWER(INDEX(Overview[b],10),2)-(4*INDEX(Overview[a],10)*st_c[[#This Row],[c]])))/(2*INDEX(Overview[a],10))</f>
        <v>6.6666666666666638E-2</v>
      </c>
      <c r="O3" s="3">
        <f>I153</f>
        <v>2.22222222222207E-4</v>
      </c>
      <c r="P3" s="14">
        <f>O3/0.00005</f>
        <v>4.44444444444414</v>
      </c>
    </row>
    <row r="4" spans="1:16" x14ac:dyDescent="0.25">
      <c r="A4" s="2">
        <v>1.0000000000000001E-5</v>
      </c>
      <c r="B4" s="3" cm="1">
        <f t="array" ref="B4">SQRT((4*POWER(ttotal10,2)*st_a[[#This Row],[s(ta)]])/(9*s_t))</f>
        <v>3.8490017945975057E-3</v>
      </c>
      <c r="C4" s="3">
        <f>B4-B3</f>
        <v>3.8490017945975057E-3</v>
      </c>
      <c r="D4" s="14">
        <f t="shared" ref="D4:D67" si="0">C4/0.00005</f>
        <v>76.980035891950109</v>
      </c>
      <c r="G4" s="8">
        <v>7.6000000000000004E-4</v>
      </c>
      <c r="H4" s="3" cm="1">
        <f t="array" ref="H4">((2*ttotal10)/(3*s_t))*(st_b[[#This Row],[s(tb)]]+(s_t/4))</f>
        <v>3.3555555555555554E-2</v>
      </c>
      <c r="I4" s="3">
        <f>H4-H3</f>
        <v>2.2222222222222088E-4</v>
      </c>
      <c r="J4" s="14">
        <f t="shared" ref="J4:J67" si="1">I4/0.00005</f>
        <v>4.4444444444444171</v>
      </c>
      <c r="M4" s="8">
        <v>2.2600000000000003E-3</v>
      </c>
      <c r="N4" s="3">
        <f>(-INDEX(Overview[b],10)+SQRT(POWER(INDEX(Overview[b],10),2)-(4*INDEX(Overview[a],10)*st_c[[#This Row],[c]])))/(2*INDEX(Overview[a],10))</f>
        <v>6.6889634609441431E-2</v>
      </c>
      <c r="O4" s="3">
        <f>N4-N3</f>
        <v>2.2296794277479326E-4</v>
      </c>
      <c r="P4" s="14">
        <f t="shared" ref="P4:P67" si="2">O4/0.00005</f>
        <v>4.4593588554958652</v>
      </c>
    </row>
    <row r="5" spans="1:16" x14ac:dyDescent="0.25">
      <c r="A5" s="2">
        <v>2.0000000000000002E-5</v>
      </c>
      <c r="B5" s="3" cm="1">
        <f t="array" ref="B5">SQRT((4*POWER(ttotal10,2)*st_a[[#This Row],[s(ta)]])/(9*s_t))</f>
        <v>5.4433105395181739E-3</v>
      </c>
      <c r="C5" s="3">
        <f t="shared" ref="C5:C68" si="3">B5-B4</f>
        <v>1.5943087449206681E-3</v>
      </c>
      <c r="D5" s="14">
        <f t="shared" si="0"/>
        <v>31.886174898413362</v>
      </c>
      <c r="G5" s="8">
        <v>7.7000000000000007E-4</v>
      </c>
      <c r="H5" s="3" cm="1">
        <f t="array" ref="H5">((2*ttotal10)/(3*s_t))*(st_b[[#This Row],[s(tb)]]+(s_t/4))</f>
        <v>3.3777777777777782E-2</v>
      </c>
      <c r="I5" s="3">
        <f t="shared" ref="I5:I68" si="4">H5-H4</f>
        <v>2.2222222222222782E-4</v>
      </c>
      <c r="J5" s="14">
        <f t="shared" si="1"/>
        <v>4.4444444444445566</v>
      </c>
      <c r="M5" s="8">
        <v>2.2700000000000003E-3</v>
      </c>
      <c r="N5" s="3">
        <f>(-INDEX(Overview[b],10)+SQRT(POWER(INDEX(Overview[b],10),2)-(4*INDEX(Overview[a],10)*st_c[[#This Row],[c]])))/(2*INDEX(Overview[a],10))</f>
        <v>6.7114114251225016E-2</v>
      </c>
      <c r="O5" s="3">
        <f t="shared" ref="O5:O68" si="5">N5-N4</f>
        <v>2.2447964178358426E-4</v>
      </c>
      <c r="P5" s="14">
        <f t="shared" si="2"/>
        <v>4.4895928356716848</v>
      </c>
    </row>
    <row r="6" spans="1:16" x14ac:dyDescent="0.25">
      <c r="A6" s="2">
        <v>3.0000000000000004E-5</v>
      </c>
      <c r="B6" s="3" cm="1">
        <f t="array" ref="B6">SQRT((4*POWER(ttotal10,2)*st_a[[#This Row],[s(ta)]])/(9*s_t))</f>
        <v>6.666666666666668E-3</v>
      </c>
      <c r="C6" s="3">
        <f t="shared" si="3"/>
        <v>1.2233561271484941E-3</v>
      </c>
      <c r="D6" s="14">
        <f t="shared" si="0"/>
        <v>24.467122542969882</v>
      </c>
      <c r="G6" s="8">
        <v>7.8000000000000009E-4</v>
      </c>
      <c r="H6" s="3" cm="1">
        <f t="array" ref="H6">((2*ttotal10)/(3*s_t))*(st_b[[#This Row],[s(tb)]]+(s_t/4))</f>
        <v>3.4000000000000002E-2</v>
      </c>
      <c r="I6" s="3">
        <f t="shared" si="4"/>
        <v>2.2222222222222088E-4</v>
      </c>
      <c r="J6" s="14">
        <f t="shared" si="1"/>
        <v>4.4444444444444171</v>
      </c>
      <c r="M6" s="8">
        <v>2.2800000000000003E-3</v>
      </c>
      <c r="N6" s="3">
        <f>(-INDEX(Overview[b],10)+SQRT(POWER(INDEX(Overview[b],10),2)-(4*INDEX(Overview[a],10)*st_c[[#This Row],[c]])))/(2*INDEX(Overview[a],10))</f>
        <v>6.734013676289094E-2</v>
      </c>
      <c r="O6" s="3">
        <f t="shared" si="5"/>
        <v>2.2602251166592424E-4</v>
      </c>
      <c r="P6" s="14">
        <f t="shared" si="2"/>
        <v>4.5204502333184848</v>
      </c>
    </row>
    <row r="7" spans="1:16" x14ac:dyDescent="0.25">
      <c r="A7" s="2">
        <v>4.0000000000000003E-5</v>
      </c>
      <c r="B7" s="3" cm="1">
        <f t="array" ref="B7">SQRT((4*POWER(ttotal10,2)*st_a[[#This Row],[s(ta)]])/(9*s_t))</f>
        <v>7.6980035891950115E-3</v>
      </c>
      <c r="C7" s="3">
        <f t="shared" si="3"/>
        <v>1.0313369225283435E-3</v>
      </c>
      <c r="D7" s="14">
        <f t="shared" si="0"/>
        <v>20.626738450566869</v>
      </c>
      <c r="G7" s="8">
        <v>7.9000000000000001E-4</v>
      </c>
      <c r="H7" s="3" cm="1">
        <f t="array" ref="H7">((2*ttotal10)/(3*s_t))*(st_b[[#This Row],[s(tb)]]+(s_t/4))</f>
        <v>3.4222222222222223E-2</v>
      </c>
      <c r="I7" s="3">
        <f t="shared" si="4"/>
        <v>2.2222222222222088E-4</v>
      </c>
      <c r="J7" s="14">
        <f t="shared" si="1"/>
        <v>4.4444444444444171</v>
      </c>
      <c r="M7" s="8">
        <v>2.2900000000000004E-3</v>
      </c>
      <c r="N7" s="3">
        <f>(-INDEX(Overview[b],10)+SQRT(POWER(INDEX(Overview[b],10),2)-(4*INDEX(Overview[a],10)*st_c[[#This Row],[c]])))/(2*INDEX(Overview[a],10))</f>
        <v>6.7567734401496812E-2</v>
      </c>
      <c r="O7" s="3">
        <f t="shared" si="5"/>
        <v>2.2759763860587257E-4</v>
      </c>
      <c r="P7" s="14">
        <f t="shared" si="2"/>
        <v>4.5519527721174509</v>
      </c>
    </row>
    <row r="8" spans="1:16" x14ac:dyDescent="0.25">
      <c r="A8" s="2">
        <v>5.0000000000000002E-5</v>
      </c>
      <c r="B8" s="3" cm="1">
        <f t="array" ref="B8">SQRT((4*POWER(ttotal10,2)*st_a[[#This Row],[s(ta)]])/(9*s_t))</f>
        <v>8.6066296582387042E-3</v>
      </c>
      <c r="C8" s="3">
        <f t="shared" si="3"/>
        <v>9.0862606904369269E-4</v>
      </c>
      <c r="D8" s="14">
        <f t="shared" si="0"/>
        <v>18.172521380873853</v>
      </c>
      <c r="G8" s="8">
        <v>8.0000000000000004E-4</v>
      </c>
      <c r="H8" s="3" cm="1">
        <f t="array" ref="H8">((2*ttotal10)/(3*s_t))*(st_b[[#This Row],[s(tb)]]+(s_t/4))</f>
        <v>3.4444444444444444E-2</v>
      </c>
      <c r="I8" s="3">
        <f t="shared" si="4"/>
        <v>2.2222222222222088E-4</v>
      </c>
      <c r="J8" s="14">
        <f t="shared" si="1"/>
        <v>4.4444444444444171</v>
      </c>
      <c r="M8" s="8">
        <v>2.3000000000000004E-3</v>
      </c>
      <c r="N8" s="3">
        <f>(-INDEX(Overview[b],10)+SQRT(POWER(INDEX(Overview[b],10),2)-(4*INDEX(Overview[a],10)*st_c[[#This Row],[c]])))/(2*INDEX(Overview[a],10))</f>
        <v>6.7796940564023439E-2</v>
      </c>
      <c r="O8" s="3">
        <f t="shared" si="5"/>
        <v>2.2920616252662673E-4</v>
      </c>
      <c r="P8" s="14">
        <f t="shared" si="2"/>
        <v>4.5841232505325342</v>
      </c>
    </row>
    <row r="9" spans="1:16" x14ac:dyDescent="0.25">
      <c r="A9" s="2">
        <v>6.0000000000000008E-5</v>
      </c>
      <c r="B9" s="3" cm="1">
        <f t="array" ref="B9">SQRT((4*POWER(ttotal10,2)*st_a[[#This Row],[s(ta)]])/(9*s_t))</f>
        <v>9.428090415820635E-3</v>
      </c>
      <c r="C9" s="3">
        <f t="shared" si="3"/>
        <v>8.2146075758193077E-4</v>
      </c>
      <c r="D9" s="14">
        <f t="shared" si="0"/>
        <v>16.429215151638616</v>
      </c>
      <c r="G9" s="8">
        <v>8.1000000000000006E-4</v>
      </c>
      <c r="H9" s="3" cm="1">
        <f t="array" ref="H9">((2*ttotal10)/(3*s_t))*(st_b[[#This Row],[s(tb)]]+(s_t/4))</f>
        <v>3.4666666666666672E-2</v>
      </c>
      <c r="I9" s="3">
        <f t="shared" si="4"/>
        <v>2.2222222222222782E-4</v>
      </c>
      <c r="J9" s="14">
        <f t="shared" si="1"/>
        <v>4.4444444444445566</v>
      </c>
      <c r="M9" s="8">
        <v>2.31E-3</v>
      </c>
      <c r="N9" s="3">
        <f>(-INDEX(Overview[b],10)+SQRT(POWER(INDEX(Overview[b],10),2)-(4*INDEX(Overview[a],10)*st_c[[#This Row],[c]])))/(2*INDEX(Overview[a],10))</f>
        <v>6.802778984458184E-2</v>
      </c>
      <c r="O9" s="3">
        <f t="shared" si="5"/>
        <v>2.3084928055840115E-4</v>
      </c>
      <c r="P9" s="14">
        <f t="shared" si="2"/>
        <v>4.6169856111680225</v>
      </c>
    </row>
    <row r="10" spans="1:16" x14ac:dyDescent="0.25">
      <c r="A10" s="2">
        <v>7.0000000000000007E-5</v>
      </c>
      <c r="B10" s="3" cm="1">
        <f t="array" ref="B10">SQRT((4*POWER(ttotal10,2)*st_a[[#This Row],[s(ta)]])/(9*s_t))</f>
        <v>1.0183501544346312E-2</v>
      </c>
      <c r="C10" s="3">
        <f t="shared" si="3"/>
        <v>7.5541112852567718E-4</v>
      </c>
      <c r="D10" s="14">
        <f t="shared" si="0"/>
        <v>15.108222570513544</v>
      </c>
      <c r="G10" s="8">
        <v>8.2000000000000009E-4</v>
      </c>
      <c r="H10" s="3" cm="1">
        <f t="array" ref="H10">((2*ttotal10)/(3*s_t))*(st_b[[#This Row],[s(tb)]]+(s_t/4))</f>
        <v>3.4888888888888893E-2</v>
      </c>
      <c r="I10" s="3">
        <f t="shared" si="4"/>
        <v>2.2222222222222088E-4</v>
      </c>
      <c r="J10" s="14">
        <f t="shared" si="1"/>
        <v>4.4444444444444171</v>
      </c>
      <c r="M10" s="8">
        <v>2.32E-3</v>
      </c>
      <c r="N10" s="3">
        <f>(-INDEX(Overview[b],10)+SQRT(POWER(INDEX(Overview[b],10),2)-(4*INDEX(Overview[a],10)*st_c[[#This Row],[c]])))/(2*INDEX(Overview[a],10))</f>
        <v>6.8260318095365077E-2</v>
      </c>
      <c r="O10" s="3">
        <f t="shared" si="5"/>
        <v>2.3252825078323713E-4</v>
      </c>
      <c r="P10" s="14">
        <f t="shared" si="2"/>
        <v>4.6505650156647427</v>
      </c>
    </row>
    <row r="11" spans="1:16" x14ac:dyDescent="0.25">
      <c r="A11" s="2">
        <v>8.0000000000000007E-5</v>
      </c>
      <c r="B11" s="3" cm="1">
        <f t="array" ref="B11">SQRT((4*POWER(ttotal10,2)*st_a[[#This Row],[s(ta)]])/(9*s_t))</f>
        <v>1.0886621079036348E-2</v>
      </c>
      <c r="C11" s="3">
        <f t="shared" si="3"/>
        <v>7.0311953469003562E-4</v>
      </c>
      <c r="D11" s="14">
        <f t="shared" si="0"/>
        <v>14.062390693800712</v>
      </c>
      <c r="G11" s="8">
        <v>8.3000000000000012E-4</v>
      </c>
      <c r="H11" s="3" cm="1">
        <f t="array" ref="H11">((2*ttotal10)/(3*s_t))*(st_b[[#This Row],[s(tb)]]+(s_t/4))</f>
        <v>3.5111111111111114E-2</v>
      </c>
      <c r="I11" s="3">
        <f t="shared" si="4"/>
        <v>2.2222222222222088E-4</v>
      </c>
      <c r="J11" s="14">
        <f t="shared" si="1"/>
        <v>4.4444444444444171</v>
      </c>
      <c r="M11" s="8">
        <v>2.33E-3</v>
      </c>
      <c r="N11" s="3">
        <f>(-INDEX(Overview[b],10)+SQRT(POWER(INDEX(Overview[b],10),2)-(4*INDEX(Overview[a],10)*st_c[[#This Row],[c]])))/(2*INDEX(Overview[a],10))</f>
        <v>6.8494562491649258E-2</v>
      </c>
      <c r="O11" s="3">
        <f t="shared" si="5"/>
        <v>2.3424439628418059E-4</v>
      </c>
      <c r="P11" s="14">
        <f t="shared" si="2"/>
        <v>4.6848879256836113</v>
      </c>
    </row>
    <row r="12" spans="1:16" x14ac:dyDescent="0.25">
      <c r="A12" s="2">
        <v>9.0000000000000006E-5</v>
      </c>
      <c r="B12" s="3" cm="1">
        <f t="array" ref="B12">SQRT((4*POWER(ttotal10,2)*st_a[[#This Row],[s(ta)]])/(9*s_t))</f>
        <v>1.1547005383792516E-2</v>
      </c>
      <c r="C12" s="3">
        <f t="shared" si="3"/>
        <v>6.6038430475616819E-4</v>
      </c>
      <c r="D12" s="14">
        <f t="shared" si="0"/>
        <v>13.207686095123362</v>
      </c>
      <c r="G12" s="8">
        <v>8.4000000000000003E-4</v>
      </c>
      <c r="H12" s="3" cm="1">
        <f t="array" ref="H12">((2*ttotal10)/(3*s_t))*(st_b[[#This Row],[s(tb)]]+(s_t/4))</f>
        <v>3.5333333333333335E-2</v>
      </c>
      <c r="I12" s="3">
        <f t="shared" si="4"/>
        <v>2.2222222222222088E-4</v>
      </c>
      <c r="J12" s="14">
        <f t="shared" si="1"/>
        <v>4.4444444444444171</v>
      </c>
      <c r="M12" s="8">
        <v>2.3400000000000001E-3</v>
      </c>
      <c r="N12" s="3">
        <f>(-INDEX(Overview[b],10)+SQRT(POWER(INDEX(Overview[b],10),2)-(4*INDEX(Overview[a],10)*st_c[[#This Row],[c]])))/(2*INDEX(Overview[a],10))</f>
        <v>6.8730561601177104E-2</v>
      </c>
      <c r="O12" s="3">
        <f t="shared" si="5"/>
        <v>2.3599910952784575E-4</v>
      </c>
      <c r="P12" s="14">
        <f t="shared" si="2"/>
        <v>4.719982190556915</v>
      </c>
    </row>
    <row r="13" spans="1:16" x14ac:dyDescent="0.25">
      <c r="A13" s="2">
        <v>1E-4</v>
      </c>
      <c r="B13" s="3" cm="1">
        <f t="array" ref="B13">SQRT((4*POWER(ttotal10,2)*st_a[[#This Row],[s(ta)]])/(9*s_t))</f>
        <v>1.2171612389003692E-2</v>
      </c>
      <c r="C13" s="3">
        <f t="shared" si="3"/>
        <v>6.2460700521117622E-4</v>
      </c>
      <c r="D13" s="14">
        <f t="shared" si="0"/>
        <v>12.492140104223523</v>
      </c>
      <c r="G13" s="8">
        <v>8.5000000000000006E-4</v>
      </c>
      <c r="H13" s="3" cm="1">
        <f t="array" ref="H13">((2*ttotal10)/(3*s_t))*(st_b[[#This Row],[s(tb)]]+(s_t/4))</f>
        <v>3.5555555555555556E-2</v>
      </c>
      <c r="I13" s="3">
        <f t="shared" si="4"/>
        <v>2.2222222222222088E-4</v>
      </c>
      <c r="J13" s="14">
        <f t="shared" si="1"/>
        <v>4.4444444444444171</v>
      </c>
      <c r="M13" s="8">
        <v>2.3500000000000001E-3</v>
      </c>
      <c r="N13" s="3">
        <f>(-INDEX(Overview[b],10)+SQRT(POWER(INDEX(Overview[b],10),2)-(4*INDEX(Overview[a],10)*st_c[[#This Row],[c]])))/(2*INDEX(Overview[a],10))</f>
        <v>6.8968355458291206E-2</v>
      </c>
      <c r="O13" s="3">
        <f t="shared" si="5"/>
        <v>2.3779385711410195E-4</v>
      </c>
      <c r="P13" s="14">
        <f t="shared" si="2"/>
        <v>4.7558771422820385</v>
      </c>
    </row>
    <row r="14" spans="1:16" x14ac:dyDescent="0.25">
      <c r="A14" s="2">
        <v>1.1E-4</v>
      </c>
      <c r="B14" s="3" cm="1">
        <f t="array" ref="B14">SQRT((4*POWER(ttotal10,2)*st_a[[#This Row],[s(ta)]])/(9*s_t))</f>
        <v>1.2765694770084509E-2</v>
      </c>
      <c r="C14" s="3">
        <f t="shared" si="3"/>
        <v>5.9408238108081719E-4</v>
      </c>
      <c r="D14" s="14">
        <f t="shared" si="0"/>
        <v>11.881647621616343</v>
      </c>
      <c r="G14" s="8">
        <v>8.6000000000000009E-4</v>
      </c>
      <c r="H14" s="3" cm="1">
        <f t="array" ref="H14">((2*ttotal10)/(3*s_t))*(st_b[[#This Row],[s(tb)]]+(s_t/4))</f>
        <v>3.5777777777777776E-2</v>
      </c>
      <c r="I14" s="3">
        <f t="shared" si="4"/>
        <v>2.2222222222222088E-4</v>
      </c>
      <c r="J14" s="14">
        <f t="shared" si="1"/>
        <v>4.4444444444444171</v>
      </c>
      <c r="M14" s="8">
        <v>2.3600000000000001E-3</v>
      </c>
      <c r="N14" s="3">
        <f>(-INDEX(Overview[b],10)+SQRT(POWER(INDEX(Overview[b],10),2)-(4*INDEX(Overview[a],10)*st_c[[#This Row],[c]])))/(2*INDEX(Overview[a],10))</f>
        <v>6.9207985643219921E-2</v>
      </c>
      <c r="O14" s="3">
        <f t="shared" si="5"/>
        <v>2.3963018492871579E-4</v>
      </c>
      <c r="P14" s="14">
        <f t="shared" si="2"/>
        <v>4.7926036985743155</v>
      </c>
    </row>
    <row r="15" spans="1:16" x14ac:dyDescent="0.25">
      <c r="A15" s="2">
        <v>1.2000000000000002E-4</v>
      </c>
      <c r="B15" s="3" cm="1">
        <f t="array" ref="B15">SQRT((4*POWER(ttotal10,2)*st_a[[#This Row],[s(ta)]])/(9*s_t))</f>
        <v>1.3333333333333336E-2</v>
      </c>
      <c r="C15" s="3">
        <f t="shared" si="3"/>
        <v>5.6763856324882657E-4</v>
      </c>
      <c r="D15" s="14">
        <f t="shared" si="0"/>
        <v>11.35277126497653</v>
      </c>
      <c r="G15" s="8">
        <v>8.7000000000000011E-4</v>
      </c>
      <c r="H15" s="3" cm="1">
        <f t="array" ref="H15">((2*ttotal10)/(3*s_t))*(st_b[[#This Row],[s(tb)]]+(s_t/4))</f>
        <v>3.6000000000000004E-2</v>
      </c>
      <c r="I15" s="3">
        <f t="shared" si="4"/>
        <v>2.2222222222222782E-4</v>
      </c>
      <c r="J15" s="14">
        <f t="shared" si="1"/>
        <v>4.4444444444445566</v>
      </c>
      <c r="M15" s="8">
        <v>2.3700000000000001E-3</v>
      </c>
      <c r="N15" s="3">
        <f>(-INDEX(Overview[b],10)+SQRT(POWER(INDEX(Overview[b],10),2)-(4*INDEX(Overview[a],10)*st_c[[#This Row],[c]])))/(2*INDEX(Overview[a],10))</f>
        <v>6.9449495366961059E-2</v>
      </c>
      <c r="O15" s="3">
        <f t="shared" si="5"/>
        <v>2.4150972374113733E-4</v>
      </c>
      <c r="P15" s="14">
        <f t="shared" si="2"/>
        <v>4.8301944748227461</v>
      </c>
    </row>
    <row r="16" spans="1:16" x14ac:dyDescent="0.25">
      <c r="A16" s="2">
        <v>1.3000000000000002E-4</v>
      </c>
      <c r="B16" s="3" cm="1">
        <f t="array" ref="B16">SQRT((4*POWER(ttotal10,2)*st_a[[#This Row],[s(ta)]])/(9*s_t))</f>
        <v>1.3877773329774221E-2</v>
      </c>
      <c r="C16" s="3">
        <f t="shared" si="3"/>
        <v>5.4443999644088539E-4</v>
      </c>
      <c r="D16" s="14">
        <f t="shared" si="0"/>
        <v>10.888799928817708</v>
      </c>
      <c r="G16" s="8">
        <v>8.8000000000000003E-4</v>
      </c>
      <c r="H16" s="3" cm="1">
        <f t="array" ref="H16">((2*ttotal10)/(3*s_t))*(st_b[[#This Row],[s(tb)]]+(s_t/4))</f>
        <v>3.6222222222222218E-2</v>
      </c>
      <c r="I16" s="3">
        <f t="shared" si="4"/>
        <v>2.2222222222221394E-4</v>
      </c>
      <c r="J16" s="14">
        <f t="shared" si="1"/>
        <v>4.4444444444442786</v>
      </c>
      <c r="M16" s="8">
        <v>2.3800000000000002E-3</v>
      </c>
      <c r="N16" s="3">
        <f>(-INDEX(Overview[b],10)+SQRT(POWER(INDEX(Overview[b],10),2)-(4*INDEX(Overview[a],10)*st_c[[#This Row],[c]])))/(2*INDEX(Overview[a],10))</f>
        <v>6.9692929562253633E-2</v>
      </c>
      <c r="O16" s="3">
        <f t="shared" si="5"/>
        <v>2.4343419529257448E-4</v>
      </c>
      <c r="P16" s="14">
        <f t="shared" si="2"/>
        <v>4.8686839058514897</v>
      </c>
    </row>
    <row r="17" spans="1:16" x14ac:dyDescent="0.25">
      <c r="A17" s="2">
        <v>1.4000000000000001E-4</v>
      </c>
      <c r="B17" s="3" cm="1">
        <f t="array" ref="B17">SQRT((4*POWER(ttotal10,2)*st_a[[#This Row],[s(ta)]])/(9*s_t))</f>
        <v>1.4401645996461912E-2</v>
      </c>
      <c r="C17" s="3">
        <f t="shared" si="3"/>
        <v>5.2387266668769104E-4</v>
      </c>
      <c r="D17" s="14">
        <f t="shared" si="0"/>
        <v>10.47745333375382</v>
      </c>
      <c r="G17" s="8">
        <v>8.9000000000000006E-4</v>
      </c>
      <c r="H17" s="3" cm="1">
        <f t="array" ref="H17">((2*ttotal10)/(3*s_t))*(st_b[[#This Row],[s(tb)]]+(s_t/4))</f>
        <v>3.6444444444444439E-2</v>
      </c>
      <c r="I17" s="3">
        <f t="shared" si="4"/>
        <v>2.2222222222222088E-4</v>
      </c>
      <c r="J17" s="14">
        <f t="shared" si="1"/>
        <v>4.4444444444444171</v>
      </c>
      <c r="M17" s="8">
        <v>2.3900000000000002E-3</v>
      </c>
      <c r="N17" s="3">
        <f>(-INDEX(Overview[b],10)+SQRT(POWER(INDEX(Overview[b],10),2)-(4*INDEX(Overview[a],10)*st_c[[#This Row],[c]])))/(2*INDEX(Overview[a],10))</f>
        <v>6.9938334981180683E-2</v>
      </c>
      <c r="O17" s="3">
        <f t="shared" si="5"/>
        <v>2.4540541892704992E-4</v>
      </c>
      <c r="P17" s="14">
        <f t="shared" si="2"/>
        <v>4.908108378540998</v>
      </c>
    </row>
    <row r="18" spans="1:16" x14ac:dyDescent="0.25">
      <c r="A18" s="2">
        <v>1.5000000000000001E-4</v>
      </c>
      <c r="B18" s="3" cm="1">
        <f t="array" ref="B18">SQRT((4*POWER(ttotal10,2)*st_a[[#This Row],[s(ta)]])/(9*s_t))</f>
        <v>1.4907119849998601E-2</v>
      </c>
      <c r="C18" s="3">
        <f t="shared" si="3"/>
        <v>5.0547385353668858E-4</v>
      </c>
      <c r="D18" s="14">
        <f t="shared" si="0"/>
        <v>10.109477070733771</v>
      </c>
      <c r="G18" s="8">
        <v>9.0000000000000008E-4</v>
      </c>
      <c r="H18" s="3" cm="1">
        <f t="array" ref="H18">((2*ttotal10)/(3*s_t))*(st_b[[#This Row],[s(tb)]]+(s_t/4))</f>
        <v>3.6666666666666667E-2</v>
      </c>
      <c r="I18" s="3">
        <f t="shared" si="4"/>
        <v>2.2222222222222782E-4</v>
      </c>
      <c r="J18" s="14">
        <f t="shared" si="1"/>
        <v>4.4444444444445566</v>
      </c>
      <c r="M18" s="8">
        <v>2.4000000000000002E-3</v>
      </c>
      <c r="N18" s="3">
        <f>(-INDEX(Overview[b],10)+SQRT(POWER(INDEX(Overview[b],10),2)-(4*INDEX(Overview[a],10)*st_c[[#This Row],[c]])))/(2*INDEX(Overview[a],10))</f>
        <v>7.0185760300002759E-2</v>
      </c>
      <c r="O18" s="3">
        <f t="shared" si="5"/>
        <v>2.4742531882207541E-4</v>
      </c>
      <c r="P18" s="14">
        <f t="shared" si="2"/>
        <v>4.9485063764415083</v>
      </c>
    </row>
    <row r="19" spans="1:16" x14ac:dyDescent="0.25">
      <c r="A19" s="2">
        <v>1.6000000000000001E-4</v>
      </c>
      <c r="B19" s="3" cm="1">
        <f t="array" ref="B19">SQRT((4*POWER(ttotal10,2)*st_a[[#This Row],[s(ta)]])/(9*s_t))</f>
        <v>1.5396007178390023E-2</v>
      </c>
      <c r="C19" s="3">
        <f t="shared" si="3"/>
        <v>4.8888732839142204E-4</v>
      </c>
      <c r="D19" s="14">
        <f t="shared" si="0"/>
        <v>9.7777465678284408</v>
      </c>
      <c r="G19" s="8">
        <v>9.1000000000000011E-4</v>
      </c>
      <c r="H19" s="3" cm="1">
        <f t="array" ref="H19">((2*ttotal10)/(3*s_t))*(st_b[[#This Row],[s(tb)]]+(s_t/4))</f>
        <v>3.6888888888888888E-2</v>
      </c>
      <c r="I19" s="3">
        <f t="shared" si="4"/>
        <v>2.2222222222222088E-4</v>
      </c>
      <c r="J19" s="14">
        <f t="shared" si="1"/>
        <v>4.4444444444444171</v>
      </c>
      <c r="M19" s="8">
        <v>2.4100000000000002E-3</v>
      </c>
      <c r="N19" s="3">
        <f>(-INDEX(Overview[b],10)+SQRT(POWER(INDEX(Overview[b],10),2)-(4*INDEX(Overview[a],10)*st_c[[#This Row],[c]])))/(2*INDEX(Overview[a],10))</f>
        <v>7.0435256231888718E-2</v>
      </c>
      <c r="O19" s="3">
        <f t="shared" si="5"/>
        <v>2.4949593188595964E-4</v>
      </c>
      <c r="P19" s="14">
        <f t="shared" si="2"/>
        <v>4.9899186377191924</v>
      </c>
    </row>
    <row r="20" spans="1:16" x14ac:dyDescent="0.25">
      <c r="A20" s="2">
        <v>1.7000000000000001E-4</v>
      </c>
      <c r="B20" s="3" cm="1">
        <f t="array" ref="B20">SQRT((4*POWER(ttotal10,2)*st_a[[#This Row],[s(ta)]])/(9*s_t))</f>
        <v>1.5869840952317447E-2</v>
      </c>
      <c r="C20" s="3">
        <f t="shared" si="3"/>
        <v>4.7383377392742378E-4</v>
      </c>
      <c r="D20" s="14">
        <f t="shared" si="0"/>
        <v>9.4766754785484757</v>
      </c>
      <c r="G20" s="8">
        <v>9.2000000000000003E-4</v>
      </c>
      <c r="H20" s="3" cm="1">
        <f t="array" ref="H20">((2*ttotal10)/(3*s_t))*(st_b[[#This Row],[s(tb)]]+(s_t/4))</f>
        <v>3.7111111111111109E-2</v>
      </c>
      <c r="I20" s="3">
        <f t="shared" si="4"/>
        <v>2.2222222222222088E-4</v>
      </c>
      <c r="J20" s="14">
        <f t="shared" si="1"/>
        <v>4.4444444444444171</v>
      </c>
      <c r="M20" s="8">
        <v>2.4200000000000003E-3</v>
      </c>
      <c r="N20" s="3">
        <f>(-INDEX(Overview[b],10)+SQRT(POWER(INDEX(Overview[b],10),2)-(4*INDEX(Overview[a],10)*st_c[[#This Row],[c]])))/(2*INDEX(Overview[a],10))</f>
        <v>7.0686875648282382E-2</v>
      </c>
      <c r="O20" s="3">
        <f t="shared" si="5"/>
        <v>2.5161941639366414E-4</v>
      </c>
      <c r="P20" s="14">
        <f t="shared" si="2"/>
        <v>5.0323883278732824</v>
      </c>
    </row>
    <row r="21" spans="1:16" x14ac:dyDescent="0.25">
      <c r="A21" s="2">
        <v>1.8000000000000001E-4</v>
      </c>
      <c r="B21" s="3" cm="1">
        <f t="array" ref="B21">SQRT((4*POWER(ttotal10,2)*st_a[[#This Row],[s(ta)]])/(9*s_t))</f>
        <v>1.6329931618554522E-2</v>
      </c>
      <c r="C21" s="3">
        <f t="shared" si="3"/>
        <v>4.6009066623707573E-4</v>
      </c>
      <c r="D21" s="14">
        <f t="shared" si="0"/>
        <v>9.201813324741515</v>
      </c>
      <c r="G21" s="8">
        <v>9.3000000000000005E-4</v>
      </c>
      <c r="H21" s="3" cm="1">
        <f t="array" ref="H21">((2*ttotal10)/(3*s_t))*(st_b[[#This Row],[s(tb)]]+(s_t/4))</f>
        <v>3.7333333333333336E-2</v>
      </c>
      <c r="I21" s="3">
        <f t="shared" si="4"/>
        <v>2.2222222222222782E-4</v>
      </c>
      <c r="J21" s="14">
        <f t="shared" si="1"/>
        <v>4.4444444444445566</v>
      </c>
      <c r="M21" s="8">
        <v>2.4300000000000003E-3</v>
      </c>
      <c r="N21" s="3">
        <f>(-INDEX(Overview[b],10)+SQRT(POWER(INDEX(Overview[b],10),2)-(4*INDEX(Overview[a],10)*st_c[[#This Row],[c]])))/(2*INDEX(Overview[a],10))</f>
        <v>7.0940673709728827E-2</v>
      </c>
      <c r="O21" s="3">
        <f t="shared" si="5"/>
        <v>2.5379806144644468E-4</v>
      </c>
      <c r="P21" s="14">
        <f t="shared" si="2"/>
        <v>5.0759612289288931</v>
      </c>
    </row>
    <row r="22" spans="1:16" x14ac:dyDescent="0.25">
      <c r="A22" s="2">
        <v>1.9000000000000001E-4</v>
      </c>
      <c r="B22" s="3" cm="1">
        <f t="array" ref="B22">SQRT((4*POWER(ttotal10,2)*st_a[[#This Row],[s(ta)]])/(9*s_t))</f>
        <v>1.6777409856157225E-2</v>
      </c>
      <c r="C22" s="3">
        <f t="shared" si="3"/>
        <v>4.4747823760270256E-4</v>
      </c>
      <c r="D22" s="14">
        <f t="shared" si="0"/>
        <v>8.9495647520540516</v>
      </c>
      <c r="G22" s="8">
        <v>9.4000000000000008E-4</v>
      </c>
      <c r="H22" s="3" cm="1">
        <f t="array" ref="H22">((2*ttotal10)/(3*s_t))*(st_b[[#This Row],[s(tb)]]+(s_t/4))</f>
        <v>3.7555555555555557E-2</v>
      </c>
      <c r="I22" s="3">
        <f t="shared" si="4"/>
        <v>2.2222222222222088E-4</v>
      </c>
      <c r="J22" s="14">
        <f t="shared" si="1"/>
        <v>4.4444444444444171</v>
      </c>
      <c r="M22" s="8">
        <v>2.4400000000000003E-3</v>
      </c>
      <c r="N22" s="3">
        <f>(-INDEX(Overview[b],10)+SQRT(POWER(INDEX(Overview[b],10),2)-(4*INDEX(Overview[a],10)*st_c[[#This Row],[c]])))/(2*INDEX(Overview[a],10))</f>
        <v>7.1196708007076143E-2</v>
      </c>
      <c r="O22" s="3">
        <f t="shared" si="5"/>
        <v>2.5603429734731564E-4</v>
      </c>
      <c r="P22" s="14">
        <f t="shared" si="2"/>
        <v>5.1206859469463124</v>
      </c>
    </row>
    <row r="23" spans="1:16" x14ac:dyDescent="0.25">
      <c r="A23" s="2">
        <v>2.0000000000000001E-4</v>
      </c>
      <c r="B23" s="3" cm="1">
        <f t="array" ref="B23">SQRT((4*POWER(ttotal10,2)*st_a[[#This Row],[s(ta)]])/(9*s_t))</f>
        <v>1.7213259316477408E-2</v>
      </c>
      <c r="C23" s="3">
        <f t="shared" si="3"/>
        <v>4.3584946032018332E-4</v>
      </c>
      <c r="D23" s="14">
        <f t="shared" si="0"/>
        <v>8.7169892064036656</v>
      </c>
      <c r="G23" s="8">
        <v>9.5000000000000011E-4</v>
      </c>
      <c r="H23" s="3" cm="1">
        <f t="array" ref="H23">((2*ttotal10)/(3*s_t))*(st_b[[#This Row],[s(tb)]]+(s_t/4))</f>
        <v>3.7777777777777778E-2</v>
      </c>
      <c r="I23" s="3">
        <f t="shared" si="4"/>
        <v>2.2222222222222088E-4</v>
      </c>
      <c r="J23" s="14">
        <f t="shared" si="1"/>
        <v>4.4444444444444171</v>
      </c>
      <c r="M23" s="8">
        <v>2.4500000000000004E-3</v>
      </c>
      <c r="N23" s="3">
        <f>(-INDEX(Overview[b],10)+SQRT(POWER(INDEX(Overview[b],10),2)-(4*INDEX(Overview[a],10)*st_c[[#This Row],[c]])))/(2*INDEX(Overview[a],10))</f>
        <v>7.1455038714077476E-2</v>
      </c>
      <c r="O23" s="3">
        <f t="shared" si="5"/>
        <v>2.5833070700133354E-4</v>
      </c>
      <c r="P23" s="14">
        <f t="shared" si="2"/>
        <v>5.1666141400266703</v>
      </c>
    </row>
    <row r="24" spans="1:16" x14ac:dyDescent="0.25">
      <c r="A24" s="2">
        <v>2.1000000000000001E-4</v>
      </c>
      <c r="B24" s="3" cm="1">
        <f t="array" ref="B24">SQRT((4*POWER(ttotal10,2)*st_a[[#This Row],[s(ta)]])/(9*s_t))</f>
        <v>1.7638342073763941E-2</v>
      </c>
      <c r="C24" s="3">
        <f t="shared" si="3"/>
        <v>4.2508275728653233E-4</v>
      </c>
      <c r="D24" s="14">
        <f t="shared" si="0"/>
        <v>8.5016551457306466</v>
      </c>
      <c r="G24" s="8">
        <v>9.6000000000000013E-4</v>
      </c>
      <c r="H24" s="3" cm="1">
        <f t="array" ref="H24">((2*ttotal10)/(3*s_t))*(st_b[[#This Row],[s(tb)]]+(s_t/4))</f>
        <v>3.7999999999999999E-2</v>
      </c>
      <c r="I24" s="3">
        <f t="shared" si="4"/>
        <v>2.2222222222222088E-4</v>
      </c>
      <c r="J24" s="14">
        <f t="shared" si="1"/>
        <v>4.4444444444444171</v>
      </c>
      <c r="M24" s="8">
        <v>2.4600000000000004E-3</v>
      </c>
      <c r="N24" s="3">
        <f>(-INDEX(Overview[b],10)+SQRT(POWER(INDEX(Overview[b],10),2)-(4*INDEX(Overview[a],10)*st_c[[#This Row],[c]])))/(2*INDEX(Overview[a],10))</f>
        <v>7.171572875253808E-2</v>
      </c>
      <c r="O24" s="3">
        <f t="shared" si="5"/>
        <v>2.6069003846060368E-4</v>
      </c>
      <c r="P24" s="14">
        <f t="shared" si="2"/>
        <v>5.2138007692120736</v>
      </c>
    </row>
    <row r="25" spans="1:16" x14ac:dyDescent="0.25">
      <c r="A25" s="2">
        <v>2.2000000000000001E-4</v>
      </c>
      <c r="B25" s="3" cm="1">
        <f t="array" ref="B25">SQRT((4*POWER(ttotal10,2)*st_a[[#This Row],[s(ta)]])/(9*s_t))</f>
        <v>1.8053418676968802E-2</v>
      </c>
      <c r="C25" s="3">
        <f t="shared" si="3"/>
        <v>4.1507660320486139E-4</v>
      </c>
      <c r="D25" s="14">
        <f t="shared" si="0"/>
        <v>8.301532064097227</v>
      </c>
      <c r="G25" s="8">
        <v>9.7000000000000005E-4</v>
      </c>
      <c r="H25" s="3" cm="1">
        <f t="array" ref="H25">((2*ttotal10)/(3*s_t))*(st_b[[#This Row],[s(tb)]]+(s_t/4))</f>
        <v>3.8222222222222227E-2</v>
      </c>
      <c r="I25" s="3">
        <f t="shared" si="4"/>
        <v>2.2222222222222782E-4</v>
      </c>
      <c r="J25" s="14">
        <f t="shared" si="1"/>
        <v>4.4444444444445566</v>
      </c>
      <c r="M25" s="8">
        <v>2.4700000000000004E-3</v>
      </c>
      <c r="N25" s="3">
        <f>(-INDEX(Overview[b],10)+SQRT(POWER(INDEX(Overview[b],10),2)-(4*INDEX(Overview[a],10)*st_c[[#This Row],[c]])))/(2*INDEX(Overview[a],10))</f>
        <v>7.1978843971292214E-2</v>
      </c>
      <c r="O25" s="3">
        <f t="shared" si="5"/>
        <v>2.6311521875413413E-4</v>
      </c>
      <c r="P25" s="14">
        <f t="shared" si="2"/>
        <v>5.2623043750826826</v>
      </c>
    </row>
    <row r="26" spans="1:16" x14ac:dyDescent="0.25">
      <c r="A26" s="2">
        <v>2.3000000000000001E-4</v>
      </c>
      <c r="B26" s="3" cm="1">
        <f t="array" ref="B26">SQRT((4*POWER(ttotal10,2)*st_a[[#This Row],[s(ta)]])/(9*s_t))</f>
        <v>1.8459164139817946E-2</v>
      </c>
      <c r="C26" s="3">
        <f t="shared" si="3"/>
        <v>4.0574546284914345E-4</v>
      </c>
      <c r="D26" s="14">
        <f t="shared" si="0"/>
        <v>8.1149092569828678</v>
      </c>
      <c r="G26" s="8">
        <v>9.8000000000000019E-4</v>
      </c>
      <c r="H26" s="3" cm="1">
        <f t="array" ref="H26">((2*ttotal10)/(3*s_t))*(st_b[[#This Row],[s(tb)]]+(s_t/4))</f>
        <v>3.8444444444444448E-2</v>
      </c>
      <c r="I26" s="3">
        <f t="shared" si="4"/>
        <v>2.2222222222222088E-4</v>
      </c>
      <c r="J26" s="14">
        <f t="shared" si="1"/>
        <v>4.4444444444444171</v>
      </c>
      <c r="M26" s="8">
        <v>2.48E-3</v>
      </c>
      <c r="N26" s="3">
        <f>(-INDEX(Overview[b],10)+SQRT(POWER(INDEX(Overview[b],10),2)-(4*INDEX(Overview[a],10)*st_c[[#This Row],[c]])))/(2*INDEX(Overview[a],10))</f>
        <v>7.2244453340451528E-2</v>
      </c>
      <c r="O26" s="3">
        <f t="shared" si="5"/>
        <v>2.6560936915931421E-4</v>
      </c>
      <c r="P26" s="14">
        <f t="shared" si="2"/>
        <v>5.3121873831862843</v>
      </c>
    </row>
    <row r="27" spans="1:16" x14ac:dyDescent="0.25">
      <c r="A27" s="2">
        <v>2.4000000000000003E-4</v>
      </c>
      <c r="B27" s="3" cm="1">
        <f t="array" ref="B27">SQRT((4*POWER(ttotal10,2)*st_a[[#This Row],[s(ta)]])/(9*s_t))</f>
        <v>1.885618083164127E-2</v>
      </c>
      <c r="C27" s="3">
        <f t="shared" si="3"/>
        <v>3.9701669182332436E-4</v>
      </c>
      <c r="D27" s="14">
        <f t="shared" si="0"/>
        <v>7.940333836466487</v>
      </c>
      <c r="G27" s="8">
        <v>9.8999999999999999E-4</v>
      </c>
      <c r="H27" s="3" cm="1">
        <f t="array" ref="H27">((2*ttotal10)/(3*s_t))*(st_b[[#This Row],[s(tb)]]+(s_t/4))</f>
        <v>3.8666666666666669E-2</v>
      </c>
      <c r="I27" s="3">
        <f t="shared" si="4"/>
        <v>2.2222222222222088E-4</v>
      </c>
      <c r="J27" s="14">
        <f t="shared" si="1"/>
        <v>4.4444444444444171</v>
      </c>
      <c r="M27" s="8">
        <v>2.49E-3</v>
      </c>
      <c r="N27" s="3">
        <f>(-INDEX(Overview[b],10)+SQRT(POWER(INDEX(Overview[b],10),2)-(4*INDEX(Overview[a],10)*st_c[[#This Row],[c]])))/(2*INDEX(Overview[a],10))</f>
        <v>7.2512629162548886E-2</v>
      </c>
      <c r="O27" s="3">
        <f t="shared" si="5"/>
        <v>2.6817582209735791E-4</v>
      </c>
      <c r="P27" s="14">
        <f t="shared" si="2"/>
        <v>5.3635164419471577</v>
      </c>
    </row>
    <row r="28" spans="1:16" x14ac:dyDescent="0.25">
      <c r="A28" s="2">
        <v>2.5000000000000001E-4</v>
      </c>
      <c r="B28" s="3" cm="1">
        <f t="array" ref="B28">SQRT((4*POWER(ttotal10,2)*st_a[[#This Row],[s(ta)]])/(9*s_t))</f>
        <v>1.9245008972987528E-2</v>
      </c>
      <c r="C28" s="3">
        <f t="shared" si="3"/>
        <v>3.888281413462584E-4</v>
      </c>
      <c r="D28" s="14">
        <f t="shared" si="0"/>
        <v>7.7765628269251676</v>
      </c>
      <c r="G28" s="8">
        <v>1E-3</v>
      </c>
      <c r="H28" s="3" cm="1">
        <f t="array" ref="H28">((2*ttotal10)/(3*s_t))*(st_b[[#This Row],[s(tb)]]+(s_t/4))</f>
        <v>3.888888888888889E-2</v>
      </c>
      <c r="I28" s="3">
        <f t="shared" si="4"/>
        <v>2.2222222222222088E-4</v>
      </c>
      <c r="J28" s="14">
        <f t="shared" si="1"/>
        <v>4.4444444444444171</v>
      </c>
      <c r="M28" s="8">
        <v>2.5000000000000001E-3</v>
      </c>
      <c r="N28" s="3">
        <f>(-INDEX(Overview[b],10)+SQRT(POWER(INDEX(Overview[b],10),2)-(4*INDEX(Overview[a],10)*st_c[[#This Row],[c]])))/(2*INDEX(Overview[a],10))</f>
        <v>7.2783447302409113E-2</v>
      </c>
      <c r="O28" s="3">
        <f t="shared" si="5"/>
        <v>2.7081813986022663E-4</v>
      </c>
      <c r="P28" s="14">
        <f t="shared" si="2"/>
        <v>5.4163627972045321</v>
      </c>
    </row>
    <row r="29" spans="1:16" x14ac:dyDescent="0.25">
      <c r="A29" s="2">
        <v>2.6000000000000003E-4</v>
      </c>
      <c r="B29" s="3" cm="1">
        <f t="array" ref="B29">SQRT((4*POWER(ttotal10,2)*st_a[[#This Row],[s(ta)]])/(9*s_t))</f>
        <v>1.962613525850633E-2</v>
      </c>
      <c r="C29" s="3">
        <f t="shared" si="3"/>
        <v>3.8112628551880204E-4</v>
      </c>
      <c r="D29" s="14">
        <f t="shared" si="0"/>
        <v>7.6225257103760402</v>
      </c>
      <c r="G29" s="8">
        <v>1.01E-3</v>
      </c>
      <c r="H29" s="3" cm="1">
        <f t="array" ref="H29">((2*ttotal10)/(3*s_t))*(st_b[[#This Row],[s(tb)]]+(s_t/4))</f>
        <v>3.911111111111111E-2</v>
      </c>
      <c r="I29" s="3">
        <f t="shared" si="4"/>
        <v>2.2222222222222088E-4</v>
      </c>
      <c r="J29" s="14">
        <f t="shared" si="1"/>
        <v>4.4444444444444171</v>
      </c>
      <c r="M29" s="8">
        <v>2.5100000000000001E-3</v>
      </c>
      <c r="N29" s="3">
        <f>(-INDEX(Overview[b],10)+SQRT(POWER(INDEX(Overview[b],10),2)-(4*INDEX(Overview[a],10)*st_c[[#This Row],[c]])))/(2*INDEX(Overview[a],10))</f>
        <v>7.3056987437817439E-2</v>
      </c>
      <c r="O29" s="3">
        <f t="shared" si="5"/>
        <v>2.7354013540832611E-4</v>
      </c>
      <c r="P29" s="14">
        <f t="shared" si="2"/>
        <v>5.4708027081665218</v>
      </c>
    </row>
    <row r="30" spans="1:16" x14ac:dyDescent="0.25">
      <c r="A30" s="2">
        <v>2.7E-4</v>
      </c>
      <c r="B30" s="3" cm="1">
        <f t="array" ref="B30">SQRT((4*POWER(ttotal10,2)*st_a[[#This Row],[s(ta)]])/(9*s_t))</f>
        <v>0.02</v>
      </c>
      <c r="C30" s="3">
        <f t="shared" si="3"/>
        <v>3.7386474149367008E-4</v>
      </c>
      <c r="D30" s="14">
        <f t="shared" si="0"/>
        <v>7.4772948298734008</v>
      </c>
      <c r="G30" s="8">
        <v>1.0200000000000001E-3</v>
      </c>
      <c r="H30" s="3" cm="1">
        <f t="array" ref="H30">((2*ttotal10)/(3*s_t))*(st_b[[#This Row],[s(tb)]]+(s_t/4))</f>
        <v>3.9333333333333331E-2</v>
      </c>
      <c r="I30" s="3">
        <f t="shared" si="4"/>
        <v>2.2222222222222088E-4</v>
      </c>
      <c r="J30" s="14">
        <f t="shared" si="1"/>
        <v>4.4444444444444171</v>
      </c>
      <c r="M30" s="8">
        <v>2.5200000000000001E-3</v>
      </c>
      <c r="N30" s="3">
        <f>(-INDEX(Overview[b],10)+SQRT(POWER(INDEX(Overview[b],10),2)-(4*INDEX(Overview[a],10)*st_c[[#This Row],[c]])))/(2*INDEX(Overview[a],10))</f>
        <v>7.3333333333333278E-2</v>
      </c>
      <c r="O30" s="3">
        <f t="shared" si="5"/>
        <v>2.7634589551583932E-4</v>
      </c>
      <c r="P30" s="14">
        <f t="shared" si="2"/>
        <v>5.5269179103167865</v>
      </c>
    </row>
    <row r="31" spans="1:16" x14ac:dyDescent="0.25">
      <c r="A31" s="2">
        <v>2.8000000000000003E-4</v>
      </c>
      <c r="B31" s="3" cm="1">
        <f t="array" ref="B31">SQRT((4*POWER(ttotal10,2)*st_a[[#This Row],[s(ta)]])/(9*s_t))</f>
        <v>2.0367003088692624E-2</v>
      </c>
      <c r="C31" s="3">
        <f t="shared" si="3"/>
        <v>3.6700308869262385E-4</v>
      </c>
      <c r="D31" s="14">
        <f t="shared" si="0"/>
        <v>7.3400617738524767</v>
      </c>
      <c r="G31" s="8">
        <v>1.0300000000000001E-3</v>
      </c>
      <c r="H31" s="3" cm="1">
        <f t="array" ref="H31">((2*ttotal10)/(3*s_t))*(st_b[[#This Row],[s(tb)]]+(s_t/4))</f>
        <v>3.9555555555555559E-2</v>
      </c>
      <c r="I31" s="3">
        <f t="shared" si="4"/>
        <v>2.2222222222222782E-4</v>
      </c>
      <c r="J31" s="14">
        <f t="shared" si="1"/>
        <v>4.4444444444445566</v>
      </c>
      <c r="M31" s="8">
        <v>2.5300000000000001E-3</v>
      </c>
      <c r="N31" s="3">
        <f>(-INDEX(Overview[b],10)+SQRT(POWER(INDEX(Overview[b],10),2)-(4*INDEX(Overview[a],10)*st_c[[#This Row],[c]])))/(2*INDEX(Overview[a],10))</f>
        <v>7.3612573139915705E-2</v>
      </c>
      <c r="O31" s="3">
        <f t="shared" si="5"/>
        <v>2.7923980658242642E-4</v>
      </c>
      <c r="P31" s="14">
        <f t="shared" si="2"/>
        <v>5.5847961316485284</v>
      </c>
    </row>
    <row r="32" spans="1:16" x14ac:dyDescent="0.25">
      <c r="A32" s="2">
        <v>2.9E-4</v>
      </c>
      <c r="B32" s="3" cm="1">
        <f t="array" ref="B32">SQRT((4*POWER(ttotal10,2)*st_a[[#This Row],[s(ta)]])/(9*s_t))</f>
        <v>2.0727509006864035E-2</v>
      </c>
      <c r="C32" s="3">
        <f t="shared" si="3"/>
        <v>3.6050591817141098E-4</v>
      </c>
      <c r="D32" s="14">
        <f t="shared" si="0"/>
        <v>7.2101183634282195</v>
      </c>
      <c r="G32" s="8">
        <v>1.0400000000000001E-3</v>
      </c>
      <c r="H32" s="3" cm="1">
        <f t="array" ref="H32">((2*ttotal10)/(3*s_t))*(st_b[[#This Row],[s(tb)]]+(s_t/4))</f>
        <v>3.977777777777778E-2</v>
      </c>
      <c r="I32" s="3">
        <f t="shared" si="4"/>
        <v>2.2222222222222088E-4</v>
      </c>
      <c r="J32" s="14">
        <f t="shared" si="1"/>
        <v>4.4444444444444171</v>
      </c>
      <c r="M32" s="8">
        <v>2.5400000000000002E-3</v>
      </c>
      <c r="N32" s="3">
        <f>(-INDEX(Overview[b],10)+SQRT(POWER(INDEX(Overview[b],10),2)-(4*INDEX(Overview[a],10)*st_c[[#This Row],[c]])))/(2*INDEX(Overview[a],10))</f>
        <v>7.3894799723398366E-2</v>
      </c>
      <c r="O32" s="3">
        <f t="shared" si="5"/>
        <v>2.822265834826615E-4</v>
      </c>
      <c r="P32" s="14">
        <f t="shared" si="2"/>
        <v>5.6445316696532295</v>
      </c>
    </row>
    <row r="33" spans="1:16" x14ac:dyDescent="0.25">
      <c r="A33" s="2">
        <v>3.0000000000000003E-4</v>
      </c>
      <c r="B33" s="3" cm="1">
        <f t="array" ref="B33">SQRT((4*POWER(ttotal10,2)*st_a[[#This Row],[s(ta)]])/(9*s_t))</f>
        <v>2.10818510677892E-2</v>
      </c>
      <c r="C33" s="3">
        <f t="shared" si="3"/>
        <v>3.5434206092516476E-4</v>
      </c>
      <c r="D33" s="14">
        <f t="shared" si="0"/>
        <v>7.0868412185032952</v>
      </c>
      <c r="G33" s="8">
        <v>1.0500000000000002E-3</v>
      </c>
      <c r="H33" s="3" cm="1">
        <f t="array" ref="H33">((2*ttotal10)/(3*s_t))*(st_b[[#This Row],[s(tb)]]+(s_t/4))</f>
        <v>0.04</v>
      </c>
      <c r="I33" s="3">
        <f t="shared" si="4"/>
        <v>2.2222222222222088E-4</v>
      </c>
      <c r="J33" s="14">
        <f t="shared" si="1"/>
        <v>4.4444444444444171</v>
      </c>
      <c r="M33" s="8">
        <v>2.5500000000000002E-3</v>
      </c>
      <c r="N33" s="3">
        <f>(-INDEX(Overview[b],10)+SQRT(POWER(INDEX(Overview[b],10),2)-(4*INDEX(Overview[a],10)*st_c[[#This Row],[c]])))/(2*INDEX(Overview[a],10))</f>
        <v>7.4180111025283865E-2</v>
      </c>
      <c r="O33" s="3">
        <f t="shared" si="5"/>
        <v>2.8531130188549914E-4</v>
      </c>
      <c r="P33" s="14">
        <f t="shared" si="2"/>
        <v>5.7062260377099827</v>
      </c>
    </row>
    <row r="34" spans="1:16" x14ac:dyDescent="0.25">
      <c r="A34" s="2">
        <v>3.1E-4</v>
      </c>
      <c r="B34" s="3" cm="1">
        <f t="array" ref="B34">SQRT((4*POWER(ttotal10,2)*st_a[[#This Row],[s(ta)]])/(9*s_t))</f>
        <v>2.1430335024428794E-2</v>
      </c>
      <c r="C34" s="3">
        <f t="shared" si="3"/>
        <v>3.4848395663959406E-4</v>
      </c>
      <c r="D34" s="14">
        <f t="shared" si="0"/>
        <v>6.9696791327918808</v>
      </c>
      <c r="G34" s="8">
        <v>1.0600000000000002E-3</v>
      </c>
      <c r="H34" s="3" cm="1">
        <f t="array" ref="H34">((2*ttotal10)/(3*s_t))*(st_b[[#This Row],[s(tb)]]+(s_t/4))</f>
        <v>4.0222222222222222E-2</v>
      </c>
      <c r="I34" s="3">
        <f t="shared" si="4"/>
        <v>2.2222222222222088E-4</v>
      </c>
      <c r="J34" s="14">
        <f t="shared" si="1"/>
        <v>4.4444444444444171</v>
      </c>
      <c r="M34" s="8">
        <v>2.5600000000000002E-3</v>
      </c>
      <c r="N34" s="3">
        <f>(-INDEX(Overview[b],10)+SQRT(POWER(INDEX(Overview[b],10),2)-(4*INDEX(Overview[a],10)*st_c[[#This Row],[c]])))/(2*INDEX(Overview[a],10))</f>
        <v>7.4468610459830914E-2</v>
      </c>
      <c r="O34" s="3">
        <f t="shared" si="5"/>
        <v>2.8849943454704874E-4</v>
      </c>
      <c r="P34" s="14">
        <f t="shared" si="2"/>
        <v>5.7699886909409743</v>
      </c>
    </row>
    <row r="35" spans="1:16" x14ac:dyDescent="0.25">
      <c r="A35" s="2">
        <v>3.2000000000000003E-4</v>
      </c>
      <c r="B35" s="3" cm="1">
        <f t="array" ref="B35">SQRT((4*POWER(ttotal10,2)*st_a[[#This Row],[s(ta)]])/(9*s_t))</f>
        <v>2.1773242158072696E-2</v>
      </c>
      <c r="C35" s="3">
        <f t="shared" si="3"/>
        <v>3.4290713364390144E-4</v>
      </c>
      <c r="D35" s="14">
        <f t="shared" si="0"/>
        <v>6.8581426728780288</v>
      </c>
      <c r="G35" s="8">
        <v>1.07E-3</v>
      </c>
      <c r="H35" s="3" cm="1">
        <f t="array" ref="H35">((2*ttotal10)/(3*s_t))*(st_b[[#This Row],[s(tb)]]+(s_t/4))</f>
        <v>4.0444444444444443E-2</v>
      </c>
      <c r="I35" s="3">
        <f t="shared" si="4"/>
        <v>2.2222222222222088E-4</v>
      </c>
      <c r="J35" s="14">
        <f t="shared" si="1"/>
        <v>4.4444444444444171</v>
      </c>
      <c r="M35" s="8">
        <v>2.5700000000000002E-3</v>
      </c>
      <c r="N35" s="3">
        <f>(-INDEX(Overview[b],10)+SQRT(POWER(INDEX(Overview[b],10),2)-(4*INDEX(Overview[a],10)*st_c[[#This Row],[c]])))/(2*INDEX(Overview[a],10))</f>
        <v>7.4760407351998751E-2</v>
      </c>
      <c r="O35" s="3">
        <f t="shared" si="5"/>
        <v>2.9179689216783655E-4</v>
      </c>
      <c r="P35" s="14">
        <f t="shared" si="2"/>
        <v>5.8359378433567306</v>
      </c>
    </row>
    <row r="36" spans="1:16" x14ac:dyDescent="0.25">
      <c r="A36" s="2">
        <v>3.3000000000000005E-4</v>
      </c>
      <c r="B36" s="3" cm="1">
        <f t="array" ref="B36">SQRT((4*POWER(ttotal10,2)*st_a[[#This Row],[s(ta)]])/(9*s_t))</f>
        <v>2.2110831935702669E-2</v>
      </c>
      <c r="C36" s="3">
        <f t="shared" si="3"/>
        <v>3.3758977762997355E-4</v>
      </c>
      <c r="D36" s="14">
        <f t="shared" si="0"/>
        <v>6.7517955525994706</v>
      </c>
      <c r="G36" s="8">
        <v>1.08E-3</v>
      </c>
      <c r="H36" s="3" cm="1">
        <f t="array" ref="H36">((2*ttotal10)/(3*s_t))*(st_b[[#This Row],[s(tb)]]+(s_t/4))</f>
        <v>4.0666666666666663E-2</v>
      </c>
      <c r="I36" s="3">
        <f t="shared" si="4"/>
        <v>2.2222222222222088E-4</v>
      </c>
      <c r="J36" s="14">
        <f t="shared" si="1"/>
        <v>4.4444444444444171</v>
      </c>
      <c r="M36" s="8">
        <v>2.5800000000000003E-3</v>
      </c>
      <c r="N36" s="3">
        <f>(-INDEX(Overview[b],10)+SQRT(POWER(INDEX(Overview[b],10),2)-(4*INDEX(Overview[a],10)*st_c[[#This Row],[c]])))/(2*INDEX(Overview[a],10))</f>
        <v>7.5055617421507057E-2</v>
      </c>
      <c r="O36" s="3">
        <f t="shared" si="5"/>
        <v>2.9521006950830597E-4</v>
      </c>
      <c r="P36" s="14">
        <f t="shared" si="2"/>
        <v>5.9042013901661194</v>
      </c>
    </row>
    <row r="37" spans="1:16" x14ac:dyDescent="0.25">
      <c r="A37" s="2">
        <v>3.4000000000000002E-4</v>
      </c>
      <c r="B37" s="3" cm="1">
        <f t="array" ref="B37">SQRT((4*POWER(ttotal10,2)*st_a[[#This Row],[s(ta)]])/(9*s_t))</f>
        <v>2.2443344307471285E-2</v>
      </c>
      <c r="C37" s="3">
        <f t="shared" si="3"/>
        <v>3.3251237176861598E-4</v>
      </c>
      <c r="D37" s="14">
        <f t="shared" si="0"/>
        <v>6.6502474353723189</v>
      </c>
      <c r="G37" s="8">
        <v>1.09E-3</v>
      </c>
      <c r="H37" s="3" cm="1">
        <f t="array" ref="H37">((2*ttotal10)/(3*s_t))*(st_b[[#This Row],[s(tb)]]+(s_t/4))</f>
        <v>4.0888888888888891E-2</v>
      </c>
      <c r="I37" s="3">
        <f t="shared" si="4"/>
        <v>2.2222222222222782E-4</v>
      </c>
      <c r="J37" s="14">
        <f t="shared" si="1"/>
        <v>4.4444444444445566</v>
      </c>
      <c r="M37" s="8">
        <v>2.5900000000000003E-3</v>
      </c>
      <c r="N37" s="3">
        <f>(-INDEX(Overview[b],10)+SQRT(POWER(INDEX(Overview[b],10),2)-(4*INDEX(Overview[a],10)*st_c[[#This Row],[c]])))/(2*INDEX(Overview[a],10))</f>
        <v>7.5354363319090123E-2</v>
      </c>
      <c r="O37" s="3">
        <f t="shared" si="5"/>
        <v>2.9874589758306647E-4</v>
      </c>
      <c r="P37" s="14">
        <f t="shared" si="2"/>
        <v>5.9749179516613289</v>
      </c>
    </row>
    <row r="38" spans="1:16" x14ac:dyDescent="0.25">
      <c r="A38" s="2">
        <v>3.5000000000000005E-4</v>
      </c>
      <c r="B38" s="3" cm="1">
        <f t="array" ref="B38">SQRT((4*POWER(ttotal10,2)*st_a[[#This Row],[s(ta)]])/(9*s_t))</f>
        <v>2.2771001702132445E-2</v>
      </c>
      <c r="C38" s="3">
        <f t="shared" si="3"/>
        <v>3.2765739466115995E-4</v>
      </c>
      <c r="D38" s="14">
        <f t="shared" si="0"/>
        <v>6.5531478932231986</v>
      </c>
      <c r="G38" s="8">
        <v>1.1000000000000001E-3</v>
      </c>
      <c r="H38" s="3" cm="1">
        <f t="array" ref="H38">((2*ttotal10)/(3*s_t))*(st_b[[#This Row],[s(tb)]]+(s_t/4))</f>
        <v>4.1111111111111112E-2</v>
      </c>
      <c r="I38" s="3">
        <f t="shared" si="4"/>
        <v>2.2222222222222088E-4</v>
      </c>
      <c r="J38" s="14">
        <f t="shared" si="1"/>
        <v>4.4444444444444171</v>
      </c>
      <c r="M38" s="8">
        <v>2.6000000000000003E-3</v>
      </c>
      <c r="N38" s="3">
        <f>(-INDEX(Overview[b],10)+SQRT(POWER(INDEX(Overview[b],10),2)-(4*INDEX(Overview[a],10)*st_c[[#This Row],[c]])))/(2*INDEX(Overview[a],10))</f>
        <v>7.5656775221992559E-2</v>
      </c>
      <c r="O38" s="3">
        <f t="shared" si="5"/>
        <v>3.024119029024358E-4</v>
      </c>
      <c r="P38" s="14">
        <f t="shared" si="2"/>
        <v>6.0482380580487156</v>
      </c>
    </row>
    <row r="39" spans="1:16" x14ac:dyDescent="0.25">
      <c r="A39" s="2">
        <v>3.6000000000000002E-4</v>
      </c>
      <c r="B39" s="3" cm="1">
        <f t="array" ref="B39">SQRT((4*POWER(ttotal10,2)*st_a[[#This Row],[s(ta)]])/(9*s_t))</f>
        <v>2.3094010767585032E-2</v>
      </c>
      <c r="C39" s="3">
        <f t="shared" si="3"/>
        <v>3.230090654525869E-4</v>
      </c>
      <c r="D39" s="14">
        <f t="shared" si="0"/>
        <v>6.4601813090517375</v>
      </c>
      <c r="G39" s="8">
        <v>1.1100000000000001E-3</v>
      </c>
      <c r="H39" s="3" cm="1">
        <f t="array" ref="H39">((2*ttotal10)/(3*s_t))*(st_b[[#This Row],[s(tb)]]+(s_t/4))</f>
        <v>4.1333333333333333E-2</v>
      </c>
      <c r="I39" s="3">
        <f t="shared" si="4"/>
        <v>2.2222222222222088E-4</v>
      </c>
      <c r="J39" s="14">
        <f t="shared" si="1"/>
        <v>4.4444444444444171</v>
      </c>
      <c r="M39" s="8">
        <v>2.6100000000000003E-3</v>
      </c>
      <c r="N39" s="3">
        <f>(-INDEX(Overview[b],10)+SQRT(POWER(INDEX(Overview[b],10),2)-(4*INDEX(Overview[a],10)*st_c[[#This Row],[c]])))/(2*INDEX(Overview[a],10))</f>
        <v>7.5962991496906718E-2</v>
      </c>
      <c r="O39" s="3">
        <f t="shared" si="5"/>
        <v>3.0621627491415893E-4</v>
      </c>
      <c r="P39" s="14">
        <f t="shared" si="2"/>
        <v>6.1243254982831781</v>
      </c>
    </row>
    <row r="40" spans="1:16" x14ac:dyDescent="0.25">
      <c r="A40" s="2">
        <v>3.7000000000000005E-4</v>
      </c>
      <c r="B40" s="3" cm="1">
        <f t="array" ref="B40">SQRT((4*POWER(ttotal10,2)*st_a[[#This Row],[s(ta)]])/(9*s_t))</f>
        <v>2.3412563895228312E-2</v>
      </c>
      <c r="C40" s="3">
        <f t="shared" si="3"/>
        <v>3.1855312764328056E-4</v>
      </c>
      <c r="D40" s="14">
        <f t="shared" si="0"/>
        <v>6.3710625528656113</v>
      </c>
      <c r="G40" s="8">
        <v>1.1200000000000001E-3</v>
      </c>
      <c r="H40" s="3" cm="1">
        <f t="array" ref="H40">((2*ttotal10)/(3*s_t))*(st_b[[#This Row],[s(tb)]]+(s_t/4))</f>
        <v>4.1555555555555554E-2</v>
      </c>
      <c r="I40" s="3">
        <f t="shared" si="4"/>
        <v>2.2222222222222088E-4</v>
      </c>
      <c r="J40" s="14">
        <f t="shared" si="1"/>
        <v>4.4444444444444171</v>
      </c>
      <c r="M40" s="8">
        <v>2.6200000000000004E-3</v>
      </c>
      <c r="N40" s="3">
        <f>(-INDEX(Overview[b],10)+SQRT(POWER(INDEX(Overview[b],10),2)-(4*INDEX(Overview[a],10)*st_c[[#This Row],[c]])))/(2*INDEX(Overview[a],10))</f>
        <v>7.6273159439930377E-2</v>
      </c>
      <c r="O40" s="3">
        <f t="shared" si="5"/>
        <v>3.1016794302365924E-4</v>
      </c>
      <c r="P40" s="14">
        <f t="shared" si="2"/>
        <v>6.2033588604731849</v>
      </c>
    </row>
    <row r="41" spans="1:16" x14ac:dyDescent="0.25">
      <c r="A41" s="2">
        <v>3.8000000000000002E-4</v>
      </c>
      <c r="B41" s="3" cm="1">
        <f t="array" ref="B41">SQRT((4*POWER(ttotal10,2)*st_a[[#This Row],[s(ta)]])/(9*s_t))</f>
        <v>2.3726840560069584E-2</v>
      </c>
      <c r="C41" s="3">
        <f t="shared" si="3"/>
        <v>3.1427666484127106E-4</v>
      </c>
      <c r="D41" s="14">
        <f t="shared" si="0"/>
        <v>6.2855332968254212</v>
      </c>
      <c r="G41" s="8">
        <v>1.1300000000000001E-3</v>
      </c>
      <c r="H41" s="3" cm="1">
        <f t="array" ref="H41">((2*ttotal10)/(3*s_t))*(st_b[[#This Row],[s(tb)]]+(s_t/4))</f>
        <v>4.1777777777777782E-2</v>
      </c>
      <c r="I41" s="3">
        <f t="shared" si="4"/>
        <v>2.2222222222222782E-4</v>
      </c>
      <c r="J41" s="14">
        <f t="shared" si="1"/>
        <v>4.4444444444445566</v>
      </c>
      <c r="M41" s="8">
        <v>2.6300000000000004E-3</v>
      </c>
      <c r="N41" s="3">
        <f>(-INDEX(Overview[b],10)+SQRT(POWER(INDEX(Overview[b],10),2)-(4*INDEX(Overview[a],10)*st_c[[#This Row],[c]])))/(2*INDEX(Overview[a],10))</f>
        <v>7.6587436104771631E-2</v>
      </c>
      <c r="O41" s="3">
        <f t="shared" si="5"/>
        <v>3.1427666484125372E-4</v>
      </c>
      <c r="P41" s="14">
        <f t="shared" si="2"/>
        <v>6.2855332968250739</v>
      </c>
    </row>
    <row r="42" spans="1:16" x14ac:dyDescent="0.25">
      <c r="A42" s="2">
        <v>3.9000000000000005E-4</v>
      </c>
      <c r="B42" s="3" cm="1">
        <f t="array" ref="B42">SQRT((4*POWER(ttotal10,2)*st_a[[#This Row],[s(ta)]])/(9*s_t))</f>
        <v>2.4037008503093267E-2</v>
      </c>
      <c r="C42" s="3">
        <f t="shared" si="3"/>
        <v>3.1016794302368353E-4</v>
      </c>
      <c r="D42" s="14">
        <f t="shared" si="0"/>
        <v>6.2033588604736707</v>
      </c>
      <c r="G42" s="8">
        <v>1.1400000000000002E-3</v>
      </c>
      <c r="H42" s="3" cm="1">
        <f t="array" ref="H42">((2*ttotal10)/(3*s_t))*(st_b[[#This Row],[s(tb)]]+(s_t/4))</f>
        <v>4.2000000000000003E-2</v>
      </c>
      <c r="I42" s="3">
        <f t="shared" si="4"/>
        <v>2.2222222222222088E-4</v>
      </c>
      <c r="J42" s="14">
        <f t="shared" si="1"/>
        <v>4.4444444444444171</v>
      </c>
      <c r="M42" s="8">
        <v>2.6400000000000004E-3</v>
      </c>
      <c r="N42" s="3">
        <f>(-INDEX(Overview[b],10)+SQRT(POWER(INDEX(Overview[b],10),2)-(4*INDEX(Overview[a],10)*st_c[[#This Row],[c]])))/(2*INDEX(Overview[a],10))</f>
        <v>7.6905989232414901E-2</v>
      </c>
      <c r="O42" s="3">
        <f t="shared" si="5"/>
        <v>3.1855312764327015E-4</v>
      </c>
      <c r="P42" s="14">
        <f t="shared" si="2"/>
        <v>6.3710625528654026</v>
      </c>
    </row>
    <row r="43" spans="1:16" x14ac:dyDescent="0.25">
      <c r="A43" s="2">
        <v>4.0000000000000002E-4</v>
      </c>
      <c r="B43" s="3" cm="1">
        <f t="array" ref="B43">SQRT((4*POWER(ttotal10,2)*st_a[[#This Row],[s(ta)]])/(9*s_t))</f>
        <v>2.4343224778007384E-2</v>
      </c>
      <c r="C43" s="3">
        <f t="shared" si="3"/>
        <v>3.0621627491411729E-4</v>
      </c>
      <c r="D43" s="14">
        <f t="shared" si="0"/>
        <v>6.1243254982823458</v>
      </c>
      <c r="G43" s="8">
        <v>1.1500000000000002E-3</v>
      </c>
      <c r="H43" s="3" cm="1">
        <f t="array" ref="H43">((2*ttotal10)/(3*s_t))*(st_b[[#This Row],[s(tb)]]+(s_t/4))</f>
        <v>4.2222222222222223E-2</v>
      </c>
      <c r="I43" s="3">
        <f t="shared" si="4"/>
        <v>2.2222222222222088E-4</v>
      </c>
      <c r="J43" s="14">
        <f t="shared" si="1"/>
        <v>4.4444444444444171</v>
      </c>
      <c r="M43" s="8">
        <v>2.65E-3</v>
      </c>
      <c r="N43" s="3">
        <f>(-INDEX(Overview[b],10)+SQRT(POWER(INDEX(Overview[b],10),2)-(4*INDEX(Overview[a],10)*st_c[[#This Row],[c]])))/(2*INDEX(Overview[a],10))</f>
        <v>7.7228998297867488E-2</v>
      </c>
      <c r="O43" s="3">
        <f t="shared" si="5"/>
        <v>3.230090654525869E-4</v>
      </c>
      <c r="P43" s="14">
        <f t="shared" si="2"/>
        <v>6.4601813090517375</v>
      </c>
    </row>
    <row r="44" spans="1:16" x14ac:dyDescent="0.25">
      <c r="A44" s="2">
        <v>4.1000000000000005E-4</v>
      </c>
      <c r="B44" s="3" cm="1">
        <f t="array" ref="B44">SQRT((4*POWER(ttotal10,2)*st_a[[#This Row],[s(ta)]])/(9*s_t))</f>
        <v>2.464563668090982E-2</v>
      </c>
      <c r="C44" s="3">
        <f t="shared" si="3"/>
        <v>3.024119029024358E-4</v>
      </c>
      <c r="D44" s="14">
        <f t="shared" si="0"/>
        <v>6.0482380580487156</v>
      </c>
      <c r="G44" s="8">
        <v>1.16E-3</v>
      </c>
      <c r="H44" s="3" cm="1">
        <f t="array" ref="H44">((2*ttotal10)/(3*s_t))*(st_b[[#This Row],[s(tb)]]+(s_t/4))</f>
        <v>4.2444444444444444E-2</v>
      </c>
      <c r="I44" s="3">
        <f t="shared" si="4"/>
        <v>2.2222222222222088E-4</v>
      </c>
      <c r="J44" s="14">
        <f t="shared" si="1"/>
        <v>4.4444444444444171</v>
      </c>
      <c r="M44" s="8">
        <v>2.66E-3</v>
      </c>
      <c r="N44" s="3">
        <f>(-INDEX(Overview[b],10)+SQRT(POWER(INDEX(Overview[b],10),2)-(4*INDEX(Overview[a],10)*st_c[[#This Row],[c]])))/(2*INDEX(Overview[a],10))</f>
        <v>7.7556655692528675E-2</v>
      </c>
      <c r="O44" s="3">
        <f t="shared" si="5"/>
        <v>3.2765739466118771E-4</v>
      </c>
      <c r="P44" s="14">
        <f t="shared" si="2"/>
        <v>6.5531478932237537</v>
      </c>
    </row>
    <row r="45" spans="1:16" x14ac:dyDescent="0.25">
      <c r="A45" s="2">
        <v>4.2000000000000002E-4</v>
      </c>
      <c r="B45" s="3" cm="1">
        <f t="array" ref="B45">SQRT((4*POWER(ttotal10,2)*st_a[[#This Row],[s(ta)]])/(9*s_t))</f>
        <v>2.4944382578492949E-2</v>
      </c>
      <c r="C45" s="3">
        <f t="shared" si="3"/>
        <v>2.9874589758312892E-4</v>
      </c>
      <c r="D45" s="14">
        <f t="shared" si="0"/>
        <v>5.9749179516625777</v>
      </c>
      <c r="G45" s="8">
        <v>1.17E-3</v>
      </c>
      <c r="H45" s="3" cm="1">
        <f t="array" ref="H45">((2*ttotal10)/(3*s_t))*(st_b[[#This Row],[s(tb)]]+(s_t/4))</f>
        <v>4.2666666666666665E-2</v>
      </c>
      <c r="I45" s="3">
        <f t="shared" si="4"/>
        <v>2.2222222222222088E-4</v>
      </c>
      <c r="J45" s="14">
        <f t="shared" si="1"/>
        <v>4.4444444444444171</v>
      </c>
      <c r="M45" s="8">
        <v>2.6700000000000001E-3</v>
      </c>
      <c r="N45" s="3">
        <f>(-INDEX(Overview[b],10)+SQRT(POWER(INDEX(Overview[b],10),2)-(4*INDEX(Overview[a],10)*st_c[[#This Row],[c]])))/(2*INDEX(Overview[a],10))</f>
        <v>7.7889168064297284E-2</v>
      </c>
      <c r="O45" s="3">
        <f t="shared" si="5"/>
        <v>3.3251237176860904E-4</v>
      </c>
      <c r="P45" s="14">
        <f t="shared" si="2"/>
        <v>6.6502474353721803</v>
      </c>
    </row>
    <row r="46" spans="1:16" x14ac:dyDescent="0.25">
      <c r="A46" s="2">
        <v>4.3000000000000004E-4</v>
      </c>
      <c r="B46" s="3" cm="1">
        <f t="array" ref="B46">SQRT((4*POWER(ttotal10,2)*st_a[[#This Row],[s(ta)]])/(9*s_t))</f>
        <v>2.523959264800122E-2</v>
      </c>
      <c r="C46" s="3">
        <f t="shared" si="3"/>
        <v>2.9521006950827128E-4</v>
      </c>
      <c r="D46" s="14">
        <f t="shared" si="0"/>
        <v>5.9042013901654249</v>
      </c>
      <c r="G46" s="8">
        <v>1.1800000000000001E-3</v>
      </c>
      <c r="H46" s="3" cm="1">
        <f t="array" ref="H46">((2*ttotal10)/(3*s_t))*(st_b[[#This Row],[s(tb)]]+(s_t/4))</f>
        <v>4.2888888888888886E-2</v>
      </c>
      <c r="I46" s="3">
        <f t="shared" si="4"/>
        <v>2.2222222222222088E-4</v>
      </c>
      <c r="J46" s="14">
        <f t="shared" si="1"/>
        <v>4.4444444444444171</v>
      </c>
      <c r="M46" s="8">
        <v>2.6800000000000001E-3</v>
      </c>
      <c r="N46" s="3">
        <f>(-INDEX(Overview[b],10)+SQRT(POWER(INDEX(Overview[b],10),2)-(4*INDEX(Overview[a],10)*st_c[[#This Row],[c]])))/(2*INDEX(Overview[a],10))</f>
        <v>7.8226757841927244E-2</v>
      </c>
      <c r="O46" s="3">
        <f t="shared" si="5"/>
        <v>3.3758977762995968E-4</v>
      </c>
      <c r="P46" s="14">
        <f t="shared" si="2"/>
        <v>6.7517955525991935</v>
      </c>
    </row>
    <row r="47" spans="1:16" x14ac:dyDescent="0.25">
      <c r="A47" s="2">
        <v>4.4000000000000002E-4</v>
      </c>
      <c r="B47" s="3" cm="1">
        <f t="array" ref="B47">SQRT((4*POWER(ttotal10,2)*st_a[[#This Row],[s(ta)]])/(9*s_t))</f>
        <v>2.5531389540169019E-2</v>
      </c>
      <c r="C47" s="3">
        <f t="shared" si="3"/>
        <v>2.9179689216779839E-4</v>
      </c>
      <c r="D47" s="14">
        <f t="shared" si="0"/>
        <v>5.8359378433559677</v>
      </c>
      <c r="G47" s="8">
        <v>1.1900000000000001E-3</v>
      </c>
      <c r="H47" s="3" cm="1">
        <f t="array" ref="H47">((2*ttotal10)/(3*s_t))*(st_b[[#This Row],[s(tb)]]+(s_t/4))</f>
        <v>4.3111111111111114E-2</v>
      </c>
      <c r="I47" s="3">
        <f t="shared" si="4"/>
        <v>2.2222222222222782E-4</v>
      </c>
      <c r="J47" s="14">
        <f t="shared" si="1"/>
        <v>4.4444444444445566</v>
      </c>
      <c r="M47" s="8">
        <v>2.6900000000000001E-3</v>
      </c>
      <c r="N47" s="3">
        <f>(-INDEX(Overview[b],10)+SQRT(POWER(INDEX(Overview[b],10),2)-(4*INDEX(Overview[a],10)*st_c[[#This Row],[c]])))/(2*INDEX(Overview[a],10))</f>
        <v>7.8569664975571135E-2</v>
      </c>
      <c r="O47" s="3">
        <f t="shared" si="5"/>
        <v>3.4290713364389103E-4</v>
      </c>
      <c r="P47" s="14">
        <f t="shared" si="2"/>
        <v>6.8581426728778201</v>
      </c>
    </row>
    <row r="48" spans="1:16" x14ac:dyDescent="0.25">
      <c r="A48" s="2">
        <v>4.5000000000000004E-4</v>
      </c>
      <c r="B48" s="3" cm="1">
        <f t="array" ref="B48">SQRT((4*POWER(ttotal10,2)*st_a[[#This Row],[s(ta)]])/(9*s_t))</f>
        <v>2.5819888974716116E-2</v>
      </c>
      <c r="C48" s="3">
        <f t="shared" si="3"/>
        <v>2.8849943454709731E-4</v>
      </c>
      <c r="D48" s="14">
        <f t="shared" si="0"/>
        <v>5.769988690941946</v>
      </c>
      <c r="G48" s="8">
        <v>1.2000000000000001E-3</v>
      </c>
      <c r="H48" s="3" cm="1">
        <f t="array" ref="H48">((2*ttotal10)/(3*s_t))*(st_b[[#This Row],[s(tb)]]+(s_t/4))</f>
        <v>4.3333333333333335E-2</v>
      </c>
      <c r="I48" s="3">
        <f t="shared" si="4"/>
        <v>2.2222222222222088E-4</v>
      </c>
      <c r="J48" s="14">
        <f t="shared" si="1"/>
        <v>4.4444444444444171</v>
      </c>
      <c r="M48" s="8">
        <v>2.7000000000000001E-3</v>
      </c>
      <c r="N48" s="3">
        <f>(-INDEX(Overview[b],10)+SQRT(POWER(INDEX(Overview[b],10),2)-(4*INDEX(Overview[a],10)*st_c[[#This Row],[c]])))/(2*INDEX(Overview[a],10))</f>
        <v>7.891814893221076E-2</v>
      </c>
      <c r="O48" s="3">
        <f t="shared" si="5"/>
        <v>3.4848395663962528E-4</v>
      </c>
      <c r="P48" s="14">
        <f t="shared" si="2"/>
        <v>6.9696791327925052</v>
      </c>
    </row>
    <row r="49" spans="1:16" x14ac:dyDescent="0.25">
      <c r="A49" s="2">
        <v>4.6000000000000001E-4</v>
      </c>
      <c r="B49" s="3" cm="1">
        <f t="array" ref="B49">SQRT((4*POWER(ttotal10,2)*st_a[[#This Row],[s(ta)]])/(9*s_t))</f>
        <v>2.6105200276601626E-2</v>
      </c>
      <c r="C49" s="3">
        <f t="shared" si="3"/>
        <v>2.8531130188550954E-4</v>
      </c>
      <c r="D49" s="14">
        <f t="shared" si="0"/>
        <v>5.7062260377101905</v>
      </c>
      <c r="G49" s="8">
        <v>1.2100000000000001E-3</v>
      </c>
      <c r="H49" s="3" cm="1">
        <f t="array" ref="H49">((2*ttotal10)/(3*s_t))*(st_b[[#This Row],[s(tb)]]+(s_t/4))</f>
        <v>4.3555555555555556E-2</v>
      </c>
      <c r="I49" s="3">
        <f t="shared" si="4"/>
        <v>2.2222222222222088E-4</v>
      </c>
      <c r="J49" s="14">
        <f t="shared" si="1"/>
        <v>4.4444444444444171</v>
      </c>
      <c r="M49" s="8">
        <v>2.7100000000000002E-3</v>
      </c>
      <c r="N49" s="3">
        <f>(-INDEX(Overview[b],10)+SQRT(POWER(INDEX(Overview[b],10),2)-(4*INDEX(Overview[a],10)*st_c[[#This Row],[c]])))/(2*INDEX(Overview[a],10))</f>
        <v>7.9272490993135922E-2</v>
      </c>
      <c r="O49" s="3">
        <f t="shared" si="5"/>
        <v>3.543420609251613E-4</v>
      </c>
      <c r="P49" s="14">
        <f t="shared" si="2"/>
        <v>7.0868412185032259</v>
      </c>
    </row>
    <row r="50" spans="1:16" x14ac:dyDescent="0.25">
      <c r="A50" s="2">
        <v>4.7000000000000004E-4</v>
      </c>
      <c r="B50" s="3" cm="1">
        <f t="array" ref="B50">SQRT((4*POWER(ttotal10,2)*st_a[[#This Row],[s(ta)]])/(9*s_t))</f>
        <v>2.6387426860084266E-2</v>
      </c>
      <c r="C50" s="3">
        <f t="shared" si="3"/>
        <v>2.8222658348264068E-4</v>
      </c>
      <c r="D50" s="14">
        <f t="shared" si="0"/>
        <v>5.6445316696528129</v>
      </c>
      <c r="G50" s="8">
        <v>1.2200000000000002E-3</v>
      </c>
      <c r="H50" s="3" cm="1">
        <f t="array" ref="H50">((2*ttotal10)/(3*s_t))*(st_b[[#This Row],[s(tb)]]+(s_t/4))</f>
        <v>4.3777777777777784E-2</v>
      </c>
      <c r="I50" s="3">
        <f t="shared" si="4"/>
        <v>2.2222222222222782E-4</v>
      </c>
      <c r="J50" s="14">
        <f t="shared" si="1"/>
        <v>4.4444444444445566</v>
      </c>
      <c r="M50" s="8">
        <v>2.7200000000000002E-3</v>
      </c>
      <c r="N50" s="3">
        <f>(-INDEX(Overview[b],10)+SQRT(POWER(INDEX(Overview[b],10),2)-(4*INDEX(Overview[a],10)*st_c[[#This Row],[c]])))/(2*INDEX(Overview[a],10))</f>
        <v>7.9632996911307319E-2</v>
      </c>
      <c r="O50" s="3">
        <f t="shared" si="5"/>
        <v>3.605059181713971E-4</v>
      </c>
      <c r="P50" s="14">
        <f t="shared" si="2"/>
        <v>7.2101183634279415</v>
      </c>
    </row>
    <row r="51" spans="1:16" x14ac:dyDescent="0.25">
      <c r="A51" s="2">
        <v>4.8000000000000007E-4</v>
      </c>
      <c r="B51" s="3" cm="1">
        <f t="array" ref="B51">SQRT((4*POWER(ttotal10,2)*st_a[[#This Row],[s(ta)]])/(9*s_t))</f>
        <v>2.6666666666666672E-2</v>
      </c>
      <c r="C51" s="3">
        <f t="shared" si="3"/>
        <v>2.792398065824056E-4</v>
      </c>
      <c r="D51" s="14">
        <f t="shared" si="0"/>
        <v>5.5847961316481118</v>
      </c>
      <c r="G51" s="8">
        <v>1.2300000000000002E-3</v>
      </c>
      <c r="H51" s="3" cm="1">
        <f t="array" ref="H51">((2*ttotal10)/(3*s_t))*(st_b[[#This Row],[s(tb)]]+(s_t/4))</f>
        <v>4.3999999999999997E-2</v>
      </c>
      <c r="I51" s="3">
        <f t="shared" si="4"/>
        <v>2.2222222222221394E-4</v>
      </c>
      <c r="J51" s="14">
        <f t="shared" si="1"/>
        <v>4.4444444444442786</v>
      </c>
      <c r="M51" s="8">
        <v>2.7300000000000002E-3</v>
      </c>
      <c r="N51" s="3">
        <f>(-INDEX(Overview[b],10)+SQRT(POWER(INDEX(Overview[b],10),2)-(4*INDEX(Overview[a],10)*st_c[[#This Row],[c]])))/(2*INDEX(Overview[a],10))</f>
        <v>7.9999999999999932E-2</v>
      </c>
      <c r="O51" s="3">
        <f t="shared" si="5"/>
        <v>3.6700308869261344E-4</v>
      </c>
      <c r="P51" s="14">
        <f t="shared" si="2"/>
        <v>7.3400617738522689</v>
      </c>
    </row>
    <row r="52" spans="1:16" x14ac:dyDescent="0.25">
      <c r="A52" s="2">
        <v>4.9000000000000009E-4</v>
      </c>
      <c r="B52" s="3" cm="1">
        <f t="array" ref="B52">SQRT((4*POWER(ttotal10,2)*st_a[[#This Row],[s(ta)]])/(9*s_t))</f>
        <v>2.6943012562182542E-2</v>
      </c>
      <c r="C52" s="3">
        <f t="shared" si="3"/>
        <v>2.7634589551587055E-4</v>
      </c>
      <c r="D52" s="14">
        <f t="shared" si="0"/>
        <v>5.5269179103174109</v>
      </c>
      <c r="G52" s="8">
        <v>1.24E-3</v>
      </c>
      <c r="H52" s="3" cm="1">
        <f t="array" ref="H52">((2*ttotal10)/(3*s_t))*(st_b[[#This Row],[s(tb)]]+(s_t/4))</f>
        <v>4.4222222222222218E-2</v>
      </c>
      <c r="I52" s="3">
        <f t="shared" si="4"/>
        <v>2.2222222222222088E-4</v>
      </c>
      <c r="J52" s="14">
        <f t="shared" si="1"/>
        <v>4.4444444444444171</v>
      </c>
      <c r="M52" s="8">
        <v>2.7400000000000002E-3</v>
      </c>
      <c r="N52" s="3">
        <f>(-INDEX(Overview[b],10)+SQRT(POWER(INDEX(Overview[b],10),2)-(4*INDEX(Overview[a],10)*st_c[[#This Row],[c]])))/(2*INDEX(Overview[a],10))</f>
        <v>8.0373864741493647E-2</v>
      </c>
      <c r="O52" s="3">
        <f t="shared" si="5"/>
        <v>3.7386474149371518E-4</v>
      </c>
      <c r="P52" s="14">
        <f t="shared" si="2"/>
        <v>7.4772948298743032</v>
      </c>
    </row>
    <row r="53" spans="1:16" x14ac:dyDescent="0.25">
      <c r="A53" s="2">
        <v>5.0000000000000001E-4</v>
      </c>
      <c r="B53" s="3" cm="1">
        <f t="array" ref="B53">SQRT((4*POWER(ttotal10,2)*st_a[[#This Row],[s(ta)]])/(9*s_t))</f>
        <v>2.7216552697590872E-2</v>
      </c>
      <c r="C53" s="3">
        <f t="shared" si="3"/>
        <v>2.7354013540832958E-4</v>
      </c>
      <c r="D53" s="14">
        <f t="shared" si="0"/>
        <v>5.4708027081665911</v>
      </c>
      <c r="G53" s="8">
        <v>1.25E-3</v>
      </c>
      <c r="H53" s="3" cm="1">
        <f t="array" ref="H53">((2*ttotal10)/(3*s_t))*(st_b[[#This Row],[s(tb)]]+(s_t/4))</f>
        <v>4.4444444444444446E-2</v>
      </c>
      <c r="I53" s="3">
        <f t="shared" si="4"/>
        <v>2.2222222222222782E-4</v>
      </c>
      <c r="J53" s="14">
        <f t="shared" si="1"/>
        <v>4.4444444444445566</v>
      </c>
      <c r="M53" s="8">
        <v>2.7500000000000003E-3</v>
      </c>
      <c r="N53" s="3">
        <f>(-INDEX(Overview[b],10)+SQRT(POWER(INDEX(Overview[b],10),2)-(4*INDEX(Overview[a],10)*st_c[[#This Row],[c]])))/(2*INDEX(Overview[a],10))</f>
        <v>8.0754991027012432E-2</v>
      </c>
      <c r="O53" s="3">
        <f t="shared" si="5"/>
        <v>3.8112628551878469E-4</v>
      </c>
      <c r="P53" s="14">
        <f t="shared" si="2"/>
        <v>7.6225257103756938</v>
      </c>
    </row>
    <row r="54" spans="1:16" x14ac:dyDescent="0.25">
      <c r="A54" s="2">
        <v>5.1000000000000004E-4</v>
      </c>
      <c r="B54" s="3" cm="1">
        <f t="array" ref="B54">SQRT((4*POWER(ttotal10,2)*st_a[[#This Row],[s(ta)]])/(9*s_t))</f>
        <v>2.7487370837451074E-2</v>
      </c>
      <c r="C54" s="3">
        <f t="shared" si="3"/>
        <v>2.7081813986020234E-4</v>
      </c>
      <c r="D54" s="14">
        <f t="shared" si="0"/>
        <v>5.4163627972040462</v>
      </c>
      <c r="G54" s="8">
        <v>1.2600000000000001E-3</v>
      </c>
      <c r="H54" s="3" cm="1">
        <f t="array" ref="H54">((2*ttotal10)/(3*s_t))*(st_b[[#This Row],[s(tb)]]+(s_t/4))</f>
        <v>4.4666666666666667E-2</v>
      </c>
      <c r="I54" s="3">
        <f t="shared" si="4"/>
        <v>2.2222222222222088E-4</v>
      </c>
      <c r="J54" s="14">
        <f t="shared" si="1"/>
        <v>4.4444444444444171</v>
      </c>
      <c r="M54" s="8">
        <v>2.7600000000000003E-3</v>
      </c>
      <c r="N54" s="3">
        <f>(-INDEX(Overview[b],10)+SQRT(POWER(INDEX(Overview[b],10),2)-(4*INDEX(Overview[a],10)*st_c[[#This Row],[c]])))/(2*INDEX(Overview[a],10))</f>
        <v>8.114381916835868E-2</v>
      </c>
      <c r="O54" s="3">
        <f t="shared" si="5"/>
        <v>3.8882814134624799E-4</v>
      </c>
      <c r="P54" s="14">
        <f t="shared" si="2"/>
        <v>7.7765628269249598</v>
      </c>
    </row>
    <row r="55" spans="1:16" x14ac:dyDescent="0.25">
      <c r="A55" s="2">
        <v>5.2000000000000006E-4</v>
      </c>
      <c r="B55" s="3" cm="1">
        <f t="array" ref="B55">SQRT((4*POWER(ttotal10,2)*st_a[[#This Row],[s(ta)]])/(9*s_t))</f>
        <v>2.7755546659548443E-2</v>
      </c>
      <c r="C55" s="3">
        <f t="shared" si="3"/>
        <v>2.6817582209736832E-4</v>
      </c>
      <c r="D55" s="14">
        <f t="shared" si="0"/>
        <v>5.3635164419473664</v>
      </c>
      <c r="G55" s="8">
        <v>1.2700000000000001E-3</v>
      </c>
      <c r="H55" s="3" cm="1">
        <f t="array" ref="H55">((2*ttotal10)/(3*s_t))*(st_b[[#This Row],[s(tb)]]+(s_t/4))</f>
        <v>4.4888888888888888E-2</v>
      </c>
      <c r="I55" s="3">
        <f t="shared" si="4"/>
        <v>2.2222222222222088E-4</v>
      </c>
      <c r="J55" s="14">
        <f t="shared" si="1"/>
        <v>4.4444444444444171</v>
      </c>
      <c r="M55" s="8">
        <v>2.7700000000000003E-3</v>
      </c>
      <c r="N55" s="3">
        <f>(-INDEX(Overview[b],10)+SQRT(POWER(INDEX(Overview[b],10),2)-(4*INDEX(Overview[a],10)*st_c[[#This Row],[c]])))/(2*INDEX(Overview[a],10))</f>
        <v>8.1540835860181987E-2</v>
      </c>
      <c r="O55" s="3">
        <f t="shared" si="5"/>
        <v>3.9701669182330701E-4</v>
      </c>
      <c r="P55" s="14">
        <f t="shared" si="2"/>
        <v>7.9403338364661398</v>
      </c>
    </row>
    <row r="56" spans="1:16" x14ac:dyDescent="0.25">
      <c r="A56" s="2">
        <v>5.3000000000000009E-4</v>
      </c>
      <c r="B56" s="3" cm="1">
        <f t="array" ref="B56">SQRT((4*POWER(ttotal10,2)*st_a[[#This Row],[s(ta)]])/(9*s_t))</f>
        <v>2.8021156028707764E-2</v>
      </c>
      <c r="C56" s="3">
        <f t="shared" si="3"/>
        <v>2.6560936915932115E-4</v>
      </c>
      <c r="D56" s="14">
        <f t="shared" si="0"/>
        <v>5.3121873831864228</v>
      </c>
      <c r="G56" s="8">
        <v>1.2800000000000001E-3</v>
      </c>
      <c r="H56" s="3" cm="1">
        <f t="array" ref="H56">((2*ttotal10)/(3*s_t))*(st_b[[#This Row],[s(tb)]]+(s_t/4))</f>
        <v>4.5111111111111109E-2</v>
      </c>
      <c r="I56" s="3">
        <f t="shared" si="4"/>
        <v>2.2222222222222088E-4</v>
      </c>
      <c r="J56" s="14">
        <f t="shared" si="1"/>
        <v>4.4444444444444171</v>
      </c>
      <c r="M56" s="8">
        <v>2.7800000000000004E-3</v>
      </c>
      <c r="N56" s="3">
        <f>(-INDEX(Overview[b],10)+SQRT(POWER(INDEX(Overview[b],10),2)-(4*INDEX(Overview[a],10)*st_c[[#This Row],[c]])))/(2*INDEX(Overview[a],10))</f>
        <v>8.1946581323031162E-2</v>
      </c>
      <c r="O56" s="3">
        <f t="shared" si="5"/>
        <v>4.0574546284917468E-4</v>
      </c>
      <c r="P56" s="14">
        <f t="shared" si="2"/>
        <v>8.1149092569834931</v>
      </c>
    </row>
    <row r="57" spans="1:16" x14ac:dyDescent="0.25">
      <c r="A57" s="2">
        <v>5.4000000000000001E-4</v>
      </c>
      <c r="B57" s="3" cm="1">
        <f t="array" ref="B57">SQRT((4*POWER(ttotal10,2)*st_a[[#This Row],[s(ta)]])/(9*s_t))</f>
        <v>2.8284271247461905E-2</v>
      </c>
      <c r="C57" s="3">
        <f t="shared" si="3"/>
        <v>2.6311521875414107E-4</v>
      </c>
      <c r="D57" s="14">
        <f t="shared" si="0"/>
        <v>5.2623043750828211</v>
      </c>
      <c r="G57" s="8">
        <v>1.2900000000000001E-3</v>
      </c>
      <c r="H57" s="3" cm="1">
        <f t="array" ref="H57">((2*ttotal10)/(3*s_t))*(st_b[[#This Row],[s(tb)]]+(s_t/4))</f>
        <v>4.5333333333333337E-2</v>
      </c>
      <c r="I57" s="3">
        <f t="shared" si="4"/>
        <v>2.2222222222222782E-4</v>
      </c>
      <c r="J57" s="14">
        <f t="shared" si="1"/>
        <v>4.4444444444445566</v>
      </c>
      <c r="M57" s="8">
        <v>2.7900000000000004E-3</v>
      </c>
      <c r="N57" s="3">
        <f>(-INDEX(Overview[b],10)+SQRT(POWER(INDEX(Overview[b],10),2)-(4*INDEX(Overview[a],10)*st_c[[#This Row],[c]])))/(2*INDEX(Overview[a],10))</f>
        <v>8.2361657926236023E-2</v>
      </c>
      <c r="O57" s="3">
        <f t="shared" si="5"/>
        <v>4.1507660320486139E-4</v>
      </c>
      <c r="P57" s="14">
        <f t="shared" si="2"/>
        <v>8.301532064097227</v>
      </c>
    </row>
    <row r="58" spans="1:16" x14ac:dyDescent="0.25">
      <c r="A58" s="2">
        <v>5.5000000000000003E-4</v>
      </c>
      <c r="B58" s="3" cm="1">
        <f t="array" ref="B58">SQRT((4*POWER(ttotal10,2)*st_a[[#This Row],[s(ta)]])/(9*s_t))</f>
        <v>2.8544961285922512E-2</v>
      </c>
      <c r="C58" s="3">
        <f t="shared" si="3"/>
        <v>2.6069003846060715E-4</v>
      </c>
      <c r="D58" s="14">
        <f t="shared" si="0"/>
        <v>5.2138007692121429</v>
      </c>
      <c r="G58" s="8">
        <v>1.3000000000000002E-3</v>
      </c>
      <c r="H58" s="3" cm="1">
        <f t="array" ref="H58">((2*ttotal10)/(3*s_t))*(st_b[[#This Row],[s(tb)]]+(s_t/4))</f>
        <v>4.5555555555555557E-2</v>
      </c>
      <c r="I58" s="3">
        <f t="shared" si="4"/>
        <v>2.2222222222222088E-4</v>
      </c>
      <c r="J58" s="14">
        <f t="shared" si="1"/>
        <v>4.4444444444444171</v>
      </c>
      <c r="M58" s="8">
        <v>2.8000000000000004E-3</v>
      </c>
      <c r="N58" s="3">
        <f>(-INDEX(Overview[b],10)+SQRT(POWER(INDEX(Overview[b],10),2)-(4*INDEX(Overview[a],10)*st_c[[#This Row],[c]])))/(2*INDEX(Overview[a],10))</f>
        <v>8.2786740683522528E-2</v>
      </c>
      <c r="O58" s="3">
        <f t="shared" si="5"/>
        <v>4.2508275728650458E-4</v>
      </c>
      <c r="P58" s="14">
        <f t="shared" si="2"/>
        <v>8.5016551457300906</v>
      </c>
    </row>
    <row r="59" spans="1:16" x14ac:dyDescent="0.25">
      <c r="A59" s="2">
        <v>5.6000000000000006E-4</v>
      </c>
      <c r="B59" s="3" cm="1">
        <f t="array" ref="B59">SQRT((4*POWER(ttotal10,2)*st_a[[#This Row],[s(ta)]])/(9*s_t))</f>
        <v>2.8803291992923825E-2</v>
      </c>
      <c r="C59" s="3">
        <f t="shared" si="3"/>
        <v>2.5833070700131272E-4</v>
      </c>
      <c r="D59" s="14">
        <f t="shared" si="0"/>
        <v>5.1666141400262537</v>
      </c>
      <c r="G59" s="8">
        <v>1.3100000000000002E-3</v>
      </c>
      <c r="H59" s="3" cm="1">
        <f t="array" ref="H59">((2*ttotal10)/(3*s_t))*(st_b[[#This Row],[s(tb)]]+(s_t/4))</f>
        <v>4.5777777777777778E-2</v>
      </c>
      <c r="I59" s="3">
        <f t="shared" si="4"/>
        <v>2.2222222222222088E-4</v>
      </c>
      <c r="J59" s="14">
        <f t="shared" si="1"/>
        <v>4.4444444444444171</v>
      </c>
      <c r="M59" s="8">
        <v>2.8100000000000004E-3</v>
      </c>
      <c r="N59" s="3">
        <f>(-INDEX(Overview[b],10)+SQRT(POWER(INDEX(Overview[b],10),2)-(4*INDEX(Overview[a],10)*st_c[[#This Row],[c]])))/(2*INDEX(Overview[a],10))</f>
        <v>8.3222590143842701E-2</v>
      </c>
      <c r="O59" s="3">
        <f t="shared" si="5"/>
        <v>4.3584946032017291E-4</v>
      </c>
      <c r="P59" s="14">
        <f t="shared" si="2"/>
        <v>8.7169892064034578</v>
      </c>
    </row>
    <row r="60" spans="1:16" x14ac:dyDescent="0.25">
      <c r="A60" s="2">
        <v>5.7000000000000009E-4</v>
      </c>
      <c r="B60" s="3" cm="1">
        <f t="array" ref="B60">SQRT((4*POWER(ttotal10,2)*st_a[[#This Row],[s(ta)]])/(9*s_t))</f>
        <v>2.9059326290271161E-2</v>
      </c>
      <c r="C60" s="3">
        <f t="shared" si="3"/>
        <v>2.5603429734733646E-4</v>
      </c>
      <c r="D60" s="14">
        <f t="shared" si="0"/>
        <v>5.120685946946729</v>
      </c>
      <c r="G60" s="8">
        <v>1.3200000000000002E-3</v>
      </c>
      <c r="H60" s="3" cm="1">
        <f t="array" ref="H60">((2*ttotal10)/(3*s_t))*(st_b[[#This Row],[s(tb)]]+(s_t/4))</f>
        <v>4.6000000000000006E-2</v>
      </c>
      <c r="I60" s="3">
        <f t="shared" si="4"/>
        <v>2.2222222222222782E-4</v>
      </c>
      <c r="J60" s="14">
        <f t="shared" si="1"/>
        <v>4.4444444444445566</v>
      </c>
      <c r="M60" s="8">
        <v>2.82E-3</v>
      </c>
      <c r="N60" s="3">
        <f>(-INDEX(Overview[b],10)+SQRT(POWER(INDEX(Overview[b],10),2)-(4*INDEX(Overview[a],10)*st_c[[#This Row],[c]])))/(2*INDEX(Overview[a],10))</f>
        <v>8.3670068381445389E-2</v>
      </c>
      <c r="O60" s="3">
        <f t="shared" si="5"/>
        <v>4.4747823760268868E-4</v>
      </c>
      <c r="P60" s="14">
        <f t="shared" si="2"/>
        <v>8.9495647520537727</v>
      </c>
    </row>
    <row r="61" spans="1:16" x14ac:dyDescent="0.25">
      <c r="A61" s="2">
        <v>5.8E-4</v>
      </c>
      <c r="B61" s="3" cm="1">
        <f t="array" ref="B61">SQRT((4*POWER(ttotal10,2)*st_a[[#This Row],[s(ta)]])/(9*s_t))</f>
        <v>2.9313124351717602E-2</v>
      </c>
      <c r="C61" s="3">
        <f t="shared" si="3"/>
        <v>2.5379806144644121E-4</v>
      </c>
      <c r="D61" s="14">
        <f t="shared" si="0"/>
        <v>5.0759612289288238</v>
      </c>
      <c r="G61" s="8">
        <v>1.33E-3</v>
      </c>
      <c r="H61" s="3" cm="1">
        <f t="array" ref="H61">((2*ttotal10)/(3*s_t))*(st_b[[#This Row],[s(tb)]]+(s_t/4))</f>
        <v>4.6222222222222227E-2</v>
      </c>
      <c r="I61" s="3">
        <f t="shared" si="4"/>
        <v>2.2222222222222088E-4</v>
      </c>
      <c r="J61" s="14">
        <f t="shared" si="1"/>
        <v>4.4444444444444171</v>
      </c>
      <c r="M61" s="8">
        <v>2.8300000000000001E-3</v>
      </c>
      <c r="N61" s="3">
        <f>(-INDEX(Overview[b],10)+SQRT(POWER(INDEX(Overview[b],10),2)-(4*INDEX(Overview[a],10)*st_c[[#This Row],[c]])))/(2*INDEX(Overview[a],10))</f>
        <v>8.4130159047682451E-2</v>
      </c>
      <c r="O61" s="3">
        <f t="shared" si="5"/>
        <v>4.6009066623706185E-4</v>
      </c>
      <c r="P61" s="14">
        <f t="shared" si="2"/>
        <v>9.2018133247412361</v>
      </c>
    </row>
    <row r="62" spans="1:16" x14ac:dyDescent="0.25">
      <c r="A62" s="2">
        <v>5.9000000000000003E-4</v>
      </c>
      <c r="B62" s="3" cm="1">
        <f t="array" ref="B62">SQRT((4*POWER(ttotal10,2)*st_a[[#This Row],[s(ta)]])/(9*s_t))</f>
        <v>2.956474376811127E-2</v>
      </c>
      <c r="C62" s="3">
        <f t="shared" si="3"/>
        <v>2.5161941639366761E-4</v>
      </c>
      <c r="D62" s="14">
        <f t="shared" si="0"/>
        <v>5.0323883278733517</v>
      </c>
      <c r="G62" s="8">
        <v>1.34E-3</v>
      </c>
      <c r="H62" s="3" cm="1">
        <f t="array" ref="H62">((2*ttotal10)/(3*s_t))*(st_b[[#This Row],[s(tb)]]+(s_t/4))</f>
        <v>4.6444444444444441E-2</v>
      </c>
      <c r="I62" s="3">
        <f t="shared" si="4"/>
        <v>2.2222222222221394E-4</v>
      </c>
      <c r="J62" s="14">
        <f t="shared" si="1"/>
        <v>4.4444444444442786</v>
      </c>
      <c r="M62" s="8">
        <v>2.8400000000000001E-3</v>
      </c>
      <c r="N62" s="3">
        <f>(-INDEX(Overview[b],10)+SQRT(POWER(INDEX(Overview[b],10),2)-(4*INDEX(Overview[a],10)*st_c[[#This Row],[c]])))/(2*INDEX(Overview[a],10))</f>
        <v>8.4603992821609908E-2</v>
      </c>
      <c r="O62" s="3">
        <f t="shared" si="5"/>
        <v>4.7383377392745674E-4</v>
      </c>
      <c r="P62" s="14">
        <f t="shared" si="2"/>
        <v>9.4766754785491347</v>
      </c>
    </row>
    <row r="63" spans="1:16" x14ac:dyDescent="0.25">
      <c r="A63" s="2">
        <v>6.0000000000000006E-4</v>
      </c>
      <c r="B63" s="3" cm="1">
        <f t="array" ref="B63">SQRT((4*POWER(ttotal10,2)*st_a[[#This Row],[s(ta)]])/(9*s_t))</f>
        <v>2.9814239699997202E-2</v>
      </c>
      <c r="C63" s="3">
        <f t="shared" si="3"/>
        <v>2.4949593188593189E-4</v>
      </c>
      <c r="D63" s="14">
        <f t="shared" si="0"/>
        <v>4.9899186377186373</v>
      </c>
      <c r="G63" s="8">
        <v>1.3500000000000001E-3</v>
      </c>
      <c r="H63" s="3" cm="1">
        <f t="array" ref="H63">((2*ttotal10)/(3*s_t))*(st_b[[#This Row],[s(tb)]]+(s_t/4))</f>
        <v>4.6666666666666669E-2</v>
      </c>
      <c r="I63" s="3">
        <f t="shared" si="4"/>
        <v>2.2222222222222782E-4</v>
      </c>
      <c r="J63" s="14">
        <f t="shared" si="1"/>
        <v>4.4444444444445566</v>
      </c>
      <c r="M63" s="8">
        <v>2.8500000000000001E-3</v>
      </c>
      <c r="N63" s="3">
        <f>(-INDEX(Overview[b],10)+SQRT(POWER(INDEX(Overview[b],10),2)-(4*INDEX(Overview[a],10)*st_c[[#This Row],[c]])))/(2*INDEX(Overview[a],10))</f>
        <v>8.5092880150001313E-2</v>
      </c>
      <c r="O63" s="3">
        <f t="shared" si="5"/>
        <v>4.888873283914047E-4</v>
      </c>
      <c r="P63" s="14">
        <f t="shared" si="2"/>
        <v>9.7777465678280926</v>
      </c>
    </row>
    <row r="64" spans="1:16" x14ac:dyDescent="0.25">
      <c r="A64" s="2">
        <v>6.1000000000000008E-4</v>
      </c>
      <c r="B64" s="3" cm="1">
        <f t="array" ref="B64">SQRT((4*POWER(ttotal10,2)*st_a[[#This Row],[s(ta)]])/(9*s_t))</f>
        <v>3.0061665018819302E-2</v>
      </c>
      <c r="C64" s="3">
        <f t="shared" si="3"/>
        <v>2.474253188220997E-4</v>
      </c>
      <c r="D64" s="14">
        <f t="shared" si="0"/>
        <v>4.9485063764419941</v>
      </c>
      <c r="G64" s="8">
        <v>1.3600000000000001E-3</v>
      </c>
      <c r="H64" s="3" cm="1">
        <f t="array" ref="H64">((2*ttotal10)/(3*s_t))*(st_b[[#This Row],[s(tb)]]+(s_t/4))</f>
        <v>4.6888888888888883E-2</v>
      </c>
      <c r="I64" s="3">
        <f t="shared" si="4"/>
        <v>2.2222222222221394E-4</v>
      </c>
      <c r="J64" s="14">
        <f t="shared" si="1"/>
        <v>4.4444444444442786</v>
      </c>
      <c r="M64" s="8">
        <v>2.8600000000000001E-3</v>
      </c>
      <c r="N64" s="3">
        <f>(-INDEX(Overview[b],10)+SQRT(POWER(INDEX(Overview[b],10),2)-(4*INDEX(Overview[a],10)*st_c[[#This Row],[c]])))/(2*INDEX(Overview[a],10))</f>
        <v>8.5598354003537991E-2</v>
      </c>
      <c r="O64" s="3">
        <f t="shared" si="5"/>
        <v>5.0547385353667817E-4</v>
      </c>
      <c r="P64" s="14">
        <f t="shared" si="2"/>
        <v>10.109477070733563</v>
      </c>
    </row>
    <row r="65" spans="1:16" x14ac:dyDescent="0.25">
      <c r="A65" s="2">
        <v>6.2E-4</v>
      </c>
      <c r="B65" s="3" cm="1">
        <f t="array" ref="B65">SQRT((4*POWER(ttotal10,2)*st_a[[#This Row],[s(ta)]])/(9*s_t))</f>
        <v>3.0307070437746352E-2</v>
      </c>
      <c r="C65" s="3">
        <f t="shared" si="3"/>
        <v>2.4540541892704992E-4</v>
      </c>
      <c r="D65" s="14">
        <f t="shared" si="0"/>
        <v>4.908108378540998</v>
      </c>
      <c r="G65" s="8">
        <v>1.3700000000000001E-3</v>
      </c>
      <c r="H65" s="3" cm="1">
        <f t="array" ref="H65">((2*ttotal10)/(3*s_t))*(st_b[[#This Row],[s(tb)]]+(s_t/4))</f>
        <v>4.7111111111111117E-2</v>
      </c>
      <c r="I65" s="3">
        <f t="shared" si="4"/>
        <v>2.2222222222223476E-4</v>
      </c>
      <c r="J65" s="14">
        <f t="shared" si="1"/>
        <v>4.4444444444446951</v>
      </c>
      <c r="M65" s="8">
        <v>2.8700000000000002E-3</v>
      </c>
      <c r="N65" s="3">
        <f>(-INDEX(Overview[b],10)+SQRT(POWER(INDEX(Overview[b],10),2)-(4*INDEX(Overview[a],10)*st_c[[#This Row],[c]])))/(2*INDEX(Overview[a],10))</f>
        <v>8.6122226670225663E-2</v>
      </c>
      <c r="O65" s="3">
        <f t="shared" si="5"/>
        <v>5.2387266668767196E-4</v>
      </c>
      <c r="P65" s="14">
        <f t="shared" si="2"/>
        <v>10.477453333753438</v>
      </c>
    </row>
    <row r="66" spans="1:16" x14ac:dyDescent="0.25">
      <c r="A66" s="2">
        <v>6.3000000000000003E-4</v>
      </c>
      <c r="B66" s="3" cm="1">
        <f t="array" ref="B66">SQRT((4*POWER(ttotal10,2)*st_a[[#This Row],[s(ta)]])/(9*s_t))</f>
        <v>3.0550504633038936E-2</v>
      </c>
      <c r="C66" s="3">
        <f t="shared" si="3"/>
        <v>2.4343419529258489E-4</v>
      </c>
      <c r="D66" s="14">
        <f t="shared" si="0"/>
        <v>4.8686839058516975</v>
      </c>
      <c r="G66" s="8">
        <v>1.3800000000000002E-3</v>
      </c>
      <c r="H66" s="3" cm="1">
        <f t="array" ref="H66">((2*ttotal10)/(3*s_t))*(st_b[[#This Row],[s(tb)]]+(s_t/4))</f>
        <v>4.7333333333333331E-2</v>
      </c>
      <c r="I66" s="3">
        <f t="shared" si="4"/>
        <v>2.2222222222221394E-4</v>
      </c>
      <c r="J66" s="14">
        <f t="shared" si="1"/>
        <v>4.4444444444442786</v>
      </c>
      <c r="M66" s="8">
        <v>2.8800000000000002E-3</v>
      </c>
      <c r="N66" s="3">
        <f>(-INDEX(Overview[b],10)+SQRT(POWER(INDEX(Overview[b],10),2)-(4*INDEX(Overview[a],10)*st_c[[#This Row],[c]])))/(2*INDEX(Overview[a],10))</f>
        <v>8.66666666666666E-2</v>
      </c>
      <c r="O66" s="3">
        <f t="shared" si="5"/>
        <v>5.4443999644093743E-4</v>
      </c>
      <c r="P66" s="14">
        <f t="shared" si="2"/>
        <v>10.888799928818749</v>
      </c>
    </row>
    <row r="67" spans="1:16" x14ac:dyDescent="0.25">
      <c r="A67" s="2">
        <v>6.4000000000000005E-4</v>
      </c>
      <c r="B67" s="3" cm="1">
        <f t="array" ref="B67">SQRT((4*POWER(ttotal10,2)*st_a[[#This Row],[s(ta)]])/(9*s_t))</f>
        <v>3.0792014356780046E-2</v>
      </c>
      <c r="C67" s="3">
        <f t="shared" si="3"/>
        <v>2.4150972374110957E-4</v>
      </c>
      <c r="D67" s="14">
        <f t="shared" si="0"/>
        <v>4.830194474822191</v>
      </c>
      <c r="G67" s="8">
        <v>1.3900000000000002E-3</v>
      </c>
      <c r="H67" s="3" cm="1">
        <f t="array" ref="H67">((2*ttotal10)/(3*s_t))*(st_b[[#This Row],[s(tb)]]+(s_t/4))</f>
        <v>4.7555555555555566E-2</v>
      </c>
      <c r="I67" s="3">
        <f t="shared" si="4"/>
        <v>2.2222222222223476E-4</v>
      </c>
      <c r="J67" s="14">
        <f t="shared" si="1"/>
        <v>4.4444444444446951</v>
      </c>
      <c r="M67" s="8">
        <v>2.8900000000000002E-3</v>
      </c>
      <c r="N67" s="3">
        <f>(-INDEX(Overview[b],10)+SQRT(POWER(INDEX(Overview[b],10),2)-(4*INDEX(Overview[a],10)*st_c[[#This Row],[c]])))/(2*INDEX(Overview[a],10))</f>
        <v>8.7234305229915404E-2</v>
      </c>
      <c r="O67" s="3">
        <f t="shared" si="5"/>
        <v>5.6763856324880402E-4</v>
      </c>
      <c r="P67" s="14">
        <f t="shared" si="2"/>
        <v>11.352771264976079</v>
      </c>
    </row>
    <row r="68" spans="1:16" x14ac:dyDescent="0.25">
      <c r="A68" s="2">
        <v>6.5000000000000008E-4</v>
      </c>
      <c r="B68" s="3" cm="1">
        <f t="array" ref="B68">SQRT((4*POWER(ttotal10,2)*st_a[[#This Row],[s(ta)]])/(9*s_t))</f>
        <v>3.1031644541708765E-2</v>
      </c>
      <c r="C68" s="3">
        <f t="shared" si="3"/>
        <v>2.3963018492871926E-4</v>
      </c>
      <c r="D68" s="14">
        <f t="shared" ref="D68:D78" si="6">C68/0.00005</f>
        <v>4.7926036985743847</v>
      </c>
      <c r="G68" s="8">
        <v>1.4000000000000002E-3</v>
      </c>
      <c r="H68" s="3" cm="1">
        <f t="array" ref="H68">((2*ttotal10)/(3*s_t))*(st_b[[#This Row],[s(tb)]]+(s_t/4))</f>
        <v>4.7777777777777773E-2</v>
      </c>
      <c r="I68" s="3">
        <f t="shared" si="4"/>
        <v>2.22222222222207E-4</v>
      </c>
      <c r="J68" s="14">
        <f t="shared" ref="J68:J131" si="7">I68/0.00005</f>
        <v>4.44444444444414</v>
      </c>
      <c r="M68" s="8">
        <v>2.9000000000000002E-3</v>
      </c>
      <c r="N68" s="3">
        <f>(-INDEX(Overview[b],10)+SQRT(POWER(INDEX(Overview[b],10),2)-(4*INDEX(Overview[a],10)*st_c[[#This Row],[c]])))/(2*INDEX(Overview[a],10))</f>
        <v>8.7828387610996192E-2</v>
      </c>
      <c r="O68" s="3">
        <f t="shared" si="5"/>
        <v>5.940823810807877E-4</v>
      </c>
      <c r="P68" s="14">
        <f t="shared" ref="P68:P78" si="8">O68/0.00005</f>
        <v>11.881647621615754</v>
      </c>
    </row>
    <row r="69" spans="1:16" x14ac:dyDescent="0.25">
      <c r="A69" s="2">
        <v>6.600000000000001E-4</v>
      </c>
      <c r="B69" s="3" cm="1">
        <f t="array" ref="B69">SQRT((4*POWER(ttotal10,2)*st_a[[#This Row],[s(ta)]])/(9*s_t))</f>
        <v>3.1269438398822867E-2</v>
      </c>
      <c r="C69" s="3">
        <f t="shared" ref="C69:C78" si="9">B69-B68</f>
        <v>2.3779385711410195E-4</v>
      </c>
      <c r="D69" s="14">
        <f t="shared" si="6"/>
        <v>4.7558771422820385</v>
      </c>
      <c r="G69" s="8">
        <v>1.41E-3</v>
      </c>
      <c r="H69" s="3" cm="1">
        <f t="array" ref="H69">((2*ttotal10)/(3*s_t))*(st_b[[#This Row],[s(tb)]]+(s_t/4))</f>
        <v>4.8000000000000001E-2</v>
      </c>
      <c r="I69" s="3">
        <f t="shared" ref="I69:I132" si="10">H69-H68</f>
        <v>2.2222222222222782E-4</v>
      </c>
      <c r="J69" s="14">
        <f t="shared" si="7"/>
        <v>4.4444444444445566</v>
      </c>
      <c r="M69" s="8">
        <v>2.9100000000000003E-3</v>
      </c>
      <c r="N69" s="3">
        <f>(-INDEX(Overview[b],10)+SQRT(POWER(INDEX(Overview[b],10),2)-(4*INDEX(Overview[a],10)*st_c[[#This Row],[c]])))/(2*INDEX(Overview[a],10))</f>
        <v>8.8452994616207342E-2</v>
      </c>
      <c r="O69" s="3">
        <f t="shared" ref="O69:O78" si="11">N69-N68</f>
        <v>6.246070052111502E-4</v>
      </c>
      <c r="P69" s="14">
        <f t="shared" si="8"/>
        <v>12.492140104223003</v>
      </c>
    </row>
    <row r="70" spans="1:16" x14ac:dyDescent="0.25">
      <c r="A70" s="2">
        <v>6.7000000000000002E-4</v>
      </c>
      <c r="B70" s="3" cm="1">
        <f t="array" ref="B70">SQRT((4*POWER(ttotal10,2)*st_a[[#This Row],[s(ta)]])/(9*s_t))</f>
        <v>3.1505437508350727E-2</v>
      </c>
      <c r="C70" s="3">
        <f t="shared" si="9"/>
        <v>2.3599910952785963E-4</v>
      </c>
      <c r="D70" s="14">
        <f t="shared" si="6"/>
        <v>4.7199821905571921</v>
      </c>
      <c r="G70" s="8">
        <v>1.42E-3</v>
      </c>
      <c r="H70" s="3" cm="1">
        <f t="array" ref="H70">((2*ttotal10)/(3*s_t))*(st_b[[#This Row],[s(tb)]]+(s_t/4))</f>
        <v>4.8222222222222222E-2</v>
      </c>
      <c r="I70" s="3">
        <f t="shared" si="10"/>
        <v>2.2222222222222088E-4</v>
      </c>
      <c r="J70" s="14">
        <f t="shared" si="7"/>
        <v>4.4444444444444171</v>
      </c>
      <c r="M70" s="8">
        <v>2.9200000000000003E-3</v>
      </c>
      <c r="N70" s="3">
        <f>(-INDEX(Overview[b],10)+SQRT(POWER(INDEX(Overview[b],10),2)-(4*INDEX(Overview[a],10)*st_c[[#This Row],[c]])))/(2*INDEX(Overview[a],10))</f>
        <v>8.9113378920963576E-2</v>
      </c>
      <c r="O70" s="3">
        <f t="shared" si="11"/>
        <v>6.6038430475623411E-4</v>
      </c>
      <c r="P70" s="14">
        <f t="shared" si="8"/>
        <v>13.207686095124682</v>
      </c>
    </row>
    <row r="71" spans="1:16" x14ac:dyDescent="0.25">
      <c r="A71" s="2">
        <v>6.8000000000000005E-4</v>
      </c>
      <c r="B71" s="3" cm="1">
        <f t="array" ref="B71">SQRT((4*POWER(ttotal10,2)*st_a[[#This Row],[s(ta)]])/(9*s_t))</f>
        <v>3.1739681904634894E-2</v>
      </c>
      <c r="C71" s="3">
        <f t="shared" si="9"/>
        <v>2.3424439628416671E-4</v>
      </c>
      <c r="D71" s="14">
        <f t="shared" si="6"/>
        <v>4.6848879256833342</v>
      </c>
      <c r="G71" s="8">
        <v>1.4300000000000001E-3</v>
      </c>
      <c r="H71" s="3" cm="1">
        <f t="array" ref="H71">((2*ttotal10)/(3*s_t))*(st_b[[#This Row],[s(tb)]]+(s_t/4))</f>
        <v>4.8444444444444443E-2</v>
      </c>
      <c r="I71" s="3">
        <f t="shared" si="10"/>
        <v>2.2222222222222088E-4</v>
      </c>
      <c r="J71" s="14">
        <f t="shared" si="7"/>
        <v>4.4444444444444171</v>
      </c>
      <c r="M71" s="8">
        <v>2.9300000000000003E-3</v>
      </c>
      <c r="N71" s="3">
        <f>(-INDEX(Overview[b],10)+SQRT(POWER(INDEX(Overview[b],10),2)-(4*INDEX(Overview[a],10)*st_c[[#This Row],[c]])))/(2*INDEX(Overview[a],10))</f>
        <v>8.9816498455653579E-2</v>
      </c>
      <c r="O71" s="3">
        <f t="shared" si="11"/>
        <v>7.0311953469000266E-4</v>
      </c>
      <c r="P71" s="14">
        <f t="shared" si="8"/>
        <v>14.062390693800053</v>
      </c>
    </row>
    <row r="72" spans="1:16" x14ac:dyDescent="0.25">
      <c r="A72" s="2">
        <v>6.9000000000000008E-4</v>
      </c>
      <c r="B72" s="3" cm="1">
        <f t="array" ref="B72">SQRT((4*POWER(ttotal10,2)*st_a[[#This Row],[s(ta)]])/(9*s_t))</f>
        <v>3.1972210155418138E-2</v>
      </c>
      <c r="C72" s="3">
        <f t="shared" si="9"/>
        <v>2.3252825078324407E-4</v>
      </c>
      <c r="D72" s="14">
        <f t="shared" si="6"/>
        <v>4.6505650156648812</v>
      </c>
      <c r="G72" s="8">
        <v>1.4400000000000001E-3</v>
      </c>
      <c r="H72" s="3" cm="1">
        <f t="array" ref="H72">((2*ttotal10)/(3*s_t))*(st_b[[#This Row],[s(tb)]]+(s_t/4))</f>
        <v>4.8666666666666671E-2</v>
      </c>
      <c r="I72" s="3">
        <f t="shared" si="10"/>
        <v>2.2222222222222782E-4</v>
      </c>
      <c r="J72" s="14">
        <f t="shared" si="7"/>
        <v>4.4444444444445566</v>
      </c>
      <c r="M72" s="8">
        <v>2.9400000000000003E-3</v>
      </c>
      <c r="N72" s="3">
        <f>(-INDEX(Overview[b],10)+SQRT(POWER(INDEX(Overview[b],10),2)-(4*INDEX(Overview[a],10)*st_c[[#This Row],[c]])))/(2*INDEX(Overview[a],10))</f>
        <v>9.0571909584179225E-2</v>
      </c>
      <c r="O72" s="3">
        <f t="shared" si="11"/>
        <v>7.5541112852564596E-4</v>
      </c>
      <c r="P72" s="14">
        <f t="shared" si="8"/>
        <v>15.108222570512918</v>
      </c>
    </row>
    <row r="73" spans="1:16" x14ac:dyDescent="0.25">
      <c r="A73" s="2">
        <v>7.000000000000001E-4</v>
      </c>
      <c r="B73" s="3" cm="1">
        <f t="array" ref="B73">SQRT((4*POWER(ttotal10,2)*st_a[[#This Row],[s(ta)]])/(9*s_t))</f>
        <v>3.2203059435976539E-2</v>
      </c>
      <c r="C73" s="3">
        <f t="shared" si="9"/>
        <v>2.3084928055840115E-4</v>
      </c>
      <c r="D73" s="14">
        <f t="shared" si="6"/>
        <v>4.6169856111680225</v>
      </c>
      <c r="G73" s="8">
        <v>1.4500000000000001E-3</v>
      </c>
      <c r="H73" s="3" cm="1">
        <f t="array" ref="H73">((2*ttotal10)/(3*s_t))*(st_b[[#This Row],[s(tb)]]+(s_t/4))</f>
        <v>4.8888888888888891E-2</v>
      </c>
      <c r="I73" s="3">
        <f t="shared" si="10"/>
        <v>2.2222222222222088E-4</v>
      </c>
      <c r="J73" s="14">
        <f t="shared" si="7"/>
        <v>4.4444444444444171</v>
      </c>
      <c r="M73" s="8">
        <v>2.9500000000000004E-3</v>
      </c>
      <c r="N73" s="3">
        <f>(-INDEX(Overview[b],10)+SQRT(POWER(INDEX(Overview[b],10),2)-(4*INDEX(Overview[a],10)*st_c[[#This Row],[c]])))/(2*INDEX(Overview[a],10))</f>
        <v>9.1393370341761107E-2</v>
      </c>
      <c r="O73" s="3">
        <f t="shared" si="11"/>
        <v>8.2146075758188219E-4</v>
      </c>
      <c r="P73" s="14">
        <f t="shared" si="8"/>
        <v>16.429215151637642</v>
      </c>
    </row>
    <row r="74" spans="1:16" x14ac:dyDescent="0.25">
      <c r="A74" s="2">
        <v>7.1000000000000002E-4</v>
      </c>
      <c r="B74" s="3" cm="1">
        <f t="array" ref="B74">SQRT((4*POWER(ttotal10,2)*st_a[[#This Row],[s(ta)]])/(9*s_t))</f>
        <v>3.2432265598503165E-2</v>
      </c>
      <c r="C74" s="3">
        <f t="shared" si="9"/>
        <v>2.2920616252662673E-4</v>
      </c>
      <c r="D74" s="14">
        <f t="shared" si="6"/>
        <v>4.5841232505325342</v>
      </c>
      <c r="G74" s="8">
        <v>1.4600000000000001E-3</v>
      </c>
      <c r="H74" s="3" cm="1">
        <f t="array" ref="H74">((2*ttotal10)/(3*s_t))*(st_b[[#This Row],[s(tb)]]+(s_t/4))</f>
        <v>4.9111111111111112E-2</v>
      </c>
      <c r="I74" s="3">
        <f t="shared" si="10"/>
        <v>2.2222222222222088E-4</v>
      </c>
      <c r="J74" s="14">
        <f t="shared" si="7"/>
        <v>4.4444444444444171</v>
      </c>
      <c r="M74" s="8">
        <v>2.9600000000000004E-3</v>
      </c>
      <c r="N74" s="3">
        <f>(-INDEX(Overview[b],10)+SQRT(POWER(INDEX(Overview[b],10),2)-(4*INDEX(Overview[a],10)*st_c[[#This Row],[c]])))/(2*INDEX(Overview[a],10))</f>
        <v>9.2301996410804887E-2</v>
      </c>
      <c r="O74" s="3">
        <f t="shared" si="11"/>
        <v>9.0862606904378029E-4</v>
      </c>
      <c r="P74" s="14">
        <f t="shared" si="8"/>
        <v>18.172521380875605</v>
      </c>
    </row>
    <row r="75" spans="1:16" x14ac:dyDescent="0.25">
      <c r="A75" s="2">
        <v>7.2000000000000005E-4</v>
      </c>
      <c r="B75" s="3" cm="1">
        <f t="array" ref="B75">SQRT((4*POWER(ttotal10,2)*st_a[[#This Row],[s(ta)]])/(9*s_t))</f>
        <v>3.2659863237109045E-2</v>
      </c>
      <c r="C75" s="3">
        <f t="shared" si="9"/>
        <v>2.275976386058795E-4</v>
      </c>
      <c r="D75" s="14">
        <f t="shared" si="6"/>
        <v>4.5519527721175903</v>
      </c>
      <c r="G75" s="8">
        <v>1.4700000000000002E-3</v>
      </c>
      <c r="H75" s="3" cm="1">
        <f t="array" ref="H75">((2*ttotal10)/(3*s_t))*(st_b[[#This Row],[s(tb)]]+(s_t/4))</f>
        <v>4.9333333333333333E-2</v>
      </c>
      <c r="I75" s="3">
        <f t="shared" si="10"/>
        <v>2.2222222222222088E-4</v>
      </c>
      <c r="J75" s="14">
        <f t="shared" si="7"/>
        <v>4.4444444444444171</v>
      </c>
      <c r="M75" s="8">
        <v>2.9700000000000004E-3</v>
      </c>
      <c r="N75" s="3">
        <f>(-INDEX(Overview[b],10)+SQRT(POWER(INDEX(Overview[b],10),2)-(4*INDEX(Overview[a],10)*st_c[[#This Row],[c]])))/(2*INDEX(Overview[a],10))</f>
        <v>9.3333333333333171E-2</v>
      </c>
      <c r="O75" s="3">
        <f t="shared" si="11"/>
        <v>1.0313369225282837E-3</v>
      </c>
      <c r="P75" s="14">
        <f t="shared" si="8"/>
        <v>20.626738450565671</v>
      </c>
    </row>
    <row r="76" spans="1:16" x14ac:dyDescent="0.25">
      <c r="A76" s="2">
        <v>7.3000000000000007E-4</v>
      </c>
      <c r="B76" s="3" cm="1">
        <f t="array" ref="B76">SQRT((4*POWER(ttotal10,2)*st_a[[#This Row],[s(ta)]])/(9*s_t))</f>
        <v>3.288588574877499E-2</v>
      </c>
      <c r="C76" s="3">
        <f t="shared" si="9"/>
        <v>2.2602251166594506E-4</v>
      </c>
      <c r="D76" s="14">
        <f t="shared" si="6"/>
        <v>4.5204502333189014</v>
      </c>
      <c r="G76" s="8">
        <v>1.4800000000000002E-3</v>
      </c>
      <c r="H76" s="3" cm="1">
        <f t="array" ref="H76">((2*ttotal10)/(3*s_t))*(st_b[[#This Row],[s(tb)]]+(s_t/4))</f>
        <v>4.9555555555555561E-2</v>
      </c>
      <c r="I76" s="3">
        <f t="shared" si="10"/>
        <v>2.2222222222222782E-4</v>
      </c>
      <c r="J76" s="14">
        <f t="shared" si="7"/>
        <v>4.4444444444445566</v>
      </c>
      <c r="M76" s="8">
        <v>2.9800000000000004E-3</v>
      </c>
      <c r="N76" s="3">
        <f>(-INDEX(Overview[b],10)+SQRT(POWER(INDEX(Overview[b],10),2)-(4*INDEX(Overview[a],10)*st_c[[#This Row],[c]])))/(2*INDEX(Overview[a],10))</f>
        <v>9.4556689460481597E-2</v>
      </c>
      <c r="O76" s="3">
        <f t="shared" si="11"/>
        <v>1.2233561271484256E-3</v>
      </c>
      <c r="P76" s="14">
        <f t="shared" si="8"/>
        <v>24.467122542968511</v>
      </c>
    </row>
    <row r="77" spans="1:16" x14ac:dyDescent="0.25">
      <c r="A77" s="2">
        <v>7.400000000000001E-4</v>
      </c>
      <c r="B77" s="3" cm="1">
        <f t="array" ref="B77">SQRT((4*POWER(ttotal10,2)*st_a[[#This Row],[s(ta)]])/(9*s_t))</f>
        <v>3.311036539055854E-2</v>
      </c>
      <c r="C77" s="3">
        <f t="shared" si="9"/>
        <v>2.2447964178354957E-4</v>
      </c>
      <c r="D77" s="14">
        <f t="shared" si="6"/>
        <v>4.4895928356709911</v>
      </c>
      <c r="G77" s="8">
        <v>1.4900000000000002E-3</v>
      </c>
      <c r="H77" s="3" cm="1">
        <f t="array" ref="H77">((2*ttotal10)/(3*s_t))*(st_b[[#This Row],[s(tb)]]+(s_t/4))</f>
        <v>4.9777777777777782E-2</v>
      </c>
      <c r="I77" s="3">
        <f t="shared" si="10"/>
        <v>2.2222222222222088E-4</v>
      </c>
      <c r="J77" s="14">
        <f t="shared" si="7"/>
        <v>4.4444444444444171</v>
      </c>
      <c r="M77" s="8">
        <v>2.99E-3</v>
      </c>
      <c r="N77" s="3">
        <f>(-INDEX(Overview[b],10)+SQRT(POWER(INDEX(Overview[b],10),2)-(4*INDEX(Overview[a],10)*st_c[[#This Row],[c]])))/(2*INDEX(Overview[a],10))</f>
        <v>9.6150998205402072E-2</v>
      </c>
      <c r="O77" s="3">
        <f t="shared" si="11"/>
        <v>1.5943087449204751E-3</v>
      </c>
      <c r="P77" s="14">
        <f t="shared" si="8"/>
        <v>31.8861748984095</v>
      </c>
    </row>
    <row r="78" spans="1:16" x14ac:dyDescent="0.25">
      <c r="A78" s="2">
        <v>7.5000000000000002E-4</v>
      </c>
      <c r="B78" s="3" cm="1">
        <f t="array" ref="B78">SQRT((4*POWER(ttotal10,2)*st_a[[#This Row],[s(ta)]])/(9*s_t))</f>
        <v>3.333333333333334E-2</v>
      </c>
      <c r="C78" s="3">
        <f t="shared" si="9"/>
        <v>2.229679427748002E-4</v>
      </c>
      <c r="D78" s="14">
        <f t="shared" si="6"/>
        <v>4.4593588554960037</v>
      </c>
      <c r="G78" s="8">
        <v>1.5E-3</v>
      </c>
      <c r="H78" s="3" cm="1">
        <f t="array" ref="H78">((2*ttotal10)/(3*s_t))*(st_b[[#This Row],[s(tb)]]+(s_t/4))</f>
        <v>0.05</v>
      </c>
      <c r="I78" s="3">
        <f t="shared" si="10"/>
        <v>2.2222222222222088E-4</v>
      </c>
      <c r="J78" s="14">
        <f t="shared" si="7"/>
        <v>4.4444444444444171</v>
      </c>
      <c r="M78" s="8">
        <v>3.0000000000000001E-3</v>
      </c>
      <c r="N78" s="3">
        <f>(-INDEX(Overview[b],10)+SQRT(POWER(INDEX(Overview[b],10),2)-(4*INDEX(Overview[a],10)*st_c[[#This Row],[c]])))/(2*INDEX(Overview[a],10))</f>
        <v>9.9999998048757033E-2</v>
      </c>
      <c r="O78" s="3">
        <f t="shared" si="11"/>
        <v>3.848999843354961E-3</v>
      </c>
      <c r="P78" s="14">
        <f t="shared" si="8"/>
        <v>76.979996867099217</v>
      </c>
    </row>
    <row r="79" spans="1:16" x14ac:dyDescent="0.25">
      <c r="G79" s="8">
        <v>1.5100000000000001E-3</v>
      </c>
      <c r="H79" s="3" cm="1">
        <f t="array" ref="H79">((2*ttotal10)/(3*s_t))*(st_b[[#This Row],[s(tb)]]+(s_t/4))</f>
        <v>5.0222222222222217E-2</v>
      </c>
      <c r="I79" s="3">
        <f t="shared" si="10"/>
        <v>2.2222222222221394E-4</v>
      </c>
      <c r="J79" s="14">
        <f t="shared" si="7"/>
        <v>4.4444444444442786</v>
      </c>
    </row>
    <row r="80" spans="1:16" x14ac:dyDescent="0.25">
      <c r="G80" s="8">
        <v>1.5200000000000001E-3</v>
      </c>
      <c r="H80" s="3" cm="1">
        <f t="array" ref="H80">((2*ttotal10)/(3*s_t))*(st_b[[#This Row],[s(tb)]]+(s_t/4))</f>
        <v>5.0444444444444451E-2</v>
      </c>
      <c r="I80" s="3">
        <f t="shared" si="10"/>
        <v>2.2222222222223476E-4</v>
      </c>
      <c r="J80" s="14">
        <f t="shared" si="7"/>
        <v>4.4444444444446951</v>
      </c>
    </row>
    <row r="81" spans="7:10" x14ac:dyDescent="0.25">
      <c r="G81" s="8">
        <v>1.5300000000000001E-3</v>
      </c>
      <c r="H81" s="3" cm="1">
        <f t="array" ref="H81">((2*ttotal10)/(3*s_t))*(st_b[[#This Row],[s(tb)]]+(s_t/4))</f>
        <v>5.0666666666666665E-2</v>
      </c>
      <c r="I81" s="3">
        <f t="shared" si="10"/>
        <v>2.2222222222221394E-4</v>
      </c>
      <c r="J81" s="14">
        <f t="shared" si="7"/>
        <v>4.4444444444442786</v>
      </c>
    </row>
    <row r="82" spans="7:10" x14ac:dyDescent="0.25">
      <c r="G82" s="8">
        <v>1.5400000000000001E-3</v>
      </c>
      <c r="H82" s="3" cm="1">
        <f t="array" ref="H82">((2*ttotal10)/(3*s_t))*(st_b[[#This Row],[s(tb)]]+(s_t/4))</f>
        <v>5.0888888888888893E-2</v>
      </c>
      <c r="I82" s="3">
        <f t="shared" si="10"/>
        <v>2.2222222222222782E-4</v>
      </c>
      <c r="J82" s="14">
        <f t="shared" si="7"/>
        <v>4.4444444444445566</v>
      </c>
    </row>
    <row r="83" spans="7:10" x14ac:dyDescent="0.25">
      <c r="G83" s="8">
        <v>1.5500000000000002E-3</v>
      </c>
      <c r="H83" s="3" cm="1">
        <f t="array" ref="H83">((2*ttotal10)/(3*s_t))*(st_b[[#This Row],[s(tb)]]+(s_t/4))</f>
        <v>5.1111111111111107E-2</v>
      </c>
      <c r="I83" s="3">
        <f t="shared" si="10"/>
        <v>2.2222222222221394E-4</v>
      </c>
      <c r="J83" s="14">
        <f t="shared" si="7"/>
        <v>4.4444444444442786</v>
      </c>
    </row>
    <row r="84" spans="7:10" x14ac:dyDescent="0.25">
      <c r="G84" s="8">
        <v>1.5600000000000002E-3</v>
      </c>
      <c r="H84" s="3" cm="1">
        <f t="array" ref="H84">((2*ttotal10)/(3*s_t))*(st_b[[#This Row],[s(tb)]]+(s_t/4))</f>
        <v>5.1333333333333342E-2</v>
      </c>
      <c r="I84" s="3">
        <f t="shared" si="10"/>
        <v>2.2222222222223476E-4</v>
      </c>
      <c r="J84" s="14">
        <f t="shared" si="7"/>
        <v>4.4444444444446951</v>
      </c>
    </row>
    <row r="85" spans="7:10" x14ac:dyDescent="0.25">
      <c r="G85" s="8">
        <v>1.5700000000000002E-3</v>
      </c>
      <c r="H85" s="3" cm="1">
        <f t="array" ref="H85">((2*ttotal10)/(3*s_t))*(st_b[[#This Row],[s(tb)]]+(s_t/4))</f>
        <v>5.1555555555555556E-2</v>
      </c>
      <c r="I85" s="3">
        <f t="shared" si="10"/>
        <v>2.2222222222221394E-4</v>
      </c>
      <c r="J85" s="14">
        <f t="shared" si="7"/>
        <v>4.4444444444442786</v>
      </c>
    </row>
    <row r="86" spans="7:10" x14ac:dyDescent="0.25">
      <c r="G86" s="8">
        <v>1.58E-3</v>
      </c>
      <c r="H86" s="3" cm="1">
        <f t="array" ref="H86">((2*ttotal10)/(3*s_t))*(st_b[[#This Row],[s(tb)]]+(s_t/4))</f>
        <v>5.1777777777777777E-2</v>
      </c>
      <c r="I86" s="3">
        <f t="shared" si="10"/>
        <v>2.2222222222222088E-4</v>
      </c>
      <c r="J86" s="14">
        <f t="shared" si="7"/>
        <v>4.4444444444444171</v>
      </c>
    </row>
    <row r="87" spans="7:10" x14ac:dyDescent="0.25">
      <c r="G87" s="8">
        <v>1.5900000000000001E-3</v>
      </c>
      <c r="H87" s="3" cm="1">
        <f t="array" ref="H87">((2*ttotal10)/(3*s_t))*(st_b[[#This Row],[s(tb)]]+(s_t/4))</f>
        <v>5.1999999999999998E-2</v>
      </c>
      <c r="I87" s="3">
        <f t="shared" si="10"/>
        <v>2.2222222222222088E-4</v>
      </c>
      <c r="J87" s="14">
        <f t="shared" si="7"/>
        <v>4.4444444444444171</v>
      </c>
    </row>
    <row r="88" spans="7:10" x14ac:dyDescent="0.25">
      <c r="G88" s="8">
        <v>1.6000000000000001E-3</v>
      </c>
      <c r="H88" s="3" cm="1">
        <f t="array" ref="H88">((2*ttotal10)/(3*s_t))*(st_b[[#This Row],[s(tb)]]+(s_t/4))</f>
        <v>5.2222222222222225E-2</v>
      </c>
      <c r="I88" s="3">
        <f t="shared" si="10"/>
        <v>2.2222222222222782E-4</v>
      </c>
      <c r="J88" s="14">
        <f t="shared" si="7"/>
        <v>4.4444444444445566</v>
      </c>
    </row>
    <row r="89" spans="7:10" x14ac:dyDescent="0.25">
      <c r="G89" s="8">
        <v>1.6100000000000001E-3</v>
      </c>
      <c r="H89" s="3" cm="1">
        <f t="array" ref="H89">((2*ttotal10)/(3*s_t))*(st_b[[#This Row],[s(tb)]]+(s_t/4))</f>
        <v>5.2444444444444446E-2</v>
      </c>
      <c r="I89" s="3">
        <f t="shared" si="10"/>
        <v>2.2222222222222088E-4</v>
      </c>
      <c r="J89" s="14">
        <f t="shared" si="7"/>
        <v>4.4444444444444171</v>
      </c>
    </row>
    <row r="90" spans="7:10" x14ac:dyDescent="0.25">
      <c r="G90" s="8">
        <v>1.6200000000000001E-3</v>
      </c>
      <c r="H90" s="3" cm="1">
        <f t="array" ref="H90">((2*ttotal10)/(3*s_t))*(st_b[[#This Row],[s(tb)]]+(s_t/4))</f>
        <v>5.2666666666666667E-2</v>
      </c>
      <c r="I90" s="3">
        <f t="shared" si="10"/>
        <v>2.2222222222222088E-4</v>
      </c>
      <c r="J90" s="14">
        <f t="shared" si="7"/>
        <v>4.4444444444444171</v>
      </c>
    </row>
    <row r="91" spans="7:10" x14ac:dyDescent="0.25">
      <c r="G91" s="8">
        <v>1.6300000000000002E-3</v>
      </c>
      <c r="H91" s="3" cm="1">
        <f t="array" ref="H91">((2*ttotal10)/(3*s_t))*(st_b[[#This Row],[s(tb)]]+(s_t/4))</f>
        <v>5.2888888888888888E-2</v>
      </c>
      <c r="I91" s="3">
        <f t="shared" si="10"/>
        <v>2.2222222222222088E-4</v>
      </c>
      <c r="J91" s="14">
        <f t="shared" si="7"/>
        <v>4.4444444444444171</v>
      </c>
    </row>
    <row r="92" spans="7:10" x14ac:dyDescent="0.25">
      <c r="G92" s="8">
        <v>1.6400000000000002E-3</v>
      </c>
      <c r="H92" s="3" cm="1">
        <f t="array" ref="H92">((2*ttotal10)/(3*s_t))*(st_b[[#This Row],[s(tb)]]+(s_t/4))</f>
        <v>5.3111111111111116E-2</v>
      </c>
      <c r="I92" s="3">
        <f t="shared" si="10"/>
        <v>2.2222222222222782E-4</v>
      </c>
      <c r="J92" s="14">
        <f t="shared" si="7"/>
        <v>4.4444444444445566</v>
      </c>
    </row>
    <row r="93" spans="7:10" x14ac:dyDescent="0.25">
      <c r="G93" s="8">
        <v>1.6500000000000002E-3</v>
      </c>
      <c r="H93" s="3" cm="1">
        <f t="array" ref="H93">((2*ttotal10)/(3*s_t))*(st_b[[#This Row],[s(tb)]]+(s_t/4))</f>
        <v>5.3333333333333337E-2</v>
      </c>
      <c r="I93" s="3">
        <f t="shared" si="10"/>
        <v>2.2222222222222088E-4</v>
      </c>
      <c r="J93" s="14">
        <f t="shared" si="7"/>
        <v>4.4444444444444171</v>
      </c>
    </row>
    <row r="94" spans="7:10" x14ac:dyDescent="0.25">
      <c r="G94" s="8">
        <v>1.6600000000000002E-3</v>
      </c>
      <c r="H94" s="3" cm="1">
        <f t="array" ref="H94">((2*ttotal10)/(3*s_t))*(st_b[[#This Row],[s(tb)]]+(s_t/4))</f>
        <v>5.3555555555555558E-2</v>
      </c>
      <c r="I94" s="3">
        <f t="shared" si="10"/>
        <v>2.2222222222222088E-4</v>
      </c>
      <c r="J94" s="14">
        <f t="shared" si="7"/>
        <v>4.4444444444444171</v>
      </c>
    </row>
    <row r="95" spans="7:10" x14ac:dyDescent="0.25">
      <c r="G95" s="8">
        <v>1.67E-3</v>
      </c>
      <c r="H95" s="3" cm="1">
        <f t="array" ref="H95">((2*ttotal10)/(3*s_t))*(st_b[[#This Row],[s(tb)]]+(s_t/4))</f>
        <v>5.3777777777777785E-2</v>
      </c>
      <c r="I95" s="3">
        <f t="shared" si="10"/>
        <v>2.2222222222222782E-4</v>
      </c>
      <c r="J95" s="14">
        <f t="shared" si="7"/>
        <v>4.4444444444445566</v>
      </c>
    </row>
    <row r="96" spans="7:10" x14ac:dyDescent="0.25">
      <c r="G96" s="8">
        <v>1.6800000000000001E-3</v>
      </c>
      <c r="H96" s="3" cm="1">
        <f t="array" ref="H96">((2*ttotal10)/(3*s_t))*(st_b[[#This Row],[s(tb)]]+(s_t/4))</f>
        <v>5.3999999999999992E-2</v>
      </c>
      <c r="I96" s="3">
        <f t="shared" si="10"/>
        <v>2.22222222222207E-4</v>
      </c>
      <c r="J96" s="14">
        <f t="shared" si="7"/>
        <v>4.44444444444414</v>
      </c>
    </row>
    <row r="97" spans="7:10" x14ac:dyDescent="0.25">
      <c r="G97" s="8">
        <v>1.6900000000000001E-3</v>
      </c>
      <c r="H97" s="3" cm="1">
        <f t="array" ref="H97">((2*ttotal10)/(3*s_t))*(st_b[[#This Row],[s(tb)]]+(s_t/4))</f>
        <v>5.4222222222222227E-2</v>
      </c>
      <c r="I97" s="3">
        <f t="shared" si="10"/>
        <v>2.2222222222223476E-4</v>
      </c>
      <c r="J97" s="14">
        <f t="shared" si="7"/>
        <v>4.4444444444446951</v>
      </c>
    </row>
    <row r="98" spans="7:10" x14ac:dyDescent="0.25">
      <c r="G98" s="8">
        <v>1.7000000000000001E-3</v>
      </c>
      <c r="H98" s="3" cm="1">
        <f t="array" ref="H98">((2*ttotal10)/(3*s_t))*(st_b[[#This Row],[s(tb)]]+(s_t/4))</f>
        <v>5.4444444444444441E-2</v>
      </c>
      <c r="I98" s="3">
        <f t="shared" si="10"/>
        <v>2.2222222222221394E-4</v>
      </c>
      <c r="J98" s="14">
        <f t="shared" si="7"/>
        <v>4.4444444444442786</v>
      </c>
    </row>
    <row r="99" spans="7:10" x14ac:dyDescent="0.25">
      <c r="G99" s="8">
        <v>1.7100000000000001E-3</v>
      </c>
      <c r="H99" s="3" cm="1">
        <f t="array" ref="H99">((2*ttotal10)/(3*s_t))*(st_b[[#This Row],[s(tb)]]+(s_t/4))</f>
        <v>5.4666666666666676E-2</v>
      </c>
      <c r="I99" s="3">
        <f t="shared" si="10"/>
        <v>2.2222222222223476E-4</v>
      </c>
      <c r="J99" s="14">
        <f t="shared" si="7"/>
        <v>4.4444444444446951</v>
      </c>
    </row>
    <row r="100" spans="7:10" x14ac:dyDescent="0.25">
      <c r="G100" s="8">
        <v>1.7200000000000002E-3</v>
      </c>
      <c r="H100" s="3" cm="1">
        <f t="array" ref="H100">((2*ttotal10)/(3*s_t))*(st_b[[#This Row],[s(tb)]]+(s_t/4))</f>
        <v>5.4888888888888883E-2</v>
      </c>
      <c r="I100" s="3">
        <f t="shared" si="10"/>
        <v>2.22222222222207E-4</v>
      </c>
      <c r="J100" s="14">
        <f t="shared" si="7"/>
        <v>4.44444444444414</v>
      </c>
    </row>
    <row r="101" spans="7:10" x14ac:dyDescent="0.25">
      <c r="G101" s="8">
        <v>1.7300000000000002E-3</v>
      </c>
      <c r="H101" s="3" cm="1">
        <f t="array" ref="H101">((2*ttotal10)/(3*s_t))*(st_b[[#This Row],[s(tb)]]+(s_t/4))</f>
        <v>5.5111111111111118E-2</v>
      </c>
      <c r="I101" s="3">
        <f t="shared" si="10"/>
        <v>2.2222222222223476E-4</v>
      </c>
      <c r="J101" s="14">
        <f t="shared" si="7"/>
        <v>4.4444444444446951</v>
      </c>
    </row>
    <row r="102" spans="7:10" x14ac:dyDescent="0.25">
      <c r="G102" s="8">
        <v>1.7400000000000002E-3</v>
      </c>
      <c r="H102" s="3" cm="1">
        <f t="array" ref="H102">((2*ttotal10)/(3*s_t))*(st_b[[#This Row],[s(tb)]]+(s_t/4))</f>
        <v>5.5333333333333332E-2</v>
      </c>
      <c r="I102" s="3">
        <f t="shared" si="10"/>
        <v>2.2222222222221394E-4</v>
      </c>
      <c r="J102" s="14">
        <f t="shared" si="7"/>
        <v>4.4444444444442786</v>
      </c>
    </row>
    <row r="103" spans="7:10" x14ac:dyDescent="0.25">
      <c r="G103" s="8">
        <v>1.75E-3</v>
      </c>
      <c r="H103" s="3" cm="1">
        <f t="array" ref="H103">((2*ttotal10)/(3*s_t))*(st_b[[#This Row],[s(tb)]]+(s_t/4))</f>
        <v>5.5555555555555552E-2</v>
      </c>
      <c r="I103" s="3">
        <f t="shared" si="10"/>
        <v>2.2222222222222088E-4</v>
      </c>
      <c r="J103" s="14">
        <f t="shared" si="7"/>
        <v>4.4444444444444171</v>
      </c>
    </row>
    <row r="104" spans="7:10" x14ac:dyDescent="0.25">
      <c r="G104" s="8">
        <v>1.7600000000000001E-3</v>
      </c>
      <c r="H104" s="3" cm="1">
        <f t="array" ref="H104">((2*ttotal10)/(3*s_t))*(st_b[[#This Row],[s(tb)]]+(s_t/4))</f>
        <v>5.577777777777778E-2</v>
      </c>
      <c r="I104" s="3">
        <f t="shared" si="10"/>
        <v>2.2222222222222782E-4</v>
      </c>
      <c r="J104" s="14">
        <f t="shared" si="7"/>
        <v>4.4444444444445566</v>
      </c>
    </row>
    <row r="105" spans="7:10" x14ac:dyDescent="0.25">
      <c r="G105" s="8">
        <v>1.7700000000000001E-3</v>
      </c>
      <c r="H105" s="3" cm="1">
        <f t="array" ref="H105">((2*ttotal10)/(3*s_t))*(st_b[[#This Row],[s(tb)]]+(s_t/4))</f>
        <v>5.6000000000000001E-2</v>
      </c>
      <c r="I105" s="3">
        <f t="shared" si="10"/>
        <v>2.2222222222222088E-4</v>
      </c>
      <c r="J105" s="14">
        <f t="shared" si="7"/>
        <v>4.4444444444444171</v>
      </c>
    </row>
    <row r="106" spans="7:10" x14ac:dyDescent="0.25">
      <c r="G106" s="8">
        <v>1.7800000000000001E-3</v>
      </c>
      <c r="H106" s="3" cm="1">
        <f t="array" ref="H106">((2*ttotal10)/(3*s_t))*(st_b[[#This Row],[s(tb)]]+(s_t/4))</f>
        <v>5.6222222222222222E-2</v>
      </c>
      <c r="I106" s="3">
        <f t="shared" si="10"/>
        <v>2.2222222222222088E-4</v>
      </c>
      <c r="J106" s="14">
        <f t="shared" si="7"/>
        <v>4.4444444444444171</v>
      </c>
    </row>
    <row r="107" spans="7:10" x14ac:dyDescent="0.25">
      <c r="G107" s="8">
        <v>1.7900000000000001E-3</v>
      </c>
      <c r="H107" s="3" cm="1">
        <f t="array" ref="H107">((2*ttotal10)/(3*s_t))*(st_b[[#This Row],[s(tb)]]+(s_t/4))</f>
        <v>5.6444444444444443E-2</v>
      </c>
      <c r="I107" s="3">
        <f t="shared" si="10"/>
        <v>2.2222222222222088E-4</v>
      </c>
      <c r="J107" s="14">
        <f t="shared" si="7"/>
        <v>4.4444444444444171</v>
      </c>
    </row>
    <row r="108" spans="7:10" x14ac:dyDescent="0.25">
      <c r="G108" s="8">
        <v>1.8000000000000002E-3</v>
      </c>
      <c r="H108" s="3" cm="1">
        <f t="array" ref="H108">((2*ttotal10)/(3*s_t))*(st_b[[#This Row],[s(tb)]]+(s_t/4))</f>
        <v>5.6666666666666671E-2</v>
      </c>
      <c r="I108" s="3">
        <f t="shared" si="10"/>
        <v>2.2222222222222782E-4</v>
      </c>
      <c r="J108" s="14">
        <f t="shared" si="7"/>
        <v>4.4444444444445566</v>
      </c>
    </row>
    <row r="109" spans="7:10" x14ac:dyDescent="0.25">
      <c r="G109" s="8">
        <v>1.8100000000000002E-3</v>
      </c>
      <c r="H109" s="3" cm="1">
        <f t="array" ref="H109">((2*ttotal10)/(3*s_t))*(st_b[[#This Row],[s(tb)]]+(s_t/4))</f>
        <v>5.6888888888888892E-2</v>
      </c>
      <c r="I109" s="3">
        <f t="shared" si="10"/>
        <v>2.2222222222222088E-4</v>
      </c>
      <c r="J109" s="14">
        <f t="shared" si="7"/>
        <v>4.4444444444444171</v>
      </c>
    </row>
    <row r="110" spans="7:10" x14ac:dyDescent="0.25">
      <c r="G110" s="8">
        <v>1.8200000000000002E-3</v>
      </c>
      <c r="H110" s="3" cm="1">
        <f t="array" ref="H110">((2*ttotal10)/(3*s_t))*(st_b[[#This Row],[s(tb)]]+(s_t/4))</f>
        <v>5.7111111111111112E-2</v>
      </c>
      <c r="I110" s="3">
        <f t="shared" si="10"/>
        <v>2.2222222222222088E-4</v>
      </c>
      <c r="J110" s="14">
        <f t="shared" si="7"/>
        <v>4.4444444444444171</v>
      </c>
    </row>
    <row r="111" spans="7:10" x14ac:dyDescent="0.25">
      <c r="G111" s="8">
        <v>1.8300000000000002E-3</v>
      </c>
      <c r="H111" s="3" cm="1">
        <f t="array" ref="H111">((2*ttotal10)/(3*s_t))*(st_b[[#This Row],[s(tb)]]+(s_t/4))</f>
        <v>5.733333333333334E-2</v>
      </c>
      <c r="I111" s="3">
        <f t="shared" si="10"/>
        <v>2.2222222222222782E-4</v>
      </c>
      <c r="J111" s="14">
        <f t="shared" si="7"/>
        <v>4.4444444444445566</v>
      </c>
    </row>
    <row r="112" spans="7:10" x14ac:dyDescent="0.25">
      <c r="G112" s="8">
        <v>1.8400000000000001E-3</v>
      </c>
      <c r="H112" s="3" cm="1">
        <f t="array" ref="H112">((2*ttotal10)/(3*s_t))*(st_b[[#This Row],[s(tb)]]+(s_t/4))</f>
        <v>5.7555555555555561E-2</v>
      </c>
      <c r="I112" s="3">
        <f t="shared" si="10"/>
        <v>2.2222222222222088E-4</v>
      </c>
      <c r="J112" s="14">
        <f t="shared" si="7"/>
        <v>4.4444444444444171</v>
      </c>
    </row>
    <row r="113" spans="7:10" x14ac:dyDescent="0.25">
      <c r="G113" s="8">
        <v>1.8500000000000001E-3</v>
      </c>
      <c r="H113" s="3" cm="1">
        <f t="array" ref="H113">((2*ttotal10)/(3*s_t))*(st_b[[#This Row],[s(tb)]]+(s_t/4))</f>
        <v>5.7777777777777775E-2</v>
      </c>
      <c r="I113" s="3">
        <f t="shared" si="10"/>
        <v>2.2222222222221394E-4</v>
      </c>
      <c r="J113" s="14">
        <f t="shared" si="7"/>
        <v>4.4444444444442786</v>
      </c>
    </row>
    <row r="114" spans="7:10" x14ac:dyDescent="0.25">
      <c r="G114" s="8">
        <v>1.8600000000000001E-3</v>
      </c>
      <c r="H114" s="3" cm="1">
        <f t="array" ref="H114">((2*ttotal10)/(3*s_t))*(st_b[[#This Row],[s(tb)]]+(s_t/4))</f>
        <v>5.8000000000000003E-2</v>
      </c>
      <c r="I114" s="3">
        <f t="shared" si="10"/>
        <v>2.2222222222222782E-4</v>
      </c>
      <c r="J114" s="14">
        <f t="shared" si="7"/>
        <v>4.4444444444445566</v>
      </c>
    </row>
    <row r="115" spans="7:10" x14ac:dyDescent="0.25">
      <c r="G115" s="8">
        <v>1.8700000000000001E-3</v>
      </c>
      <c r="H115" s="3" cm="1">
        <f t="array" ref="H115">((2*ttotal10)/(3*s_t))*(st_b[[#This Row],[s(tb)]]+(s_t/4))</f>
        <v>5.8222222222222217E-2</v>
      </c>
      <c r="I115" s="3">
        <f t="shared" si="10"/>
        <v>2.2222222222221394E-4</v>
      </c>
      <c r="J115" s="14">
        <f t="shared" si="7"/>
        <v>4.4444444444442786</v>
      </c>
    </row>
    <row r="116" spans="7:10" x14ac:dyDescent="0.25">
      <c r="G116" s="8">
        <v>1.8800000000000002E-3</v>
      </c>
      <c r="H116" s="3" cm="1">
        <f t="array" ref="H116">((2*ttotal10)/(3*s_t))*(st_b[[#This Row],[s(tb)]]+(s_t/4))</f>
        <v>5.8444444444444452E-2</v>
      </c>
      <c r="I116" s="3">
        <f t="shared" si="10"/>
        <v>2.2222222222223476E-4</v>
      </c>
      <c r="J116" s="14">
        <f t="shared" si="7"/>
        <v>4.4444444444446951</v>
      </c>
    </row>
    <row r="117" spans="7:10" x14ac:dyDescent="0.25">
      <c r="G117" s="8">
        <v>1.8900000000000002E-3</v>
      </c>
      <c r="H117" s="3" cm="1">
        <f t="array" ref="H117">((2*ttotal10)/(3*s_t))*(st_b[[#This Row],[s(tb)]]+(s_t/4))</f>
        <v>5.8666666666666666E-2</v>
      </c>
      <c r="I117" s="3">
        <f t="shared" si="10"/>
        <v>2.2222222222221394E-4</v>
      </c>
      <c r="J117" s="14">
        <f t="shared" si="7"/>
        <v>4.4444444444442786</v>
      </c>
    </row>
    <row r="118" spans="7:10" x14ac:dyDescent="0.25">
      <c r="G118" s="8">
        <v>1.9000000000000002E-3</v>
      </c>
      <c r="H118" s="3" cm="1">
        <f t="array" ref="H118">((2*ttotal10)/(3*s_t))*(st_b[[#This Row],[s(tb)]]+(s_t/4))</f>
        <v>5.8888888888888893E-2</v>
      </c>
      <c r="I118" s="3">
        <f t="shared" si="10"/>
        <v>2.2222222222222782E-4</v>
      </c>
      <c r="J118" s="14">
        <f t="shared" si="7"/>
        <v>4.4444444444445566</v>
      </c>
    </row>
    <row r="119" spans="7:10" x14ac:dyDescent="0.25">
      <c r="G119" s="8">
        <v>1.9100000000000002E-3</v>
      </c>
      <c r="H119" s="3" cm="1">
        <f t="array" ref="H119">((2*ttotal10)/(3*s_t))*(st_b[[#This Row],[s(tb)]]+(s_t/4))</f>
        <v>5.9111111111111107E-2</v>
      </c>
      <c r="I119" s="3">
        <f t="shared" si="10"/>
        <v>2.2222222222221394E-4</v>
      </c>
      <c r="J119" s="14">
        <f t="shared" si="7"/>
        <v>4.4444444444442786</v>
      </c>
    </row>
    <row r="120" spans="7:10" x14ac:dyDescent="0.25">
      <c r="G120" s="8">
        <v>1.9200000000000003E-3</v>
      </c>
      <c r="H120" s="3" cm="1">
        <f t="array" ref="H120">((2*ttotal10)/(3*s_t))*(st_b[[#This Row],[s(tb)]]+(s_t/4))</f>
        <v>5.9333333333333342E-2</v>
      </c>
      <c r="I120" s="3">
        <f t="shared" si="10"/>
        <v>2.2222222222223476E-4</v>
      </c>
      <c r="J120" s="14">
        <f t="shared" si="7"/>
        <v>4.4444444444446951</v>
      </c>
    </row>
    <row r="121" spans="7:10" x14ac:dyDescent="0.25">
      <c r="G121" s="8">
        <v>1.9300000000000001E-3</v>
      </c>
      <c r="H121" s="3" cm="1">
        <f t="array" ref="H121">((2*ttotal10)/(3*s_t))*(st_b[[#This Row],[s(tb)]]+(s_t/4))</f>
        <v>5.9555555555555556E-2</v>
      </c>
      <c r="I121" s="3">
        <f t="shared" si="10"/>
        <v>2.2222222222221394E-4</v>
      </c>
      <c r="J121" s="14">
        <f t="shared" si="7"/>
        <v>4.4444444444442786</v>
      </c>
    </row>
    <row r="122" spans="7:10" x14ac:dyDescent="0.25">
      <c r="G122" s="8">
        <v>1.9400000000000001E-3</v>
      </c>
      <c r="H122" s="3" cm="1">
        <f t="array" ref="H122">((2*ttotal10)/(3*s_t))*(st_b[[#This Row],[s(tb)]]+(s_t/4))</f>
        <v>5.9777777777777777E-2</v>
      </c>
      <c r="I122" s="3">
        <f t="shared" si="10"/>
        <v>2.2222222222222088E-4</v>
      </c>
      <c r="J122" s="14">
        <f t="shared" si="7"/>
        <v>4.4444444444444171</v>
      </c>
    </row>
    <row r="123" spans="7:10" x14ac:dyDescent="0.25">
      <c r="G123" s="8">
        <v>1.9500000000000001E-3</v>
      </c>
      <c r="H123" s="3" cm="1">
        <f t="array" ref="H123">((2*ttotal10)/(3*s_t))*(st_b[[#This Row],[s(tb)]]+(s_t/4))</f>
        <v>0.06</v>
      </c>
      <c r="I123" s="3">
        <f t="shared" si="10"/>
        <v>2.2222222222222088E-4</v>
      </c>
      <c r="J123" s="14">
        <f t="shared" si="7"/>
        <v>4.4444444444444171</v>
      </c>
    </row>
    <row r="124" spans="7:10" x14ac:dyDescent="0.25">
      <c r="G124" s="8">
        <v>1.9600000000000004E-3</v>
      </c>
      <c r="H124" s="3" cm="1">
        <f t="array" ref="H124">((2*ttotal10)/(3*s_t))*(st_b[[#This Row],[s(tb)]]+(s_t/4))</f>
        <v>6.0222222222222233E-2</v>
      </c>
      <c r="I124" s="3">
        <f t="shared" si="10"/>
        <v>2.2222222222223476E-4</v>
      </c>
      <c r="J124" s="14">
        <f t="shared" si="7"/>
        <v>4.4444444444446951</v>
      </c>
    </row>
    <row r="125" spans="7:10" x14ac:dyDescent="0.25">
      <c r="G125" s="8">
        <v>1.97E-3</v>
      </c>
      <c r="H125" s="3" cm="1">
        <f t="array" ref="H125">((2*ttotal10)/(3*s_t))*(st_b[[#This Row],[s(tb)]]+(s_t/4))</f>
        <v>6.0444444444444446E-2</v>
      </c>
      <c r="I125" s="3">
        <f t="shared" si="10"/>
        <v>2.2222222222221394E-4</v>
      </c>
      <c r="J125" s="14">
        <f t="shared" si="7"/>
        <v>4.4444444444442786</v>
      </c>
    </row>
    <row r="126" spans="7:10" x14ac:dyDescent="0.25">
      <c r="G126" s="8">
        <v>1.98E-3</v>
      </c>
      <c r="H126" s="3" cm="1">
        <f t="array" ref="H126">((2*ttotal10)/(3*s_t))*(st_b[[#This Row],[s(tb)]]+(s_t/4))</f>
        <v>6.066666666666666E-2</v>
      </c>
      <c r="I126" s="3">
        <f t="shared" si="10"/>
        <v>2.2222222222221394E-4</v>
      </c>
      <c r="J126" s="14">
        <f t="shared" si="7"/>
        <v>4.4444444444442786</v>
      </c>
    </row>
    <row r="127" spans="7:10" x14ac:dyDescent="0.25">
      <c r="G127" s="8">
        <v>1.99E-3</v>
      </c>
      <c r="H127" s="3" cm="1">
        <f t="array" ref="H127">((2*ttotal10)/(3*s_t))*(st_b[[#This Row],[s(tb)]]+(s_t/4))</f>
        <v>6.0888888888888895E-2</v>
      </c>
      <c r="I127" s="3">
        <f t="shared" si="10"/>
        <v>2.2222222222223476E-4</v>
      </c>
      <c r="J127" s="14">
        <f t="shared" si="7"/>
        <v>4.4444444444446951</v>
      </c>
    </row>
    <row r="128" spans="7:10" x14ac:dyDescent="0.25">
      <c r="G128" s="8">
        <v>2E-3</v>
      </c>
      <c r="H128" s="3" cm="1">
        <f t="array" ref="H128">((2*ttotal10)/(3*s_t))*(st_b[[#This Row],[s(tb)]]+(s_t/4))</f>
        <v>6.1111111111111102E-2</v>
      </c>
      <c r="I128" s="3">
        <f t="shared" si="10"/>
        <v>2.22222222222207E-4</v>
      </c>
      <c r="J128" s="14">
        <f t="shared" si="7"/>
        <v>4.44444444444414</v>
      </c>
    </row>
    <row r="129" spans="7:10" x14ac:dyDescent="0.25">
      <c r="G129" s="8">
        <v>2.0100000000000001E-3</v>
      </c>
      <c r="H129" s="3" cm="1">
        <f t="array" ref="H129">((2*ttotal10)/(3*s_t))*(st_b[[#This Row],[s(tb)]]+(s_t/4))</f>
        <v>6.1333333333333337E-2</v>
      </c>
      <c r="I129" s="3">
        <f t="shared" si="10"/>
        <v>2.2222222222223476E-4</v>
      </c>
      <c r="J129" s="14">
        <f t="shared" si="7"/>
        <v>4.4444444444446951</v>
      </c>
    </row>
    <row r="130" spans="7:10" x14ac:dyDescent="0.25">
      <c r="G130" s="8">
        <v>2.0200000000000001E-3</v>
      </c>
      <c r="H130" s="3" cm="1">
        <f t="array" ref="H130">((2*ttotal10)/(3*s_t))*(st_b[[#This Row],[s(tb)]]+(s_t/4))</f>
        <v>6.1555555555555551E-2</v>
      </c>
      <c r="I130" s="3">
        <f t="shared" si="10"/>
        <v>2.2222222222221394E-4</v>
      </c>
      <c r="J130" s="14">
        <f t="shared" si="7"/>
        <v>4.4444444444442786</v>
      </c>
    </row>
    <row r="131" spans="7:10" x14ac:dyDescent="0.25">
      <c r="G131" s="8">
        <v>2.0300000000000001E-3</v>
      </c>
      <c r="H131" s="3" cm="1">
        <f t="array" ref="H131">((2*ttotal10)/(3*s_t))*(st_b[[#This Row],[s(tb)]]+(s_t/4))</f>
        <v>6.1777777777777786E-2</v>
      </c>
      <c r="I131" s="3">
        <f t="shared" si="10"/>
        <v>2.2222222222223476E-4</v>
      </c>
      <c r="J131" s="14">
        <f t="shared" si="7"/>
        <v>4.4444444444446951</v>
      </c>
    </row>
    <row r="132" spans="7:10" x14ac:dyDescent="0.25">
      <c r="G132" s="8">
        <v>2.0400000000000001E-3</v>
      </c>
      <c r="H132" s="3" cm="1">
        <f t="array" ref="H132">((2*ttotal10)/(3*s_t))*(st_b[[#This Row],[s(tb)]]+(s_t/4))</f>
        <v>6.2E-2</v>
      </c>
      <c r="I132" s="3">
        <f t="shared" si="10"/>
        <v>2.2222222222221394E-4</v>
      </c>
      <c r="J132" s="14">
        <f t="shared" ref="J132:J153" si="12">I132/0.00005</f>
        <v>4.4444444444442786</v>
      </c>
    </row>
    <row r="133" spans="7:10" x14ac:dyDescent="0.25">
      <c r="G133" s="8">
        <v>2.0500000000000002E-3</v>
      </c>
      <c r="H133" s="3" cm="1">
        <f t="array" ref="H133">((2*ttotal10)/(3*s_t))*(st_b[[#This Row],[s(tb)]]+(s_t/4))</f>
        <v>6.2222222222222227E-2</v>
      </c>
      <c r="I133" s="3">
        <f t="shared" ref="I133:I153" si="13">H133-H132</f>
        <v>2.2222222222222782E-4</v>
      </c>
      <c r="J133" s="14">
        <f t="shared" si="12"/>
        <v>4.4444444444445566</v>
      </c>
    </row>
    <row r="134" spans="7:10" x14ac:dyDescent="0.25">
      <c r="G134" s="8">
        <v>2.0600000000000002E-3</v>
      </c>
      <c r="H134" s="3" cm="1">
        <f t="array" ref="H134">((2*ttotal10)/(3*s_t))*(st_b[[#This Row],[s(tb)]]+(s_t/4))</f>
        <v>6.2444444444444441E-2</v>
      </c>
      <c r="I134" s="3">
        <f t="shared" si="13"/>
        <v>2.2222222222221394E-4</v>
      </c>
      <c r="J134" s="14">
        <f t="shared" si="12"/>
        <v>4.4444444444442786</v>
      </c>
    </row>
    <row r="135" spans="7:10" x14ac:dyDescent="0.25">
      <c r="G135" s="8">
        <v>2.0700000000000002E-3</v>
      </c>
      <c r="H135" s="3" cm="1">
        <f t="array" ref="H135">((2*ttotal10)/(3*s_t))*(st_b[[#This Row],[s(tb)]]+(s_t/4))</f>
        <v>6.2666666666666676E-2</v>
      </c>
      <c r="I135" s="3">
        <f t="shared" si="13"/>
        <v>2.2222222222223476E-4</v>
      </c>
      <c r="J135" s="14">
        <f t="shared" si="12"/>
        <v>4.4444444444446951</v>
      </c>
    </row>
    <row r="136" spans="7:10" x14ac:dyDescent="0.25">
      <c r="G136" s="8">
        <v>2.0800000000000003E-3</v>
      </c>
      <c r="H136" s="3" cm="1">
        <f t="array" ref="H136">((2*ttotal10)/(3*s_t))*(st_b[[#This Row],[s(tb)]]+(s_t/4))</f>
        <v>6.2888888888888883E-2</v>
      </c>
      <c r="I136" s="3">
        <f t="shared" si="13"/>
        <v>2.22222222222207E-4</v>
      </c>
      <c r="J136" s="14">
        <f t="shared" si="12"/>
        <v>4.44444444444414</v>
      </c>
    </row>
    <row r="137" spans="7:10" x14ac:dyDescent="0.25">
      <c r="G137" s="8">
        <v>2.0900000000000003E-3</v>
      </c>
      <c r="H137" s="3" cm="1">
        <f t="array" ref="H137">((2*ttotal10)/(3*s_t))*(st_b[[#This Row],[s(tb)]]+(s_t/4))</f>
        <v>6.3111111111111118E-2</v>
      </c>
      <c r="I137" s="3">
        <f t="shared" si="13"/>
        <v>2.2222222222223476E-4</v>
      </c>
      <c r="J137" s="14">
        <f t="shared" si="12"/>
        <v>4.4444444444446951</v>
      </c>
    </row>
    <row r="138" spans="7:10" x14ac:dyDescent="0.25">
      <c r="G138" s="8">
        <v>2.1000000000000003E-3</v>
      </c>
      <c r="H138" s="3" cm="1">
        <f t="array" ref="H138">((2*ttotal10)/(3*s_t))*(st_b[[#This Row],[s(tb)]]+(s_t/4))</f>
        <v>6.3333333333333339E-2</v>
      </c>
      <c r="I138" s="3">
        <f t="shared" si="13"/>
        <v>2.2222222222222088E-4</v>
      </c>
      <c r="J138" s="14">
        <f t="shared" si="12"/>
        <v>4.4444444444444171</v>
      </c>
    </row>
    <row r="139" spans="7:10" x14ac:dyDescent="0.25">
      <c r="G139" s="8">
        <v>2.1100000000000003E-3</v>
      </c>
      <c r="H139" s="3" cm="1">
        <f t="array" ref="H139">((2*ttotal10)/(3*s_t))*(st_b[[#This Row],[s(tb)]]+(s_t/4))</f>
        <v>6.355555555555556E-2</v>
      </c>
      <c r="I139" s="3">
        <f t="shared" si="13"/>
        <v>2.2222222222222088E-4</v>
      </c>
      <c r="J139" s="14">
        <f t="shared" si="12"/>
        <v>4.4444444444444171</v>
      </c>
    </row>
    <row r="140" spans="7:10" x14ac:dyDescent="0.25">
      <c r="G140" s="8">
        <v>2.1200000000000004E-3</v>
      </c>
      <c r="H140" s="3" cm="1">
        <f t="array" ref="H140">((2*ttotal10)/(3*s_t))*(st_b[[#This Row],[s(tb)]]+(s_t/4))</f>
        <v>6.377777777777778E-2</v>
      </c>
      <c r="I140" s="3">
        <f t="shared" si="13"/>
        <v>2.2222222222222088E-4</v>
      </c>
      <c r="J140" s="14">
        <f t="shared" si="12"/>
        <v>4.4444444444444171</v>
      </c>
    </row>
    <row r="141" spans="7:10" x14ac:dyDescent="0.25">
      <c r="G141" s="8">
        <v>2.1300000000000004E-3</v>
      </c>
      <c r="H141" s="3" cm="1">
        <f t="array" ref="H141">((2*ttotal10)/(3*s_t))*(st_b[[#This Row],[s(tb)]]+(s_t/4))</f>
        <v>6.4000000000000015E-2</v>
      </c>
      <c r="I141" s="3">
        <f t="shared" si="13"/>
        <v>2.2222222222223476E-4</v>
      </c>
      <c r="J141" s="14">
        <f t="shared" si="12"/>
        <v>4.4444444444446951</v>
      </c>
    </row>
    <row r="142" spans="7:10" x14ac:dyDescent="0.25">
      <c r="G142" s="8">
        <v>2.14E-3</v>
      </c>
      <c r="H142" s="3" cm="1">
        <f t="array" ref="H142">((2*ttotal10)/(3*s_t))*(st_b[[#This Row],[s(tb)]]+(s_t/4))</f>
        <v>6.4222222222222222E-2</v>
      </c>
      <c r="I142" s="3">
        <f t="shared" si="13"/>
        <v>2.22222222222207E-4</v>
      </c>
      <c r="J142" s="14">
        <f t="shared" si="12"/>
        <v>4.44444444444414</v>
      </c>
    </row>
    <row r="143" spans="7:10" x14ac:dyDescent="0.25">
      <c r="G143" s="8">
        <v>2.15E-3</v>
      </c>
      <c r="H143" s="3" cm="1">
        <f t="array" ref="H143">((2*ttotal10)/(3*s_t))*(st_b[[#This Row],[s(tb)]]+(s_t/4))</f>
        <v>6.4444444444444443E-2</v>
      </c>
      <c r="I143" s="3">
        <f t="shared" si="13"/>
        <v>2.2222222222222088E-4</v>
      </c>
      <c r="J143" s="14">
        <f t="shared" si="12"/>
        <v>4.4444444444444171</v>
      </c>
    </row>
    <row r="144" spans="7:10" x14ac:dyDescent="0.25">
      <c r="G144" s="8">
        <v>2.16E-3</v>
      </c>
      <c r="H144" s="3" cm="1">
        <f t="array" ref="H144">((2*ttotal10)/(3*s_t))*(st_b[[#This Row],[s(tb)]]+(s_t/4))</f>
        <v>6.4666666666666664E-2</v>
      </c>
      <c r="I144" s="3">
        <f t="shared" si="13"/>
        <v>2.2222222222222088E-4</v>
      </c>
      <c r="J144" s="14">
        <f t="shared" si="12"/>
        <v>4.4444444444444171</v>
      </c>
    </row>
    <row r="145" spans="7:10" x14ac:dyDescent="0.25">
      <c r="G145" s="8">
        <v>2.1700000000000001E-3</v>
      </c>
      <c r="H145" s="3" cm="1">
        <f t="array" ref="H145">((2*ttotal10)/(3*s_t))*(st_b[[#This Row],[s(tb)]]+(s_t/4))</f>
        <v>6.4888888888888885E-2</v>
      </c>
      <c r="I145" s="3">
        <f t="shared" si="13"/>
        <v>2.2222222222222088E-4</v>
      </c>
      <c r="J145" s="14">
        <f t="shared" si="12"/>
        <v>4.4444444444444171</v>
      </c>
    </row>
    <row r="146" spans="7:10" x14ac:dyDescent="0.25">
      <c r="G146" s="8">
        <v>2.1800000000000001E-3</v>
      </c>
      <c r="H146" s="3" cm="1">
        <f t="array" ref="H146">((2*ttotal10)/(3*s_t))*(st_b[[#This Row],[s(tb)]]+(s_t/4))</f>
        <v>6.511111111111112E-2</v>
      </c>
      <c r="I146" s="3">
        <f t="shared" si="13"/>
        <v>2.2222222222223476E-4</v>
      </c>
      <c r="J146" s="14">
        <f t="shared" si="12"/>
        <v>4.4444444444446951</v>
      </c>
    </row>
    <row r="147" spans="7:10" x14ac:dyDescent="0.25">
      <c r="G147" s="8">
        <v>2.1900000000000001E-3</v>
      </c>
      <c r="H147" s="3" cm="1">
        <f t="array" ref="H147">((2*ttotal10)/(3*s_t))*(st_b[[#This Row],[s(tb)]]+(s_t/4))</f>
        <v>6.5333333333333327E-2</v>
      </c>
      <c r="I147" s="3">
        <f t="shared" si="13"/>
        <v>2.22222222222207E-4</v>
      </c>
      <c r="J147" s="14">
        <f t="shared" si="12"/>
        <v>4.44444444444414</v>
      </c>
    </row>
    <row r="148" spans="7:10" x14ac:dyDescent="0.25">
      <c r="G148" s="8">
        <v>2.2000000000000001E-3</v>
      </c>
      <c r="H148" s="3" cm="1">
        <f t="array" ref="H148">((2*ttotal10)/(3*s_t))*(st_b[[#This Row],[s(tb)]]+(s_t/4))</f>
        <v>6.5555555555555561E-2</v>
      </c>
      <c r="I148" s="3">
        <f t="shared" si="13"/>
        <v>2.2222222222223476E-4</v>
      </c>
      <c r="J148" s="14">
        <f t="shared" si="12"/>
        <v>4.4444444444446951</v>
      </c>
    </row>
    <row r="149" spans="7:10" x14ac:dyDescent="0.25">
      <c r="G149" s="8">
        <v>2.2100000000000002E-3</v>
      </c>
      <c r="H149" s="3" cm="1">
        <f t="array" ref="H149">((2*ttotal10)/(3*s_t))*(st_b[[#This Row],[s(tb)]]+(s_t/4))</f>
        <v>6.5777777777777768E-2</v>
      </c>
      <c r="I149" s="3">
        <f t="shared" si="13"/>
        <v>2.22222222222207E-4</v>
      </c>
      <c r="J149" s="14">
        <f t="shared" si="12"/>
        <v>4.44444444444414</v>
      </c>
    </row>
    <row r="150" spans="7:10" x14ac:dyDescent="0.25">
      <c r="G150" s="8">
        <v>2.2200000000000002E-3</v>
      </c>
      <c r="H150" s="3" cm="1">
        <f t="array" ref="H150">((2*ttotal10)/(3*s_t))*(st_b[[#This Row],[s(tb)]]+(s_t/4))</f>
        <v>6.6000000000000003E-2</v>
      </c>
      <c r="I150" s="3">
        <f t="shared" si="13"/>
        <v>2.2222222222223476E-4</v>
      </c>
      <c r="J150" s="14">
        <f t="shared" si="12"/>
        <v>4.4444444444446951</v>
      </c>
    </row>
    <row r="151" spans="7:10" x14ac:dyDescent="0.25">
      <c r="G151" s="8">
        <v>2.2300000000000002E-3</v>
      </c>
      <c r="H151" s="3" cm="1">
        <f t="array" ref="H151">((2*ttotal10)/(3*s_t))*(st_b[[#This Row],[s(tb)]]+(s_t/4))</f>
        <v>6.6222222222222224E-2</v>
      </c>
      <c r="I151" s="3">
        <f t="shared" si="13"/>
        <v>2.2222222222222088E-4</v>
      </c>
      <c r="J151" s="14">
        <f t="shared" si="12"/>
        <v>4.4444444444444171</v>
      </c>
    </row>
    <row r="152" spans="7:10" x14ac:dyDescent="0.25">
      <c r="G152" s="8">
        <v>2.2400000000000002E-3</v>
      </c>
      <c r="H152" s="3" cm="1">
        <f t="array" ref="H152">((2*ttotal10)/(3*s_t))*(st_b[[#This Row],[s(tb)]]+(s_t/4))</f>
        <v>6.6444444444444459E-2</v>
      </c>
      <c r="I152" s="3">
        <f t="shared" si="13"/>
        <v>2.2222222222223476E-4</v>
      </c>
      <c r="J152" s="14">
        <f t="shared" si="12"/>
        <v>4.4444444444446951</v>
      </c>
    </row>
    <row r="153" spans="7:10" x14ac:dyDescent="0.25">
      <c r="G153" s="8">
        <v>2.2500000000000003E-3</v>
      </c>
      <c r="H153" s="3" cm="1">
        <f t="array" ref="H153">((2*ttotal10)/(3*s_t))*(st_b[[#This Row],[s(tb)]]+(s_t/4))</f>
        <v>6.6666666666666666E-2</v>
      </c>
      <c r="I153" s="3">
        <f t="shared" si="13"/>
        <v>2.22222222222207E-4</v>
      </c>
      <c r="J153" s="14">
        <f t="shared" si="12"/>
        <v>4.44444444444414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F0D8F8-CA15-4E63-B256-35777697C9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20</vt:i4>
      </vt:variant>
    </vt:vector>
  </HeadingPairs>
  <TitlesOfParts>
    <vt:vector size="34" baseType="lpstr">
      <vt:lpstr>PW to Freq</vt:lpstr>
      <vt:lpstr>Stitch Period</vt:lpstr>
      <vt:lpstr>formulas</vt:lpstr>
      <vt:lpstr>Torque</vt:lpstr>
      <vt:lpstr>Main</vt:lpstr>
      <vt:lpstr>s(t) steps</vt:lpstr>
      <vt:lpstr>t_3 pw</vt:lpstr>
      <vt:lpstr>t_4 pw</vt:lpstr>
      <vt:lpstr>t_5 pw</vt:lpstr>
      <vt:lpstr>t_6 pw</vt:lpstr>
      <vt:lpstr>t_7 pw</vt:lpstr>
      <vt:lpstr>t_8 pw</vt:lpstr>
      <vt:lpstr>t_9 pw </vt:lpstr>
      <vt:lpstr>t_10 pw </vt:lpstr>
      <vt:lpstr>J_in</vt:lpstr>
      <vt:lpstr>Lead</vt:lpstr>
      <vt:lpstr>'t_10 pw '!s_t</vt:lpstr>
      <vt:lpstr>'t_4 pw'!s_t</vt:lpstr>
      <vt:lpstr>'t_5 pw'!s_t</vt:lpstr>
      <vt:lpstr>'t_6 pw'!s_t</vt:lpstr>
      <vt:lpstr>'t_7 pw'!s_t</vt:lpstr>
      <vt:lpstr>'t_8 pw'!s_t</vt:lpstr>
      <vt:lpstr>'t_9 pw '!s_t</vt:lpstr>
      <vt:lpstr>s_t</vt:lpstr>
      <vt:lpstr>ttotal1</vt:lpstr>
      <vt:lpstr>ttotal10</vt:lpstr>
      <vt:lpstr>ttotal2</vt:lpstr>
      <vt:lpstr>ttotal3</vt:lpstr>
      <vt:lpstr>ttotal4</vt:lpstr>
      <vt:lpstr>ttotal5</vt:lpstr>
      <vt:lpstr>ttotal6</vt:lpstr>
      <vt:lpstr>ttotal7</vt:lpstr>
      <vt:lpstr>ttotal8</vt:lpstr>
      <vt:lpstr>ttotal9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Neilson</dc:creator>
  <cp:lastModifiedBy>Claire Neilson</cp:lastModifiedBy>
  <dcterms:created xsi:type="dcterms:W3CDTF">2026-03-19T00:54:53Z</dcterms:created>
  <dcterms:modified xsi:type="dcterms:W3CDTF">2026-03-31T00:35:31Z</dcterms:modified>
</cp:coreProperties>
</file>